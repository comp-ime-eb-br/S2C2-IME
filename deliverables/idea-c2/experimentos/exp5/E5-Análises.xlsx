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11" yWindow="-111" windowWidth="16611" windowHeight="8709" tabRatio="958" activeTab="1"/>
  </bookViews>
  <sheets>
    <sheet name="PARTICIPANTES" sheetId="6" r:id="rId1"/>
    <sheet name="CONSOLIDADO" sheetId="7" r:id="rId2"/>
    <sheet name="GRAFO" sheetId="1" r:id="rId3"/>
    <sheet name="MODELAGEM_1" sheetId="2" r:id="rId4"/>
    <sheet name="MODELAGEM_2" sheetId="3" r:id="rId5"/>
    <sheet name="MODELAGEM_3" sheetId="4" r:id="rId6"/>
    <sheet name="MODELAGEM_4" sheetId="5" r:id="rId7"/>
    <sheet name="MODELAGEM_5" sheetId="9" r:id="rId8"/>
    <sheet name="MODELAGEM_6" sheetId="10" r:id="rId9"/>
    <sheet name="MODELAGEM_7" sheetId="12" r:id="rId10"/>
    <sheet name="MODELAGEM_8" sheetId="13" r:id="rId11"/>
    <sheet name="MODELAGEM_9" sheetId="11" r:id="rId12"/>
    <sheet name="MODELAGEM_11" sheetId="8" r:id="rId13"/>
    <sheet name="MODELAGEM_12" sheetId="14" r:id="rId14"/>
    <sheet name="MODELAGEM_13" sheetId="15" r:id="rId15"/>
    <sheet name="MODELAGEM_15" sheetId="16" r:id="rId16"/>
    <sheet name="MODELAGEM_16" sheetId="17" r:id="rId17"/>
    <sheet name="MODELAGEM_17" sheetId="18" r:id="rId18"/>
    <sheet name="MODELAGEM_18" sheetId="19" r:id="rId19"/>
    <sheet name="MODELAGEM_19" sheetId="20" r:id="rId20"/>
    <sheet name="MODELAGEM_20" sheetId="21" r:id="rId21"/>
    <sheet name="MODELAGEM_21" sheetId="22" r:id="rId22"/>
    <sheet name="MODELAGEM_22" sheetId="23" r:id="rId23"/>
    <sheet name="MODELAGEM_23" sheetId="24" r:id="rId24"/>
    <sheet name="MODELAGEM_24" sheetId="25" r:id="rId25"/>
    <sheet name="MODELAGEM_25" sheetId="26" r:id="rId26"/>
    <sheet name="MODELAGEM_26" sheetId="27" r:id="rId27"/>
    <sheet name="MODELAGEM_27" sheetId="28" r:id="rId28"/>
    <sheet name="MODELAGEM_28" sheetId="29" r:id="rId29"/>
    <sheet name="MODELAGEM_29" sheetId="31" r:id="rId30"/>
    <sheet name="MODELAGEM_30" sheetId="32" r:id="rId31"/>
    <sheet name="MODELAGEM_31" sheetId="33" r:id="rId32"/>
  </sheets>
  <definedNames>
    <definedName name="_xlnm._FilterDatabase" localSheetId="3" hidden="1">MODELAGEM_1!$A$2:$F$29</definedName>
    <definedName name="_xlnm._FilterDatabase" localSheetId="0" hidden="1">PARTICIPANTES!$A$1:$I$34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9"/>
  <c r="Q4" s="1"/>
  <c r="N6"/>
  <c r="N5"/>
  <c r="N4"/>
  <c r="G84"/>
  <c r="G83"/>
  <c r="F84"/>
  <c r="F83"/>
  <c r="G101"/>
  <c r="F101"/>
  <c r="E101"/>
  <c r="D101"/>
  <c r="G100"/>
  <c r="F100"/>
  <c r="E100"/>
  <c r="D100"/>
  <c r="G99"/>
  <c r="F99"/>
  <c r="E99"/>
  <c r="D99"/>
  <c r="G98"/>
  <c r="F98"/>
  <c r="E98"/>
  <c r="D98"/>
  <c r="G97"/>
  <c r="F97"/>
  <c r="E97"/>
  <c r="D97"/>
  <c r="G96"/>
  <c r="F96"/>
  <c r="E96"/>
  <c r="D96"/>
  <c r="G95"/>
  <c r="F95"/>
  <c r="E95"/>
  <c r="D95"/>
  <c r="G94"/>
  <c r="F94"/>
  <c r="E94"/>
  <c r="D94"/>
  <c r="G93"/>
  <c r="F93"/>
  <c r="E93"/>
  <c r="D93"/>
  <c r="G92"/>
  <c r="F92"/>
  <c r="E92"/>
  <c r="D92"/>
  <c r="G91"/>
  <c r="F91"/>
  <c r="E91"/>
  <c r="D91"/>
  <c r="G90"/>
  <c r="F90"/>
  <c r="E90"/>
  <c r="D90"/>
  <c r="G89"/>
  <c r="F89"/>
  <c r="E89"/>
  <c r="D89"/>
  <c r="G88"/>
  <c r="F88"/>
  <c r="E88"/>
  <c r="D88"/>
  <c r="G87"/>
  <c r="F87"/>
  <c r="E87"/>
  <c r="D87"/>
  <c r="G86"/>
  <c r="F86"/>
  <c r="E86"/>
  <c r="D86"/>
  <c r="G85"/>
  <c r="F85"/>
  <c r="E85"/>
  <c r="D85"/>
  <c r="E84"/>
  <c r="D84"/>
  <c r="E83"/>
  <c r="D83"/>
  <c r="G82"/>
  <c r="F82"/>
  <c r="E82"/>
  <c r="D82"/>
  <c r="G81"/>
  <c r="F81"/>
  <c r="E81"/>
  <c r="D81"/>
  <c r="G80"/>
  <c r="F80"/>
  <c r="E80"/>
  <c r="D80"/>
  <c r="G79"/>
  <c r="F79"/>
  <c r="E79"/>
  <c r="D79"/>
  <c r="G78"/>
  <c r="F78"/>
  <c r="E78"/>
  <c r="D78"/>
  <c r="G77"/>
  <c r="F77"/>
  <c r="E77"/>
  <c r="D77"/>
  <c r="G76"/>
  <c r="F76"/>
  <c r="E76"/>
  <c r="D76"/>
  <c r="G75"/>
  <c r="F75"/>
  <c r="E75"/>
  <c r="D75"/>
  <c r="G74"/>
  <c r="F74"/>
  <c r="E74"/>
  <c r="D74"/>
  <c r="G73"/>
  <c r="F73"/>
  <c r="E73"/>
  <c r="D73"/>
  <c r="G72"/>
  <c r="F72"/>
  <c r="E72"/>
  <c r="D72"/>
  <c r="G71"/>
  <c r="F71"/>
  <c r="E71"/>
  <c r="D71"/>
  <c r="G70"/>
  <c r="F70"/>
  <c r="E70"/>
  <c r="D70"/>
  <c r="G69"/>
  <c r="F69"/>
  <c r="E69"/>
  <c r="D69"/>
  <c r="G68"/>
  <c r="F68"/>
  <c r="E68"/>
  <c r="D68"/>
  <c r="G67"/>
  <c r="F67"/>
  <c r="E67"/>
  <c r="D67"/>
  <c r="G66"/>
  <c r="F66"/>
  <c r="E66"/>
  <c r="D66"/>
  <c r="G65"/>
  <c r="F65"/>
  <c r="E65"/>
  <c r="D65"/>
  <c r="G64"/>
  <c r="F64"/>
  <c r="E64"/>
  <c r="D64"/>
  <c r="G63"/>
  <c r="F63"/>
  <c r="E63"/>
  <c r="D63"/>
  <c r="G62"/>
  <c r="F62"/>
  <c r="E62"/>
  <c r="D62"/>
  <c r="G61"/>
  <c r="F61"/>
  <c r="E61"/>
  <c r="D61"/>
  <c r="G60"/>
  <c r="F60"/>
  <c r="E60"/>
  <c r="D60"/>
  <c r="G59"/>
  <c r="F59"/>
  <c r="E59"/>
  <c r="D59"/>
  <c r="G58"/>
  <c r="F58"/>
  <c r="E58"/>
  <c r="D58"/>
  <c r="O4" i="33"/>
  <c r="N6"/>
  <c r="N5"/>
  <c r="N4"/>
  <c r="G76"/>
  <c r="F76"/>
  <c r="E76"/>
  <c r="D76"/>
  <c r="G75"/>
  <c r="F75"/>
  <c r="E75"/>
  <c r="D75"/>
  <c r="G74"/>
  <c r="F74"/>
  <c r="E74"/>
  <c r="D74"/>
  <c r="G73"/>
  <c r="F73"/>
  <c r="E73"/>
  <c r="D73"/>
  <c r="G72"/>
  <c r="F72"/>
  <c r="E72"/>
  <c r="D72"/>
  <c r="G71"/>
  <c r="F71"/>
  <c r="E71"/>
  <c r="D71"/>
  <c r="G70"/>
  <c r="F70"/>
  <c r="E70"/>
  <c r="D70"/>
  <c r="G69"/>
  <c r="F69"/>
  <c r="E69"/>
  <c r="D69"/>
  <c r="G68"/>
  <c r="F68"/>
  <c r="E68"/>
  <c r="D68"/>
  <c r="G67"/>
  <c r="F67"/>
  <c r="E67"/>
  <c r="D67"/>
  <c r="G66"/>
  <c r="F66"/>
  <c r="E66"/>
  <c r="D66"/>
  <c r="G65"/>
  <c r="F65"/>
  <c r="E65"/>
  <c r="D65"/>
  <c r="G64"/>
  <c r="F64"/>
  <c r="E64"/>
  <c r="D64"/>
  <c r="G63"/>
  <c r="F63"/>
  <c r="E63"/>
  <c r="D63"/>
  <c r="G62"/>
  <c r="F62"/>
  <c r="E62"/>
  <c r="D62"/>
  <c r="G61"/>
  <c r="F61"/>
  <c r="E61"/>
  <c r="D61"/>
  <c r="G60"/>
  <c r="F60"/>
  <c r="E60"/>
  <c r="D60"/>
  <c r="G59"/>
  <c r="F59"/>
  <c r="E59"/>
  <c r="D59"/>
  <c r="F58"/>
  <c r="G58"/>
  <c r="E58"/>
  <c r="D58"/>
  <c r="C81"/>
  <c r="C80"/>
  <c r="C79"/>
  <c r="C78"/>
  <c r="C77"/>
  <c r="C76"/>
  <c r="C75"/>
  <c r="C74"/>
  <c r="C73"/>
  <c r="C72"/>
  <c r="C71"/>
  <c r="C70"/>
  <c r="C69"/>
  <c r="C68"/>
  <c r="C67"/>
  <c r="C66"/>
  <c r="H63"/>
  <c r="N12"/>
  <c r="N9"/>
  <c r="M5"/>
  <c r="M4"/>
  <c r="O4" i="32"/>
  <c r="N6"/>
  <c r="N5"/>
  <c r="N4"/>
  <c r="N10" s="1"/>
  <c r="G80"/>
  <c r="F80"/>
  <c r="E80"/>
  <c r="D80"/>
  <c r="G79"/>
  <c r="F79"/>
  <c r="E79"/>
  <c r="D79"/>
  <c r="G78"/>
  <c r="F78"/>
  <c r="E78"/>
  <c r="D78"/>
  <c r="G77"/>
  <c r="F77"/>
  <c r="E77"/>
  <c r="D77"/>
  <c r="G76"/>
  <c r="F76"/>
  <c r="E76"/>
  <c r="D76"/>
  <c r="G75"/>
  <c r="F75"/>
  <c r="E75"/>
  <c r="D75"/>
  <c r="G74"/>
  <c r="F74"/>
  <c r="E74"/>
  <c r="D74"/>
  <c r="G73"/>
  <c r="F73"/>
  <c r="E73"/>
  <c r="D73"/>
  <c r="G72"/>
  <c r="F72"/>
  <c r="E72"/>
  <c r="D72"/>
  <c r="G71"/>
  <c r="F71"/>
  <c r="E71"/>
  <c r="D71"/>
  <c r="G70"/>
  <c r="F70"/>
  <c r="E70"/>
  <c r="D70"/>
  <c r="G69"/>
  <c r="F69"/>
  <c r="E69"/>
  <c r="D69"/>
  <c r="G68"/>
  <c r="F68"/>
  <c r="E68"/>
  <c r="D68"/>
  <c r="G67"/>
  <c r="F67"/>
  <c r="E67"/>
  <c r="D67"/>
  <c r="G66"/>
  <c r="F66"/>
  <c r="E66"/>
  <c r="D66"/>
  <c r="G65"/>
  <c r="F65"/>
  <c r="E65"/>
  <c r="D65"/>
  <c r="G64"/>
  <c r="F64"/>
  <c r="E64"/>
  <c r="D64"/>
  <c r="G63"/>
  <c r="F63"/>
  <c r="E63"/>
  <c r="D63"/>
  <c r="G62"/>
  <c r="F62"/>
  <c r="E62"/>
  <c r="D62"/>
  <c r="G61"/>
  <c r="F61"/>
  <c r="E61"/>
  <c r="D61"/>
  <c r="G60"/>
  <c r="F60"/>
  <c r="E60"/>
  <c r="D60"/>
  <c r="G59"/>
  <c r="F59"/>
  <c r="E59"/>
  <c r="D59"/>
  <c r="G58"/>
  <c r="F58"/>
  <c r="D58"/>
  <c r="C81"/>
  <c r="C80"/>
  <c r="C79"/>
  <c r="C78"/>
  <c r="C77"/>
  <c r="C76"/>
  <c r="C75"/>
  <c r="C74"/>
  <c r="C73"/>
  <c r="C72"/>
  <c r="C71"/>
  <c r="C70"/>
  <c r="C69"/>
  <c r="C68"/>
  <c r="C67"/>
  <c r="C66"/>
  <c r="H63"/>
  <c r="E58"/>
  <c r="N9"/>
  <c r="N12" s="1"/>
  <c r="M5"/>
  <c r="M4"/>
  <c r="O4" i="31"/>
  <c r="N6"/>
  <c r="N5"/>
  <c r="N4"/>
  <c r="N10" s="1"/>
  <c r="G83"/>
  <c r="F83"/>
  <c r="E83"/>
  <c r="D83"/>
  <c r="G82"/>
  <c r="F82"/>
  <c r="E82"/>
  <c r="D82"/>
  <c r="G81"/>
  <c r="F81"/>
  <c r="E81"/>
  <c r="D81"/>
  <c r="G80"/>
  <c r="F80"/>
  <c r="E80"/>
  <c r="D80"/>
  <c r="G79"/>
  <c r="F79"/>
  <c r="E79"/>
  <c r="D79"/>
  <c r="G78"/>
  <c r="F78"/>
  <c r="E78"/>
  <c r="D78"/>
  <c r="G77"/>
  <c r="F77"/>
  <c r="E77"/>
  <c r="D77"/>
  <c r="G76"/>
  <c r="F76"/>
  <c r="E76"/>
  <c r="D76"/>
  <c r="G75"/>
  <c r="F75"/>
  <c r="E75"/>
  <c r="D75"/>
  <c r="G74"/>
  <c r="F74"/>
  <c r="E74"/>
  <c r="D74"/>
  <c r="G73"/>
  <c r="F73"/>
  <c r="E73"/>
  <c r="D73"/>
  <c r="G72"/>
  <c r="F72"/>
  <c r="E72"/>
  <c r="D72"/>
  <c r="G71"/>
  <c r="F71"/>
  <c r="E71"/>
  <c r="D71"/>
  <c r="G70"/>
  <c r="F70"/>
  <c r="E70"/>
  <c r="D70"/>
  <c r="G69"/>
  <c r="F69"/>
  <c r="E69"/>
  <c r="D69"/>
  <c r="G68"/>
  <c r="F68"/>
  <c r="E68"/>
  <c r="D68"/>
  <c r="G67"/>
  <c r="F67"/>
  <c r="E67"/>
  <c r="D67"/>
  <c r="G66"/>
  <c r="F66"/>
  <c r="E66"/>
  <c r="D66"/>
  <c r="G65"/>
  <c r="F65"/>
  <c r="E65"/>
  <c r="D65"/>
  <c r="G64"/>
  <c r="F64"/>
  <c r="E64"/>
  <c r="D64"/>
  <c r="G63"/>
  <c r="F63"/>
  <c r="E63"/>
  <c r="D63"/>
  <c r="G62"/>
  <c r="F62"/>
  <c r="E62"/>
  <c r="D62"/>
  <c r="G61"/>
  <c r="F61"/>
  <c r="E61"/>
  <c r="D61"/>
  <c r="G60"/>
  <c r="F60"/>
  <c r="E60"/>
  <c r="D60"/>
  <c r="G59"/>
  <c r="F59"/>
  <c r="E59"/>
  <c r="D59"/>
  <c r="G58"/>
  <c r="F58"/>
  <c r="E58"/>
  <c r="D58"/>
  <c r="C81"/>
  <c r="C80"/>
  <c r="C79"/>
  <c r="C78"/>
  <c r="C77"/>
  <c r="C76"/>
  <c r="C75"/>
  <c r="C74"/>
  <c r="C73"/>
  <c r="C72"/>
  <c r="C71"/>
  <c r="C70"/>
  <c r="C69"/>
  <c r="C68"/>
  <c r="C67"/>
  <c r="C66"/>
  <c r="H63"/>
  <c r="N12"/>
  <c r="N9"/>
  <c r="M5"/>
  <c r="M4"/>
  <c r="C81" i="29"/>
  <c r="C80"/>
  <c r="C79"/>
  <c r="C78"/>
  <c r="C77"/>
  <c r="C76"/>
  <c r="C75"/>
  <c r="C74"/>
  <c r="C73"/>
  <c r="C72"/>
  <c r="C71"/>
  <c r="C70"/>
  <c r="C69"/>
  <c r="C68"/>
  <c r="C67"/>
  <c r="C66"/>
  <c r="H63"/>
  <c r="N12"/>
  <c r="N9"/>
  <c r="M5"/>
  <c r="M4"/>
  <c r="R4" i="33" l="1"/>
  <c r="U4" s="1"/>
  <c r="O63"/>
  <c r="T63" s="1"/>
  <c r="U63" s="1"/>
  <c r="I73"/>
  <c r="L73" s="1"/>
  <c r="M73" s="1"/>
  <c r="O66"/>
  <c r="T66" s="1"/>
  <c r="U66" s="1"/>
  <c r="O65"/>
  <c r="T65" s="1"/>
  <c r="U65" s="1"/>
  <c r="I62"/>
  <c r="L62" s="1"/>
  <c r="M62" s="1"/>
  <c r="N10"/>
  <c r="I66"/>
  <c r="L66" s="1"/>
  <c r="M66" s="1"/>
  <c r="I71"/>
  <c r="L71" s="1"/>
  <c r="M71" s="1"/>
  <c r="I59"/>
  <c r="L59" s="1"/>
  <c r="M59" s="1"/>
  <c r="O73"/>
  <c r="T73" s="1"/>
  <c r="U73" s="1"/>
  <c r="O58"/>
  <c r="T58" s="1"/>
  <c r="U58" s="1"/>
  <c r="I75"/>
  <c r="L75" s="1"/>
  <c r="M75" s="1"/>
  <c r="I63"/>
  <c r="L63" s="1"/>
  <c r="M63" s="1"/>
  <c r="I70"/>
  <c r="L70" s="1"/>
  <c r="M70" s="1"/>
  <c r="I60"/>
  <c r="L60" s="1"/>
  <c r="M60" s="1"/>
  <c r="O62"/>
  <c r="T62" s="1"/>
  <c r="U62" s="1"/>
  <c r="I64"/>
  <c r="L64" s="1"/>
  <c r="M64" s="1"/>
  <c r="I67"/>
  <c r="L67" s="1"/>
  <c r="M67" s="1"/>
  <c r="O76"/>
  <c r="T76" s="1"/>
  <c r="U76" s="1"/>
  <c r="O68"/>
  <c r="T68" s="1"/>
  <c r="U68" s="1"/>
  <c r="O74"/>
  <c r="T74" s="1"/>
  <c r="U74" s="1"/>
  <c r="I65"/>
  <c r="L65" s="1"/>
  <c r="M65" s="1"/>
  <c r="O71"/>
  <c r="T71" s="1"/>
  <c r="U71" s="1"/>
  <c r="I69"/>
  <c r="L69" s="1"/>
  <c r="M69" s="1"/>
  <c r="O72"/>
  <c r="T72" s="1"/>
  <c r="U72" s="1"/>
  <c r="O59"/>
  <c r="T59" s="1"/>
  <c r="U59" s="1"/>
  <c r="I72"/>
  <c r="L72" s="1"/>
  <c r="M72" s="1"/>
  <c r="I74"/>
  <c r="L74" s="1"/>
  <c r="M74" s="1"/>
  <c r="Q4"/>
  <c r="O61"/>
  <c r="T61" s="1"/>
  <c r="U61" s="1"/>
  <c r="O70"/>
  <c r="T70" s="1"/>
  <c r="U70" s="1"/>
  <c r="I58"/>
  <c r="L58" s="1"/>
  <c r="M58" s="1"/>
  <c r="O64"/>
  <c r="T64" s="1"/>
  <c r="U64" s="1"/>
  <c r="O67"/>
  <c r="T67" s="1"/>
  <c r="U67" s="1"/>
  <c r="I68"/>
  <c r="L68" s="1"/>
  <c r="M68" s="1"/>
  <c r="O75"/>
  <c r="T75" s="1"/>
  <c r="U75" s="1"/>
  <c r="I76"/>
  <c r="L76" s="1"/>
  <c r="M76" s="1"/>
  <c r="O60"/>
  <c r="T60" s="1"/>
  <c r="U60" s="1"/>
  <c r="I61"/>
  <c r="L61" s="1"/>
  <c r="M61" s="1"/>
  <c r="O69"/>
  <c r="T69" s="1"/>
  <c r="U69" s="1"/>
  <c r="Q4" i="32"/>
  <c r="V4" s="1"/>
  <c r="I73"/>
  <c r="L73" s="1"/>
  <c r="M73" s="1"/>
  <c r="I64"/>
  <c r="L64" s="1"/>
  <c r="M64" s="1"/>
  <c r="I58"/>
  <c r="L58" s="1"/>
  <c r="M58" s="1"/>
  <c r="I75"/>
  <c r="L75" s="1"/>
  <c r="M75" s="1"/>
  <c r="I77"/>
  <c r="L77" s="1"/>
  <c r="M77" s="1"/>
  <c r="I67"/>
  <c r="L67" s="1"/>
  <c r="M67" s="1"/>
  <c r="I69"/>
  <c r="L69" s="1"/>
  <c r="M69" s="1"/>
  <c r="I71"/>
  <c r="L71" s="1"/>
  <c r="M71" s="1"/>
  <c r="I70"/>
  <c r="L70" s="1"/>
  <c r="M70" s="1"/>
  <c r="O60"/>
  <c r="T60" s="1"/>
  <c r="U60" s="1"/>
  <c r="O65"/>
  <c r="T65" s="1"/>
  <c r="U65" s="1"/>
  <c r="I61"/>
  <c r="L61" s="1"/>
  <c r="M61" s="1"/>
  <c r="O58"/>
  <c r="T58" s="1"/>
  <c r="U58" s="1"/>
  <c r="I62"/>
  <c r="L62" s="1"/>
  <c r="M62" s="1"/>
  <c r="O61"/>
  <c r="T61" s="1"/>
  <c r="U61" s="1"/>
  <c r="I78"/>
  <c r="L78" s="1"/>
  <c r="M78" s="1"/>
  <c r="O73"/>
  <c r="T73" s="1"/>
  <c r="U73" s="1"/>
  <c r="I63"/>
  <c r="L63" s="1"/>
  <c r="M63" s="1"/>
  <c r="I79"/>
  <c r="L79" s="1"/>
  <c r="M79" s="1"/>
  <c r="O59"/>
  <c r="T59" s="1"/>
  <c r="U59" s="1"/>
  <c r="I65"/>
  <c r="L65" s="1"/>
  <c r="M65" s="1"/>
  <c r="O70"/>
  <c r="T70" s="1"/>
  <c r="U70" s="1"/>
  <c r="O78"/>
  <c r="T78" s="1"/>
  <c r="U78" s="1"/>
  <c r="O68"/>
  <c r="T68" s="1"/>
  <c r="U68" s="1"/>
  <c r="I72"/>
  <c r="L72" s="1"/>
  <c r="M72" s="1"/>
  <c r="O76"/>
  <c r="T76" s="1"/>
  <c r="U76" s="1"/>
  <c r="I80"/>
  <c r="L80" s="1"/>
  <c r="M80" s="1"/>
  <c r="I59"/>
  <c r="L59" s="1"/>
  <c r="M59" s="1"/>
  <c r="O62"/>
  <c r="T62" s="1"/>
  <c r="U62" s="1"/>
  <c r="O75"/>
  <c r="T75" s="1"/>
  <c r="U75" s="1"/>
  <c r="O67"/>
  <c r="T67" s="1"/>
  <c r="U67" s="1"/>
  <c r="O64"/>
  <c r="T64" s="1"/>
  <c r="U64" s="1"/>
  <c r="O74"/>
  <c r="T74" s="1"/>
  <c r="U74" s="1"/>
  <c r="O66"/>
  <c r="T66" s="1"/>
  <c r="U66" s="1"/>
  <c r="I66"/>
  <c r="L66" s="1"/>
  <c r="M66" s="1"/>
  <c r="I68"/>
  <c r="L68" s="1"/>
  <c r="M68" s="1"/>
  <c r="O72"/>
  <c r="T72" s="1"/>
  <c r="U72" s="1"/>
  <c r="I74"/>
  <c r="L74" s="1"/>
  <c r="M74" s="1"/>
  <c r="I76"/>
  <c r="L76" s="1"/>
  <c r="M76" s="1"/>
  <c r="O80"/>
  <c r="T80" s="1"/>
  <c r="U80" s="1"/>
  <c r="O63"/>
  <c r="T63" s="1"/>
  <c r="U63" s="1"/>
  <c r="O69"/>
  <c r="T69" s="1"/>
  <c r="U69" s="1"/>
  <c r="O77"/>
  <c r="T77" s="1"/>
  <c r="U77" s="1"/>
  <c r="I60"/>
  <c r="L60" s="1"/>
  <c r="M60" s="1"/>
  <c r="O71"/>
  <c r="T71" s="1"/>
  <c r="U71" s="1"/>
  <c r="O79"/>
  <c r="T79" s="1"/>
  <c r="U79" s="1"/>
  <c r="R4"/>
  <c r="P4" s="1"/>
  <c r="O61" i="31"/>
  <c r="T61" s="1"/>
  <c r="U61" s="1"/>
  <c r="I83"/>
  <c r="L83" s="1"/>
  <c r="M83" s="1"/>
  <c r="O74"/>
  <c r="T74" s="1"/>
  <c r="U74" s="1"/>
  <c r="I74"/>
  <c r="L74" s="1"/>
  <c r="M74" s="1"/>
  <c r="O82"/>
  <c r="T82" s="1"/>
  <c r="U82" s="1"/>
  <c r="I58"/>
  <c r="L58" s="1"/>
  <c r="M58" s="1"/>
  <c r="I60"/>
  <c r="L60" s="1"/>
  <c r="M60" s="1"/>
  <c r="O62"/>
  <c r="T62" s="1"/>
  <c r="U62" s="1"/>
  <c r="I66"/>
  <c r="L66" s="1"/>
  <c r="M66" s="1"/>
  <c r="O75"/>
  <c r="T75" s="1"/>
  <c r="U75" s="1"/>
  <c r="O79"/>
  <c r="T79" s="1"/>
  <c r="U79" s="1"/>
  <c r="I63"/>
  <c r="L63" s="1"/>
  <c r="M63" s="1"/>
  <c r="I68"/>
  <c r="L68" s="1"/>
  <c r="M68" s="1"/>
  <c r="I76"/>
  <c r="L76" s="1"/>
  <c r="M76" s="1"/>
  <c r="I78"/>
  <c r="L78" s="1"/>
  <c r="M78" s="1"/>
  <c r="I65"/>
  <c r="L65" s="1"/>
  <c r="M65" s="1"/>
  <c r="I71"/>
  <c r="L71" s="1"/>
  <c r="M71" s="1"/>
  <c r="O81"/>
  <c r="T81" s="1"/>
  <c r="U81" s="1"/>
  <c r="O68"/>
  <c r="T68" s="1"/>
  <c r="U68" s="1"/>
  <c r="O76"/>
  <c r="T76" s="1"/>
  <c r="U76" s="1"/>
  <c r="O64"/>
  <c r="T64" s="1"/>
  <c r="U64" s="1"/>
  <c r="I69"/>
  <c r="L69" s="1"/>
  <c r="M69" s="1"/>
  <c r="I77"/>
  <c r="L77" s="1"/>
  <c r="M77" s="1"/>
  <c r="I81"/>
  <c r="L81" s="1"/>
  <c r="M81" s="1"/>
  <c r="O60"/>
  <c r="T60" s="1"/>
  <c r="U60" s="1"/>
  <c r="I72"/>
  <c r="L72" s="1"/>
  <c r="M72" s="1"/>
  <c r="I62"/>
  <c r="L62" s="1"/>
  <c r="M62" s="1"/>
  <c r="O70"/>
  <c r="T70" s="1"/>
  <c r="U70" s="1"/>
  <c r="O78"/>
  <c r="T78" s="1"/>
  <c r="U78" s="1"/>
  <c r="O59"/>
  <c r="T59" s="1"/>
  <c r="U59" s="1"/>
  <c r="O67"/>
  <c r="T67" s="1"/>
  <c r="U67" s="1"/>
  <c r="I70"/>
  <c r="L70" s="1"/>
  <c r="M70" s="1"/>
  <c r="O73"/>
  <c r="T73" s="1"/>
  <c r="U73" s="1"/>
  <c r="I80"/>
  <c r="L80" s="1"/>
  <c r="M80" s="1"/>
  <c r="O58"/>
  <c r="T58" s="1"/>
  <c r="U58" s="1"/>
  <c r="I79"/>
  <c r="L79" s="1"/>
  <c r="M79" s="1"/>
  <c r="I82"/>
  <c r="L82" s="1"/>
  <c r="M82" s="1"/>
  <c r="O72"/>
  <c r="T72" s="1"/>
  <c r="U72" s="1"/>
  <c r="O71"/>
  <c r="T71" s="1"/>
  <c r="U71" s="1"/>
  <c r="I59"/>
  <c r="L59" s="1"/>
  <c r="M59" s="1"/>
  <c r="O63"/>
  <c r="T63" s="1"/>
  <c r="U63" s="1"/>
  <c r="O66"/>
  <c r="T66" s="1"/>
  <c r="U66" s="1"/>
  <c r="I73"/>
  <c r="L73" s="1"/>
  <c r="M73" s="1"/>
  <c r="O80"/>
  <c r="T80" s="1"/>
  <c r="U80" s="1"/>
  <c r="I61"/>
  <c r="L61" s="1"/>
  <c r="M61" s="1"/>
  <c r="O69"/>
  <c r="T69" s="1"/>
  <c r="U69" s="1"/>
  <c r="O77"/>
  <c r="T77" s="1"/>
  <c r="U77" s="1"/>
  <c r="O83"/>
  <c r="T83" s="1"/>
  <c r="U83" s="1"/>
  <c r="I64"/>
  <c r="L64" s="1"/>
  <c r="M64" s="1"/>
  <c r="I67"/>
  <c r="L67" s="1"/>
  <c r="M67" s="1"/>
  <c r="I75"/>
  <c r="L75" s="1"/>
  <c r="M75" s="1"/>
  <c r="R4"/>
  <c r="U4" s="1"/>
  <c r="O65"/>
  <c r="T65" s="1"/>
  <c r="U65" s="1"/>
  <c r="Q4"/>
  <c r="I73" i="29"/>
  <c r="L73" s="1"/>
  <c r="M73" s="1"/>
  <c r="I81"/>
  <c r="L81" s="1"/>
  <c r="M81" s="1"/>
  <c r="I85"/>
  <c r="L85" s="1"/>
  <c r="M85" s="1"/>
  <c r="I95"/>
  <c r="L95" s="1"/>
  <c r="M95" s="1"/>
  <c r="I97"/>
  <c r="L97" s="1"/>
  <c r="M97" s="1"/>
  <c r="O59"/>
  <c r="T59" s="1"/>
  <c r="U59" s="1"/>
  <c r="I78"/>
  <c r="L78" s="1"/>
  <c r="M78" s="1"/>
  <c r="R4"/>
  <c r="U4" s="1"/>
  <c r="I71"/>
  <c r="L71" s="1"/>
  <c r="M71" s="1"/>
  <c r="O74"/>
  <c r="T74" s="1"/>
  <c r="U74" s="1"/>
  <c r="I76"/>
  <c r="L76" s="1"/>
  <c r="M76" s="1"/>
  <c r="I99"/>
  <c r="L99" s="1"/>
  <c r="M99" s="1"/>
  <c r="I62"/>
  <c r="L62" s="1"/>
  <c r="M62" s="1"/>
  <c r="O67"/>
  <c r="T67" s="1"/>
  <c r="U67" s="1"/>
  <c r="I70"/>
  <c r="L70" s="1"/>
  <c r="M70" s="1"/>
  <c r="I98"/>
  <c r="L98" s="1"/>
  <c r="M98" s="1"/>
  <c r="O71"/>
  <c r="T71" s="1"/>
  <c r="U71" s="1"/>
  <c r="I74"/>
  <c r="L74" s="1"/>
  <c r="M74" s="1"/>
  <c r="I59"/>
  <c r="L59" s="1"/>
  <c r="M59" s="1"/>
  <c r="O82"/>
  <c r="T82" s="1"/>
  <c r="U82" s="1"/>
  <c r="I58"/>
  <c r="L58" s="1"/>
  <c r="M58" s="1"/>
  <c r="O70"/>
  <c r="T70" s="1"/>
  <c r="U70" s="1"/>
  <c r="I65"/>
  <c r="L65" s="1"/>
  <c r="M65" s="1"/>
  <c r="I77"/>
  <c r="L77" s="1"/>
  <c r="M77" s="1"/>
  <c r="O79"/>
  <c r="T79" s="1"/>
  <c r="U79" s="1"/>
  <c r="O66"/>
  <c r="T66" s="1"/>
  <c r="U66" s="1"/>
  <c r="I68"/>
  <c r="L68" s="1"/>
  <c r="M68" s="1"/>
  <c r="O84"/>
  <c r="T84" s="1"/>
  <c r="U84" s="1"/>
  <c r="O86"/>
  <c r="T86" s="1"/>
  <c r="U86" s="1"/>
  <c r="O88"/>
  <c r="T88" s="1"/>
  <c r="U88" s="1"/>
  <c r="I94"/>
  <c r="L94" s="1"/>
  <c r="M94" s="1"/>
  <c r="O96"/>
  <c r="T96" s="1"/>
  <c r="U96" s="1"/>
  <c r="N10"/>
  <c r="O69"/>
  <c r="T69" s="1"/>
  <c r="U69" s="1"/>
  <c r="I87"/>
  <c r="L87" s="1"/>
  <c r="M87" s="1"/>
  <c r="I91"/>
  <c r="L91" s="1"/>
  <c r="M91" s="1"/>
  <c r="O62"/>
  <c r="T62" s="1"/>
  <c r="U62" s="1"/>
  <c r="O87"/>
  <c r="T87" s="1"/>
  <c r="U87" s="1"/>
  <c r="O95"/>
  <c r="T95" s="1"/>
  <c r="U95" s="1"/>
  <c r="O90"/>
  <c r="T90" s="1"/>
  <c r="U90" s="1"/>
  <c r="O91"/>
  <c r="T91" s="1"/>
  <c r="U91" s="1"/>
  <c r="O63"/>
  <c r="T63" s="1"/>
  <c r="U63" s="1"/>
  <c r="O77"/>
  <c r="T77" s="1"/>
  <c r="U77" s="1"/>
  <c r="O78"/>
  <c r="T78" s="1"/>
  <c r="U78" s="1"/>
  <c r="I83"/>
  <c r="L83" s="1"/>
  <c r="M83" s="1"/>
  <c r="I93"/>
  <c r="L93" s="1"/>
  <c r="M93" s="1"/>
  <c r="O100"/>
  <c r="T100" s="1"/>
  <c r="U100" s="1"/>
  <c r="O68"/>
  <c r="T68" s="1"/>
  <c r="U68" s="1"/>
  <c r="I66"/>
  <c r="L66" s="1"/>
  <c r="M66" s="1"/>
  <c r="O80"/>
  <c r="T80" s="1"/>
  <c r="U80" s="1"/>
  <c r="O64"/>
  <c r="T64" s="1"/>
  <c r="U64" s="1"/>
  <c r="I69"/>
  <c r="L69" s="1"/>
  <c r="M69" s="1"/>
  <c r="O83"/>
  <c r="T83" s="1"/>
  <c r="U83" s="1"/>
  <c r="I89"/>
  <c r="L89" s="1"/>
  <c r="M89" s="1"/>
  <c r="I90"/>
  <c r="L90" s="1"/>
  <c r="M90" s="1"/>
  <c r="I63"/>
  <c r="L63" s="1"/>
  <c r="M63" s="1"/>
  <c r="I79"/>
  <c r="L79" s="1"/>
  <c r="M79" s="1"/>
  <c r="I86"/>
  <c r="L86" s="1"/>
  <c r="M86" s="1"/>
  <c r="O98"/>
  <c r="T98" s="1"/>
  <c r="U98" s="1"/>
  <c r="O76"/>
  <c r="T76" s="1"/>
  <c r="U76" s="1"/>
  <c r="I82"/>
  <c r="L82" s="1"/>
  <c r="M82" s="1"/>
  <c r="O58"/>
  <c r="T58" s="1"/>
  <c r="U58" s="1"/>
  <c r="O60"/>
  <c r="T60" s="1"/>
  <c r="U60" s="1"/>
  <c r="O72"/>
  <c r="T72" s="1"/>
  <c r="U72" s="1"/>
  <c r="O75"/>
  <c r="T75" s="1"/>
  <c r="U75" s="1"/>
  <c r="O92"/>
  <c r="T92" s="1"/>
  <c r="U92" s="1"/>
  <c r="O94"/>
  <c r="T94" s="1"/>
  <c r="U94" s="1"/>
  <c r="O99"/>
  <c r="T99" s="1"/>
  <c r="U99" s="1"/>
  <c r="I101"/>
  <c r="L101" s="1"/>
  <c r="M101" s="1"/>
  <c r="V4"/>
  <c r="I61"/>
  <c r="L61" s="1"/>
  <c r="M61" s="1"/>
  <c r="O61"/>
  <c r="T61" s="1"/>
  <c r="U61" s="1"/>
  <c r="I64"/>
  <c r="L64" s="1"/>
  <c r="M64" s="1"/>
  <c r="I67"/>
  <c r="L67" s="1"/>
  <c r="M67" s="1"/>
  <c r="I75"/>
  <c r="L75" s="1"/>
  <c r="M75" s="1"/>
  <c r="I84"/>
  <c r="L84" s="1"/>
  <c r="M84" s="1"/>
  <c r="I88"/>
  <c r="L88" s="1"/>
  <c r="M88" s="1"/>
  <c r="I92"/>
  <c r="L92" s="1"/>
  <c r="M92" s="1"/>
  <c r="I96"/>
  <c r="L96" s="1"/>
  <c r="M96" s="1"/>
  <c r="I100"/>
  <c r="L100" s="1"/>
  <c r="M100" s="1"/>
  <c r="I60"/>
  <c r="L60" s="1"/>
  <c r="M60" s="1"/>
  <c r="I72"/>
  <c r="L72" s="1"/>
  <c r="M72" s="1"/>
  <c r="I80"/>
  <c r="L80" s="1"/>
  <c r="M80" s="1"/>
  <c r="O65"/>
  <c r="T65" s="1"/>
  <c r="U65" s="1"/>
  <c r="O73"/>
  <c r="T73" s="1"/>
  <c r="U73" s="1"/>
  <c r="O81"/>
  <c r="T81" s="1"/>
  <c r="U81" s="1"/>
  <c r="O85"/>
  <c r="T85" s="1"/>
  <c r="U85" s="1"/>
  <c r="O89"/>
  <c r="T89" s="1"/>
  <c r="U89" s="1"/>
  <c r="O93"/>
  <c r="T93" s="1"/>
  <c r="U93" s="1"/>
  <c r="O97"/>
  <c r="T97" s="1"/>
  <c r="U97" s="1"/>
  <c r="O101"/>
  <c r="T101" s="1"/>
  <c r="U101" s="1"/>
  <c r="X4" i="2"/>
  <c r="X4" i="3"/>
  <c r="X4" i="4"/>
  <c r="X4" i="5"/>
  <c r="X4" i="9"/>
  <c r="X4" i="10"/>
  <c r="X4" i="12"/>
  <c r="X4" i="13"/>
  <c r="X4" i="11"/>
  <c r="X4" i="8"/>
  <c r="X4" i="14"/>
  <c r="X4" i="15"/>
  <c r="X4" i="16"/>
  <c r="X4" i="17"/>
  <c r="X4" i="18"/>
  <c r="X4" i="19"/>
  <c r="X4" i="20"/>
  <c r="X4" i="21"/>
  <c r="X4" i="22"/>
  <c r="X4" i="23"/>
  <c r="X4" i="24"/>
  <c r="X4" i="27"/>
  <c r="X4" i="26"/>
  <c r="X4" i="25"/>
  <c r="X4" i="28"/>
  <c r="D3" i="7"/>
  <c r="C5"/>
  <c r="C4"/>
  <c r="C3"/>
  <c r="O4" i="28"/>
  <c r="N6"/>
  <c r="N5"/>
  <c r="N4"/>
  <c r="G97"/>
  <c r="F97"/>
  <c r="E97"/>
  <c r="D97"/>
  <c r="G96"/>
  <c r="F96"/>
  <c r="E96"/>
  <c r="D96"/>
  <c r="G95"/>
  <c r="F95"/>
  <c r="E95"/>
  <c r="D95"/>
  <c r="G94"/>
  <c r="F94"/>
  <c r="E94"/>
  <c r="D94"/>
  <c r="G93"/>
  <c r="F93"/>
  <c r="E93"/>
  <c r="D93"/>
  <c r="G92"/>
  <c r="F92"/>
  <c r="E92"/>
  <c r="D92"/>
  <c r="G91"/>
  <c r="F91"/>
  <c r="E91"/>
  <c r="D91"/>
  <c r="G90"/>
  <c r="F90"/>
  <c r="E90"/>
  <c r="D90"/>
  <c r="G89"/>
  <c r="F89"/>
  <c r="E89"/>
  <c r="D89"/>
  <c r="G88"/>
  <c r="F88"/>
  <c r="E88"/>
  <c r="D88"/>
  <c r="G87"/>
  <c r="F87"/>
  <c r="E87"/>
  <c r="D87"/>
  <c r="G86"/>
  <c r="F86"/>
  <c r="E86"/>
  <c r="D86"/>
  <c r="G85"/>
  <c r="F85"/>
  <c r="E85"/>
  <c r="D85"/>
  <c r="G84"/>
  <c r="F84"/>
  <c r="E84"/>
  <c r="D84"/>
  <c r="G83"/>
  <c r="F83"/>
  <c r="E83"/>
  <c r="D83"/>
  <c r="G82"/>
  <c r="F82"/>
  <c r="E82"/>
  <c r="D82"/>
  <c r="G81"/>
  <c r="F81"/>
  <c r="E81"/>
  <c r="D81"/>
  <c r="G80"/>
  <c r="F80"/>
  <c r="E80"/>
  <c r="D80"/>
  <c r="G79"/>
  <c r="F79"/>
  <c r="E79"/>
  <c r="D79"/>
  <c r="G78"/>
  <c r="F78"/>
  <c r="E78"/>
  <c r="D78"/>
  <c r="G77"/>
  <c r="F77"/>
  <c r="E77"/>
  <c r="D77"/>
  <c r="G76"/>
  <c r="F76"/>
  <c r="E76"/>
  <c r="D76"/>
  <c r="G75"/>
  <c r="F75"/>
  <c r="E75"/>
  <c r="D75"/>
  <c r="G74"/>
  <c r="F74"/>
  <c r="E74"/>
  <c r="D74"/>
  <c r="G73"/>
  <c r="F73"/>
  <c r="E73"/>
  <c r="D73"/>
  <c r="G72"/>
  <c r="F72"/>
  <c r="E72"/>
  <c r="D72"/>
  <c r="G71"/>
  <c r="F71"/>
  <c r="E71"/>
  <c r="D71"/>
  <c r="G70"/>
  <c r="F70"/>
  <c r="E70"/>
  <c r="D70"/>
  <c r="G69"/>
  <c r="F69"/>
  <c r="E69"/>
  <c r="D69"/>
  <c r="G68"/>
  <c r="F68"/>
  <c r="E68"/>
  <c r="D68"/>
  <c r="G67"/>
  <c r="F67"/>
  <c r="E67"/>
  <c r="D67"/>
  <c r="G66"/>
  <c r="F66"/>
  <c r="E66"/>
  <c r="D66"/>
  <c r="G65"/>
  <c r="F65"/>
  <c r="E65"/>
  <c r="D65"/>
  <c r="G64"/>
  <c r="F64"/>
  <c r="E64"/>
  <c r="D64"/>
  <c r="G63"/>
  <c r="F63"/>
  <c r="E63"/>
  <c r="D63"/>
  <c r="G62"/>
  <c r="F62"/>
  <c r="E62"/>
  <c r="D62"/>
  <c r="G61"/>
  <c r="F61"/>
  <c r="E61"/>
  <c r="D61"/>
  <c r="G60"/>
  <c r="F60"/>
  <c r="E60"/>
  <c r="D60"/>
  <c r="G59"/>
  <c r="F59"/>
  <c r="E59"/>
  <c r="D59"/>
  <c r="G58"/>
  <c r="F58"/>
  <c r="E58"/>
  <c r="D58"/>
  <c r="C81"/>
  <c r="C80"/>
  <c r="C79"/>
  <c r="C78"/>
  <c r="C77"/>
  <c r="C76"/>
  <c r="C75"/>
  <c r="C74"/>
  <c r="C73"/>
  <c r="C72"/>
  <c r="C71"/>
  <c r="C70"/>
  <c r="C69"/>
  <c r="C68"/>
  <c r="C67"/>
  <c r="C66"/>
  <c r="H63"/>
  <c r="N9"/>
  <c r="N12" s="1"/>
  <c r="M5"/>
  <c r="M4"/>
  <c r="Q4" s="1"/>
  <c r="O4" i="27"/>
  <c r="N4"/>
  <c r="N10" s="1"/>
  <c r="G103"/>
  <c r="F103"/>
  <c r="E103"/>
  <c r="D103"/>
  <c r="G102"/>
  <c r="F102"/>
  <c r="E102"/>
  <c r="D102"/>
  <c r="G101"/>
  <c r="F101"/>
  <c r="E101"/>
  <c r="D101"/>
  <c r="G100"/>
  <c r="F100"/>
  <c r="E100"/>
  <c r="D100"/>
  <c r="G99"/>
  <c r="F99"/>
  <c r="E99"/>
  <c r="D99"/>
  <c r="G98"/>
  <c r="F98"/>
  <c r="E98"/>
  <c r="D98"/>
  <c r="G97"/>
  <c r="F97"/>
  <c r="E97"/>
  <c r="D97"/>
  <c r="G96"/>
  <c r="F96"/>
  <c r="E96"/>
  <c r="D96"/>
  <c r="G95"/>
  <c r="F95"/>
  <c r="E95"/>
  <c r="D95"/>
  <c r="G94"/>
  <c r="F94"/>
  <c r="E94"/>
  <c r="D94"/>
  <c r="G93"/>
  <c r="F93"/>
  <c r="E93"/>
  <c r="D93"/>
  <c r="G92"/>
  <c r="F92"/>
  <c r="E92"/>
  <c r="D92"/>
  <c r="G91"/>
  <c r="F91"/>
  <c r="E91"/>
  <c r="D91"/>
  <c r="G90"/>
  <c r="F90"/>
  <c r="E90"/>
  <c r="D90"/>
  <c r="G89"/>
  <c r="F89"/>
  <c r="E89"/>
  <c r="D89"/>
  <c r="G88"/>
  <c r="F88"/>
  <c r="E88"/>
  <c r="D88"/>
  <c r="G87"/>
  <c r="F87"/>
  <c r="E87"/>
  <c r="D87"/>
  <c r="G86"/>
  <c r="F86"/>
  <c r="E86"/>
  <c r="D86"/>
  <c r="G85"/>
  <c r="F85"/>
  <c r="E85"/>
  <c r="D85"/>
  <c r="G84"/>
  <c r="F84"/>
  <c r="E84"/>
  <c r="D84"/>
  <c r="G83"/>
  <c r="F83"/>
  <c r="E83"/>
  <c r="D83"/>
  <c r="G82"/>
  <c r="F82"/>
  <c r="E82"/>
  <c r="D82"/>
  <c r="G81"/>
  <c r="F81"/>
  <c r="E81"/>
  <c r="D81"/>
  <c r="G80"/>
  <c r="F80"/>
  <c r="E80"/>
  <c r="D80"/>
  <c r="G79"/>
  <c r="F79"/>
  <c r="E79"/>
  <c r="D79"/>
  <c r="G78"/>
  <c r="F78"/>
  <c r="E78"/>
  <c r="D78"/>
  <c r="G77"/>
  <c r="F77"/>
  <c r="E77"/>
  <c r="D77"/>
  <c r="G76"/>
  <c r="F76"/>
  <c r="E76"/>
  <c r="D76"/>
  <c r="G75"/>
  <c r="F75"/>
  <c r="E75"/>
  <c r="D75"/>
  <c r="G74"/>
  <c r="F74"/>
  <c r="E74"/>
  <c r="D74"/>
  <c r="G73"/>
  <c r="F73"/>
  <c r="E73"/>
  <c r="D73"/>
  <c r="G72"/>
  <c r="F72"/>
  <c r="E72"/>
  <c r="D72"/>
  <c r="G71"/>
  <c r="F71"/>
  <c r="E71"/>
  <c r="D71"/>
  <c r="G70"/>
  <c r="F70"/>
  <c r="E70"/>
  <c r="D70"/>
  <c r="G69"/>
  <c r="F69"/>
  <c r="E69"/>
  <c r="D69"/>
  <c r="G68"/>
  <c r="F68"/>
  <c r="E68"/>
  <c r="D68"/>
  <c r="G67"/>
  <c r="F67"/>
  <c r="E67"/>
  <c r="D67"/>
  <c r="G66"/>
  <c r="F66"/>
  <c r="E66"/>
  <c r="D66"/>
  <c r="G65"/>
  <c r="F65"/>
  <c r="E65"/>
  <c r="D65"/>
  <c r="G64"/>
  <c r="F64"/>
  <c r="E64"/>
  <c r="D64"/>
  <c r="G63"/>
  <c r="F63"/>
  <c r="E63"/>
  <c r="D63"/>
  <c r="G62"/>
  <c r="F62"/>
  <c r="E62"/>
  <c r="D62"/>
  <c r="G61"/>
  <c r="F61"/>
  <c r="E61"/>
  <c r="D61"/>
  <c r="G60"/>
  <c r="F60"/>
  <c r="E60"/>
  <c r="D60"/>
  <c r="G59"/>
  <c r="F59"/>
  <c r="E59"/>
  <c r="D59"/>
  <c r="G58"/>
  <c r="E58"/>
  <c r="F58"/>
  <c r="D58"/>
  <c r="C81"/>
  <c r="C80"/>
  <c r="C79"/>
  <c r="C78"/>
  <c r="C77"/>
  <c r="C76"/>
  <c r="C75"/>
  <c r="C74"/>
  <c r="C73"/>
  <c r="C72"/>
  <c r="C71"/>
  <c r="C70"/>
  <c r="C69"/>
  <c r="C68"/>
  <c r="C67"/>
  <c r="C66"/>
  <c r="H63"/>
  <c r="O4" i="26"/>
  <c r="N4"/>
  <c r="N10" s="1"/>
  <c r="G56"/>
  <c r="F56"/>
  <c r="E56"/>
  <c r="D56"/>
  <c r="G55"/>
  <c r="F55"/>
  <c r="E55"/>
  <c r="D55"/>
  <c r="G54"/>
  <c r="F54"/>
  <c r="E54"/>
  <c r="D54"/>
  <c r="G53"/>
  <c r="F53"/>
  <c r="E53"/>
  <c r="D53"/>
  <c r="G52"/>
  <c r="F52"/>
  <c r="E52"/>
  <c r="D52"/>
  <c r="G51"/>
  <c r="F51"/>
  <c r="E51"/>
  <c r="D51"/>
  <c r="G50"/>
  <c r="F50"/>
  <c r="E50"/>
  <c r="D50"/>
  <c r="G49"/>
  <c r="F49"/>
  <c r="E49"/>
  <c r="D49"/>
  <c r="G48"/>
  <c r="F48"/>
  <c r="E48"/>
  <c r="D48"/>
  <c r="G47"/>
  <c r="F47"/>
  <c r="E47"/>
  <c r="D47"/>
  <c r="G46"/>
  <c r="F46"/>
  <c r="E46"/>
  <c r="D46"/>
  <c r="G45"/>
  <c r="F45"/>
  <c r="E45"/>
  <c r="D45"/>
  <c r="G44"/>
  <c r="F44"/>
  <c r="E44"/>
  <c r="D44"/>
  <c r="G43"/>
  <c r="F43"/>
  <c r="E43"/>
  <c r="D43"/>
  <c r="G42"/>
  <c r="F42"/>
  <c r="E42"/>
  <c r="D42"/>
  <c r="G41"/>
  <c r="F41"/>
  <c r="E41"/>
  <c r="D41"/>
  <c r="G40"/>
  <c r="F40"/>
  <c r="E40"/>
  <c r="D40"/>
  <c r="C63"/>
  <c r="C62"/>
  <c r="C61"/>
  <c r="C60"/>
  <c r="C59"/>
  <c r="C58"/>
  <c r="C57"/>
  <c r="C56"/>
  <c r="C55"/>
  <c r="C54"/>
  <c r="C53"/>
  <c r="C52"/>
  <c r="C51"/>
  <c r="C50"/>
  <c r="C49"/>
  <c r="C48"/>
  <c r="H45"/>
  <c r="O4" i="25"/>
  <c r="N4"/>
  <c r="N10" s="1"/>
  <c r="G102"/>
  <c r="F102"/>
  <c r="E102"/>
  <c r="D102"/>
  <c r="G101"/>
  <c r="F101"/>
  <c r="E101"/>
  <c r="D101"/>
  <c r="G100"/>
  <c r="F100"/>
  <c r="E100"/>
  <c r="D100"/>
  <c r="G99"/>
  <c r="F99"/>
  <c r="E99"/>
  <c r="D99"/>
  <c r="G98"/>
  <c r="F98"/>
  <c r="E98"/>
  <c r="D98"/>
  <c r="G97"/>
  <c r="F97"/>
  <c r="E97"/>
  <c r="D97"/>
  <c r="G96"/>
  <c r="F96"/>
  <c r="E96"/>
  <c r="D96"/>
  <c r="G95"/>
  <c r="F95"/>
  <c r="E95"/>
  <c r="D95"/>
  <c r="G94"/>
  <c r="F94"/>
  <c r="E94"/>
  <c r="D94"/>
  <c r="G93"/>
  <c r="F93"/>
  <c r="E93"/>
  <c r="D93"/>
  <c r="G92"/>
  <c r="F92"/>
  <c r="E92"/>
  <c r="D92"/>
  <c r="G91"/>
  <c r="F91"/>
  <c r="E91"/>
  <c r="D91"/>
  <c r="G90"/>
  <c r="F90"/>
  <c r="E90"/>
  <c r="D90"/>
  <c r="G89"/>
  <c r="F89"/>
  <c r="E89"/>
  <c r="D89"/>
  <c r="G88"/>
  <c r="F88"/>
  <c r="E88"/>
  <c r="D88"/>
  <c r="G87"/>
  <c r="F87"/>
  <c r="E87"/>
  <c r="D87"/>
  <c r="G86"/>
  <c r="F86"/>
  <c r="E86"/>
  <c r="D86"/>
  <c r="G85"/>
  <c r="F85"/>
  <c r="E85"/>
  <c r="D85"/>
  <c r="G84"/>
  <c r="F84"/>
  <c r="E84"/>
  <c r="D84"/>
  <c r="G83"/>
  <c r="F83"/>
  <c r="E83"/>
  <c r="D83"/>
  <c r="G82"/>
  <c r="F82"/>
  <c r="E82"/>
  <c r="D82"/>
  <c r="G81"/>
  <c r="F81"/>
  <c r="E81"/>
  <c r="D81"/>
  <c r="G80"/>
  <c r="F80"/>
  <c r="E80"/>
  <c r="D80"/>
  <c r="G79"/>
  <c r="F79"/>
  <c r="E79"/>
  <c r="D79"/>
  <c r="G78"/>
  <c r="F78"/>
  <c r="E78"/>
  <c r="D78"/>
  <c r="G77"/>
  <c r="F77"/>
  <c r="E77"/>
  <c r="D77"/>
  <c r="G76"/>
  <c r="F76"/>
  <c r="E76"/>
  <c r="D76"/>
  <c r="G75"/>
  <c r="F75"/>
  <c r="E75"/>
  <c r="D75"/>
  <c r="G74"/>
  <c r="F74"/>
  <c r="E74"/>
  <c r="D74"/>
  <c r="G73"/>
  <c r="F73"/>
  <c r="E73"/>
  <c r="D73"/>
  <c r="G72"/>
  <c r="F72"/>
  <c r="E72"/>
  <c r="D72"/>
  <c r="G71"/>
  <c r="F71"/>
  <c r="E71"/>
  <c r="D71"/>
  <c r="G70"/>
  <c r="F70"/>
  <c r="E70"/>
  <c r="D70"/>
  <c r="G69"/>
  <c r="F69"/>
  <c r="E69"/>
  <c r="D69"/>
  <c r="G68"/>
  <c r="F68"/>
  <c r="E68"/>
  <c r="D68"/>
  <c r="G67"/>
  <c r="F67"/>
  <c r="E67"/>
  <c r="D67"/>
  <c r="G66"/>
  <c r="F66"/>
  <c r="E66"/>
  <c r="D66"/>
  <c r="G65"/>
  <c r="F65"/>
  <c r="E65"/>
  <c r="D65"/>
  <c r="G64"/>
  <c r="F64"/>
  <c r="E64"/>
  <c r="D64"/>
  <c r="G63"/>
  <c r="F63"/>
  <c r="E63"/>
  <c r="D63"/>
  <c r="G62"/>
  <c r="F62"/>
  <c r="E62"/>
  <c r="D62"/>
  <c r="G61"/>
  <c r="F61"/>
  <c r="E61"/>
  <c r="D61"/>
  <c r="G60"/>
  <c r="F60"/>
  <c r="E60"/>
  <c r="D60"/>
  <c r="G59"/>
  <c r="F59"/>
  <c r="E59"/>
  <c r="D59"/>
  <c r="G58"/>
  <c r="F58"/>
  <c r="D58"/>
  <c r="C81"/>
  <c r="C80"/>
  <c r="C79"/>
  <c r="C78"/>
  <c r="C77"/>
  <c r="C76"/>
  <c r="C75"/>
  <c r="C74"/>
  <c r="C73"/>
  <c r="C72"/>
  <c r="C71"/>
  <c r="C70"/>
  <c r="C69"/>
  <c r="C68"/>
  <c r="C67"/>
  <c r="C66"/>
  <c r="H63"/>
  <c r="E58"/>
  <c r="O4" i="24"/>
  <c r="N4"/>
  <c r="N10" s="1"/>
  <c r="G52"/>
  <c r="F52"/>
  <c r="E52"/>
  <c r="D52"/>
  <c r="G51"/>
  <c r="F51"/>
  <c r="E51"/>
  <c r="D51"/>
  <c r="G50"/>
  <c r="F50"/>
  <c r="E50"/>
  <c r="D50"/>
  <c r="G49"/>
  <c r="F49"/>
  <c r="E49"/>
  <c r="D49"/>
  <c r="G48"/>
  <c r="F48"/>
  <c r="E48"/>
  <c r="D48"/>
  <c r="G47"/>
  <c r="F47"/>
  <c r="E47"/>
  <c r="D47"/>
  <c r="G46"/>
  <c r="F46"/>
  <c r="E46"/>
  <c r="D46"/>
  <c r="G45"/>
  <c r="F45"/>
  <c r="E45"/>
  <c r="D45"/>
  <c r="G44"/>
  <c r="F44"/>
  <c r="E44"/>
  <c r="D44"/>
  <c r="G43"/>
  <c r="F43"/>
  <c r="E43"/>
  <c r="D43"/>
  <c r="G42"/>
  <c r="F42"/>
  <c r="E42"/>
  <c r="D42"/>
  <c r="G41"/>
  <c r="F41"/>
  <c r="E41"/>
  <c r="D41"/>
  <c r="G40"/>
  <c r="F40"/>
  <c r="E40"/>
  <c r="D40"/>
  <c r="C63"/>
  <c r="C62"/>
  <c r="C61"/>
  <c r="C60"/>
  <c r="C59"/>
  <c r="C58"/>
  <c r="C57"/>
  <c r="C56"/>
  <c r="C55"/>
  <c r="C54"/>
  <c r="C53"/>
  <c r="C52"/>
  <c r="C51"/>
  <c r="C50"/>
  <c r="C49"/>
  <c r="C48"/>
  <c r="H45"/>
  <c r="G64" i="23"/>
  <c r="F64"/>
  <c r="E64"/>
  <c r="D64"/>
  <c r="G63"/>
  <c r="F63"/>
  <c r="E63"/>
  <c r="D63"/>
  <c r="G62"/>
  <c r="F62"/>
  <c r="E62"/>
  <c r="D62"/>
  <c r="G61"/>
  <c r="F61"/>
  <c r="E61"/>
  <c r="D61"/>
  <c r="G60"/>
  <c r="F60"/>
  <c r="E60"/>
  <c r="D60"/>
  <c r="G59"/>
  <c r="F59"/>
  <c r="E59"/>
  <c r="D59"/>
  <c r="G58"/>
  <c r="F58"/>
  <c r="E58"/>
  <c r="D58"/>
  <c r="G57"/>
  <c r="F57"/>
  <c r="E57"/>
  <c r="D57"/>
  <c r="G56"/>
  <c r="F56"/>
  <c r="E56"/>
  <c r="D56"/>
  <c r="G55"/>
  <c r="F55"/>
  <c r="E55"/>
  <c r="D55"/>
  <c r="G54"/>
  <c r="F54"/>
  <c r="E54"/>
  <c r="D54"/>
  <c r="G53"/>
  <c r="F53"/>
  <c r="E53"/>
  <c r="D53"/>
  <c r="G52"/>
  <c r="F52"/>
  <c r="E52"/>
  <c r="D52"/>
  <c r="G51"/>
  <c r="F51"/>
  <c r="E51"/>
  <c r="D51"/>
  <c r="G50"/>
  <c r="F50"/>
  <c r="E50"/>
  <c r="D50"/>
  <c r="G49"/>
  <c r="F49"/>
  <c r="E49"/>
  <c r="D49"/>
  <c r="G48"/>
  <c r="F48"/>
  <c r="E48"/>
  <c r="D48"/>
  <c r="G47"/>
  <c r="F47"/>
  <c r="E47"/>
  <c r="D47"/>
  <c r="G46"/>
  <c r="F46"/>
  <c r="E46"/>
  <c r="D46"/>
  <c r="G45"/>
  <c r="F45"/>
  <c r="E45"/>
  <c r="D45"/>
  <c r="G44"/>
  <c r="F44"/>
  <c r="E44"/>
  <c r="D44"/>
  <c r="G43"/>
  <c r="F43"/>
  <c r="E43"/>
  <c r="D43"/>
  <c r="G42"/>
  <c r="F42"/>
  <c r="E42"/>
  <c r="D42"/>
  <c r="G41"/>
  <c r="F41"/>
  <c r="E41"/>
  <c r="D41"/>
  <c r="G40"/>
  <c r="E40"/>
  <c r="C63"/>
  <c r="C62"/>
  <c r="C61"/>
  <c r="C60"/>
  <c r="C59"/>
  <c r="C58"/>
  <c r="C57"/>
  <c r="C56"/>
  <c r="C55"/>
  <c r="C54"/>
  <c r="C53"/>
  <c r="C52"/>
  <c r="C51"/>
  <c r="C50"/>
  <c r="C49"/>
  <c r="C48"/>
  <c r="H45"/>
  <c r="F40"/>
  <c r="D40"/>
  <c r="O4"/>
  <c r="N4"/>
  <c r="O4" i="22"/>
  <c r="N4"/>
  <c r="N10" s="1"/>
  <c r="G56"/>
  <c r="F56"/>
  <c r="E56"/>
  <c r="D56"/>
  <c r="G55"/>
  <c r="F55"/>
  <c r="E55"/>
  <c r="D55"/>
  <c r="G54"/>
  <c r="F54"/>
  <c r="E54"/>
  <c r="D54"/>
  <c r="G53"/>
  <c r="F53"/>
  <c r="E53"/>
  <c r="D53"/>
  <c r="G52"/>
  <c r="F52"/>
  <c r="E52"/>
  <c r="D52"/>
  <c r="G51"/>
  <c r="F51"/>
  <c r="E51"/>
  <c r="D51"/>
  <c r="G50"/>
  <c r="F50"/>
  <c r="E50"/>
  <c r="D50"/>
  <c r="G49"/>
  <c r="F49"/>
  <c r="E49"/>
  <c r="D49"/>
  <c r="G48"/>
  <c r="F48"/>
  <c r="E48"/>
  <c r="D48"/>
  <c r="G47"/>
  <c r="F47"/>
  <c r="E47"/>
  <c r="D47"/>
  <c r="G46"/>
  <c r="F46"/>
  <c r="E46"/>
  <c r="D46"/>
  <c r="G45"/>
  <c r="F45"/>
  <c r="E45"/>
  <c r="D45"/>
  <c r="G44"/>
  <c r="F44"/>
  <c r="E44"/>
  <c r="D44"/>
  <c r="G43"/>
  <c r="F43"/>
  <c r="E43"/>
  <c r="D43"/>
  <c r="G42"/>
  <c r="F42"/>
  <c r="E42"/>
  <c r="D42"/>
  <c r="G41"/>
  <c r="F41"/>
  <c r="E41"/>
  <c r="D41"/>
  <c r="G40"/>
  <c r="F40"/>
  <c r="E40"/>
  <c r="D40"/>
  <c r="C63"/>
  <c r="C62"/>
  <c r="C61"/>
  <c r="C60"/>
  <c r="C59"/>
  <c r="C58"/>
  <c r="C57"/>
  <c r="C56"/>
  <c r="C55"/>
  <c r="C54"/>
  <c r="C53"/>
  <c r="C52"/>
  <c r="C51"/>
  <c r="C50"/>
  <c r="C49"/>
  <c r="C48"/>
  <c r="H45"/>
  <c r="O4" i="21"/>
  <c r="N4"/>
  <c r="G53"/>
  <c r="F53"/>
  <c r="E53"/>
  <c r="D53"/>
  <c r="G52"/>
  <c r="F52"/>
  <c r="E52"/>
  <c r="D52"/>
  <c r="G51"/>
  <c r="F51"/>
  <c r="E51"/>
  <c r="D51"/>
  <c r="G50"/>
  <c r="F50"/>
  <c r="E50"/>
  <c r="D50"/>
  <c r="G49"/>
  <c r="F49"/>
  <c r="E49"/>
  <c r="D49"/>
  <c r="G48"/>
  <c r="F48"/>
  <c r="E48"/>
  <c r="D48"/>
  <c r="G47"/>
  <c r="F47"/>
  <c r="E47"/>
  <c r="D47"/>
  <c r="G46"/>
  <c r="F46"/>
  <c r="E46"/>
  <c r="D46"/>
  <c r="G45"/>
  <c r="F45"/>
  <c r="E45"/>
  <c r="D45"/>
  <c r="G44"/>
  <c r="F44"/>
  <c r="E44"/>
  <c r="D44"/>
  <c r="G43"/>
  <c r="F43"/>
  <c r="E43"/>
  <c r="D43"/>
  <c r="G42"/>
  <c r="F42"/>
  <c r="E42"/>
  <c r="D42"/>
  <c r="G41"/>
  <c r="F41"/>
  <c r="E41"/>
  <c r="D41"/>
  <c r="G40"/>
  <c r="F40"/>
  <c r="E40"/>
  <c r="D40"/>
  <c r="C63"/>
  <c r="C62"/>
  <c r="C61"/>
  <c r="C60"/>
  <c r="C59"/>
  <c r="C58"/>
  <c r="C57"/>
  <c r="C56"/>
  <c r="C55"/>
  <c r="C54"/>
  <c r="C53"/>
  <c r="C52"/>
  <c r="C51"/>
  <c r="C50"/>
  <c r="C49"/>
  <c r="C48"/>
  <c r="H45"/>
  <c r="O4" i="20"/>
  <c r="N4"/>
  <c r="N10" s="1"/>
  <c r="G66"/>
  <c r="F66"/>
  <c r="E66"/>
  <c r="D66"/>
  <c r="I66" s="1"/>
  <c r="G65"/>
  <c r="F65"/>
  <c r="E65"/>
  <c r="D65"/>
  <c r="I65" s="1"/>
  <c r="G64"/>
  <c r="F64"/>
  <c r="E64"/>
  <c r="D64"/>
  <c r="G63"/>
  <c r="F63"/>
  <c r="E63"/>
  <c r="D63"/>
  <c r="G62"/>
  <c r="F62"/>
  <c r="E62"/>
  <c r="D62"/>
  <c r="G61"/>
  <c r="F61"/>
  <c r="E61"/>
  <c r="D61"/>
  <c r="G60"/>
  <c r="F60"/>
  <c r="E60"/>
  <c r="D60"/>
  <c r="G59"/>
  <c r="F59"/>
  <c r="E59"/>
  <c r="D59"/>
  <c r="G58"/>
  <c r="F58"/>
  <c r="E58"/>
  <c r="D58"/>
  <c r="G57"/>
  <c r="F57"/>
  <c r="E57"/>
  <c r="D57"/>
  <c r="G56"/>
  <c r="F56"/>
  <c r="E56"/>
  <c r="D56"/>
  <c r="G55"/>
  <c r="F55"/>
  <c r="E55"/>
  <c r="D55"/>
  <c r="G54"/>
  <c r="F54"/>
  <c r="E54"/>
  <c r="D54"/>
  <c r="G53"/>
  <c r="F53"/>
  <c r="E53"/>
  <c r="D53"/>
  <c r="G52"/>
  <c r="F52"/>
  <c r="E52"/>
  <c r="D52"/>
  <c r="G51"/>
  <c r="F51"/>
  <c r="E51"/>
  <c r="D51"/>
  <c r="G50"/>
  <c r="F50"/>
  <c r="E50"/>
  <c r="D50"/>
  <c r="G49"/>
  <c r="F49"/>
  <c r="E49"/>
  <c r="D49"/>
  <c r="G48"/>
  <c r="F48"/>
  <c r="E48"/>
  <c r="D48"/>
  <c r="G47"/>
  <c r="F47"/>
  <c r="E47"/>
  <c r="D47"/>
  <c r="G46"/>
  <c r="F46"/>
  <c r="E46"/>
  <c r="D46"/>
  <c r="G45"/>
  <c r="F45"/>
  <c r="E45"/>
  <c r="D45"/>
  <c r="G44"/>
  <c r="F44"/>
  <c r="E44"/>
  <c r="D44"/>
  <c r="G43"/>
  <c r="F43"/>
  <c r="E43"/>
  <c r="D43"/>
  <c r="G42"/>
  <c r="F42"/>
  <c r="E42"/>
  <c r="D42"/>
  <c r="G41"/>
  <c r="F41"/>
  <c r="E41"/>
  <c r="D41"/>
  <c r="G40"/>
  <c r="F40"/>
  <c r="E40"/>
  <c r="D40"/>
  <c r="C63"/>
  <c r="C62"/>
  <c r="C61"/>
  <c r="C60"/>
  <c r="C59"/>
  <c r="C58"/>
  <c r="C57"/>
  <c r="C56"/>
  <c r="C55"/>
  <c r="C54"/>
  <c r="C53"/>
  <c r="C52"/>
  <c r="C51"/>
  <c r="C50"/>
  <c r="C49"/>
  <c r="C48"/>
  <c r="H45"/>
  <c r="O5" i="33" l="1"/>
  <c r="O5" i="29"/>
  <c r="Q5" s="1"/>
  <c r="O6"/>
  <c r="Q6" s="1"/>
  <c r="V6" s="1"/>
  <c r="O6" i="31"/>
  <c r="O6" i="33"/>
  <c r="R6" s="1"/>
  <c r="P6" s="1"/>
  <c r="O5" i="32"/>
  <c r="R5" s="1"/>
  <c r="U5" s="1"/>
  <c r="O5" i="31"/>
  <c r="R5" s="1"/>
  <c r="P5" s="1"/>
  <c r="O6" i="32"/>
  <c r="P4" i="33"/>
  <c r="S4" s="1"/>
  <c r="T4"/>
  <c r="V4"/>
  <c r="W4" i="32"/>
  <c r="Q6"/>
  <c r="U4"/>
  <c r="T4"/>
  <c r="S4"/>
  <c r="Q6" i="31"/>
  <c r="V6" s="1"/>
  <c r="P4"/>
  <c r="T4"/>
  <c r="V4"/>
  <c r="P4" i="29"/>
  <c r="S4" s="1"/>
  <c r="T4"/>
  <c r="N10" i="28"/>
  <c r="R4"/>
  <c r="T4" s="1"/>
  <c r="P4"/>
  <c r="W4"/>
  <c r="V4"/>
  <c r="U4"/>
  <c r="S4"/>
  <c r="O58"/>
  <c r="T58" s="1"/>
  <c r="U58" s="1"/>
  <c r="I58"/>
  <c r="L58" s="1"/>
  <c r="M58" s="1"/>
  <c r="O59"/>
  <c r="T59" s="1"/>
  <c r="U59" s="1"/>
  <c r="I59"/>
  <c r="L59" s="1"/>
  <c r="M59" s="1"/>
  <c r="O60"/>
  <c r="T60" s="1"/>
  <c r="U60" s="1"/>
  <c r="I60"/>
  <c r="L60" s="1"/>
  <c r="M60" s="1"/>
  <c r="O61"/>
  <c r="T61" s="1"/>
  <c r="U61" s="1"/>
  <c r="I61"/>
  <c r="L61" s="1"/>
  <c r="M61" s="1"/>
  <c r="O62"/>
  <c r="T62" s="1"/>
  <c r="U62" s="1"/>
  <c r="I62"/>
  <c r="L62" s="1"/>
  <c r="M62" s="1"/>
  <c r="O63"/>
  <c r="T63" s="1"/>
  <c r="U63" s="1"/>
  <c r="I63"/>
  <c r="L63" s="1"/>
  <c r="M63" s="1"/>
  <c r="O64"/>
  <c r="T64" s="1"/>
  <c r="U64" s="1"/>
  <c r="I64"/>
  <c r="L64" s="1"/>
  <c r="M64" s="1"/>
  <c r="O65"/>
  <c r="T65" s="1"/>
  <c r="U65" s="1"/>
  <c r="I65"/>
  <c r="L65" s="1"/>
  <c r="M65" s="1"/>
  <c r="O66"/>
  <c r="T66" s="1"/>
  <c r="U66" s="1"/>
  <c r="I66"/>
  <c r="L66" s="1"/>
  <c r="M66" s="1"/>
  <c r="O67"/>
  <c r="T67" s="1"/>
  <c r="U67" s="1"/>
  <c r="I67"/>
  <c r="L67" s="1"/>
  <c r="M67" s="1"/>
  <c r="O68"/>
  <c r="T68" s="1"/>
  <c r="U68" s="1"/>
  <c r="I68"/>
  <c r="L68" s="1"/>
  <c r="M68" s="1"/>
  <c r="O69"/>
  <c r="T69" s="1"/>
  <c r="U69" s="1"/>
  <c r="I69"/>
  <c r="L69" s="1"/>
  <c r="M69" s="1"/>
  <c r="O70"/>
  <c r="T70" s="1"/>
  <c r="U70" s="1"/>
  <c r="I70"/>
  <c r="L70" s="1"/>
  <c r="M70" s="1"/>
  <c r="O71"/>
  <c r="T71" s="1"/>
  <c r="U71" s="1"/>
  <c r="I71"/>
  <c r="L71" s="1"/>
  <c r="M71" s="1"/>
  <c r="O72"/>
  <c r="T72" s="1"/>
  <c r="U72" s="1"/>
  <c r="I72"/>
  <c r="L72" s="1"/>
  <c r="M72" s="1"/>
  <c r="O73"/>
  <c r="T73" s="1"/>
  <c r="U73" s="1"/>
  <c r="I73"/>
  <c r="L73" s="1"/>
  <c r="M73" s="1"/>
  <c r="O74"/>
  <c r="T74" s="1"/>
  <c r="U74" s="1"/>
  <c r="I74"/>
  <c r="L74" s="1"/>
  <c r="M74" s="1"/>
  <c r="O75"/>
  <c r="T75" s="1"/>
  <c r="U75" s="1"/>
  <c r="I75"/>
  <c r="L75" s="1"/>
  <c r="M75" s="1"/>
  <c r="O76"/>
  <c r="T76" s="1"/>
  <c r="U76" s="1"/>
  <c r="I76"/>
  <c r="L76" s="1"/>
  <c r="M76" s="1"/>
  <c r="O77"/>
  <c r="T77" s="1"/>
  <c r="U77" s="1"/>
  <c r="I77"/>
  <c r="L77" s="1"/>
  <c r="M77" s="1"/>
  <c r="O78"/>
  <c r="T78" s="1"/>
  <c r="U78" s="1"/>
  <c r="I78"/>
  <c r="L78" s="1"/>
  <c r="M78" s="1"/>
  <c r="O79"/>
  <c r="T79" s="1"/>
  <c r="U79" s="1"/>
  <c r="I79"/>
  <c r="L79" s="1"/>
  <c r="M79" s="1"/>
  <c r="O80"/>
  <c r="T80" s="1"/>
  <c r="U80" s="1"/>
  <c r="I80"/>
  <c r="L80" s="1"/>
  <c r="M80" s="1"/>
  <c r="O81"/>
  <c r="T81" s="1"/>
  <c r="U81" s="1"/>
  <c r="I81"/>
  <c r="L81" s="1"/>
  <c r="M81" s="1"/>
  <c r="O82"/>
  <c r="T82" s="1"/>
  <c r="U82" s="1"/>
  <c r="I82"/>
  <c r="L82" s="1"/>
  <c r="M82" s="1"/>
  <c r="O83"/>
  <c r="T83" s="1"/>
  <c r="U83" s="1"/>
  <c r="I83"/>
  <c r="L83" s="1"/>
  <c r="M83" s="1"/>
  <c r="O84"/>
  <c r="T84" s="1"/>
  <c r="U84" s="1"/>
  <c r="I84"/>
  <c r="L84" s="1"/>
  <c r="M84" s="1"/>
  <c r="O85"/>
  <c r="T85" s="1"/>
  <c r="U85" s="1"/>
  <c r="I85"/>
  <c r="L85" s="1"/>
  <c r="M85" s="1"/>
  <c r="O86"/>
  <c r="T86" s="1"/>
  <c r="U86" s="1"/>
  <c r="I86"/>
  <c r="L86" s="1"/>
  <c r="M86" s="1"/>
  <c r="O87"/>
  <c r="T87" s="1"/>
  <c r="U87" s="1"/>
  <c r="I87"/>
  <c r="L87" s="1"/>
  <c r="M87" s="1"/>
  <c r="O88"/>
  <c r="T88" s="1"/>
  <c r="U88" s="1"/>
  <c r="I88"/>
  <c r="L88" s="1"/>
  <c r="M88" s="1"/>
  <c r="O89"/>
  <c r="T89" s="1"/>
  <c r="U89" s="1"/>
  <c r="I89"/>
  <c r="L89" s="1"/>
  <c r="M89" s="1"/>
  <c r="O90"/>
  <c r="T90" s="1"/>
  <c r="U90" s="1"/>
  <c r="I90"/>
  <c r="L90" s="1"/>
  <c r="M90" s="1"/>
  <c r="O91"/>
  <c r="T91" s="1"/>
  <c r="U91" s="1"/>
  <c r="I91"/>
  <c r="L91" s="1"/>
  <c r="M91" s="1"/>
  <c r="O92"/>
  <c r="T92" s="1"/>
  <c r="U92" s="1"/>
  <c r="I92"/>
  <c r="L92" s="1"/>
  <c r="M92" s="1"/>
  <c r="O93"/>
  <c r="T93" s="1"/>
  <c r="U93" s="1"/>
  <c r="I93"/>
  <c r="L93" s="1"/>
  <c r="M93" s="1"/>
  <c r="O94"/>
  <c r="T94" s="1"/>
  <c r="U94" s="1"/>
  <c r="I94"/>
  <c r="L94" s="1"/>
  <c r="M94" s="1"/>
  <c r="O95"/>
  <c r="T95" s="1"/>
  <c r="U95" s="1"/>
  <c r="I95"/>
  <c r="L95" s="1"/>
  <c r="M95" s="1"/>
  <c r="O96"/>
  <c r="T96" s="1"/>
  <c r="U96" s="1"/>
  <c r="I96"/>
  <c r="L96" s="1"/>
  <c r="M96" s="1"/>
  <c r="O97"/>
  <c r="T97" s="1"/>
  <c r="U97" s="1"/>
  <c r="I97"/>
  <c r="L97" s="1"/>
  <c r="M97" s="1"/>
  <c r="N6" i="20"/>
  <c r="N5"/>
  <c r="O65"/>
  <c r="O66"/>
  <c r="N6" i="21"/>
  <c r="N5"/>
  <c r="N6" i="22"/>
  <c r="N5"/>
  <c r="N6" i="23"/>
  <c r="N5"/>
  <c r="N6" i="24"/>
  <c r="N5"/>
  <c r="N6" i="25"/>
  <c r="N5"/>
  <c r="O83"/>
  <c r="I83"/>
  <c r="O84"/>
  <c r="I84"/>
  <c r="O85"/>
  <c r="I85"/>
  <c r="O86"/>
  <c r="I86"/>
  <c r="O87"/>
  <c r="I87"/>
  <c r="O88"/>
  <c r="I88"/>
  <c r="O89"/>
  <c r="I89"/>
  <c r="O90"/>
  <c r="I90"/>
  <c r="O91"/>
  <c r="I91"/>
  <c r="O92"/>
  <c r="I92"/>
  <c r="O93"/>
  <c r="I93"/>
  <c r="O94"/>
  <c r="I94"/>
  <c r="O95"/>
  <c r="I95"/>
  <c r="O96"/>
  <c r="I96"/>
  <c r="O97"/>
  <c r="I97"/>
  <c r="O98"/>
  <c r="I98"/>
  <c r="O99"/>
  <c r="I99"/>
  <c r="O100"/>
  <c r="I100"/>
  <c r="O101"/>
  <c r="I101"/>
  <c r="O102"/>
  <c r="I102"/>
  <c r="N6" i="26"/>
  <c r="N5"/>
  <c r="O80" i="27"/>
  <c r="I88"/>
  <c r="O92"/>
  <c r="I59"/>
  <c r="I85"/>
  <c r="I93"/>
  <c r="O97"/>
  <c r="I82"/>
  <c r="O64"/>
  <c r="O62"/>
  <c r="I75"/>
  <c r="I63"/>
  <c r="O78"/>
  <c r="I81"/>
  <c r="I90"/>
  <c r="I102"/>
  <c r="I73"/>
  <c r="O85"/>
  <c r="I74"/>
  <c r="I65"/>
  <c r="I66"/>
  <c r="O68"/>
  <c r="I89"/>
  <c r="I91"/>
  <c r="I100"/>
  <c r="O88"/>
  <c r="I96"/>
  <c r="I97"/>
  <c r="O73"/>
  <c r="O93"/>
  <c r="I64"/>
  <c r="I79"/>
  <c r="I101"/>
  <c r="N6"/>
  <c r="O66"/>
  <c r="I84"/>
  <c r="I99"/>
  <c r="O100"/>
  <c r="I72"/>
  <c r="O76"/>
  <c r="O81"/>
  <c r="I87"/>
  <c r="O58"/>
  <c r="O63"/>
  <c r="O65"/>
  <c r="O67"/>
  <c r="I68"/>
  <c r="I92"/>
  <c r="I98"/>
  <c r="O101"/>
  <c r="O59"/>
  <c r="O61"/>
  <c r="I62"/>
  <c r="I67"/>
  <c r="O70"/>
  <c r="O74"/>
  <c r="I77"/>
  <c r="I86"/>
  <c r="O89"/>
  <c r="I95"/>
  <c r="O96"/>
  <c r="I71"/>
  <c r="I80"/>
  <c r="I83"/>
  <c r="O84"/>
  <c r="I69"/>
  <c r="I58"/>
  <c r="O72"/>
  <c r="O75"/>
  <c r="I76"/>
  <c r="I94"/>
  <c r="R4"/>
  <c r="U4" s="1"/>
  <c r="I61"/>
  <c r="O69"/>
  <c r="I70"/>
  <c r="O77"/>
  <c r="I78"/>
  <c r="O83"/>
  <c r="O87"/>
  <c r="O91"/>
  <c r="O95"/>
  <c r="O99"/>
  <c r="O60"/>
  <c r="N5"/>
  <c r="I60"/>
  <c r="O71"/>
  <c r="O79"/>
  <c r="O82"/>
  <c r="O86"/>
  <c r="O90"/>
  <c r="O94"/>
  <c r="O98"/>
  <c r="O102"/>
  <c r="O48" i="26"/>
  <c r="I48"/>
  <c r="O40"/>
  <c r="O47"/>
  <c r="I41"/>
  <c r="O52"/>
  <c r="O41"/>
  <c r="I43"/>
  <c r="I53"/>
  <c r="I42"/>
  <c r="O42"/>
  <c r="O44"/>
  <c r="O43"/>
  <c r="I47"/>
  <c r="I49"/>
  <c r="I45"/>
  <c r="O50"/>
  <c r="I46"/>
  <c r="I51"/>
  <c r="I40"/>
  <c r="I44"/>
  <c r="O46"/>
  <c r="O49"/>
  <c r="I50"/>
  <c r="R4"/>
  <c r="U4" s="1"/>
  <c r="O45"/>
  <c r="O51"/>
  <c r="I52"/>
  <c r="O53"/>
  <c r="I71" i="25"/>
  <c r="I67"/>
  <c r="I68"/>
  <c r="O74"/>
  <c r="I76"/>
  <c r="I82"/>
  <c r="O70"/>
  <c r="I69"/>
  <c r="I66"/>
  <c r="I58"/>
  <c r="I75"/>
  <c r="I63"/>
  <c r="O65"/>
  <c r="O76"/>
  <c r="I81"/>
  <c r="O64"/>
  <c r="O77"/>
  <c r="O59"/>
  <c r="O72"/>
  <c r="O80"/>
  <c r="O61"/>
  <c r="I62"/>
  <c r="I70"/>
  <c r="I77"/>
  <c r="I79"/>
  <c r="O60"/>
  <c r="I73"/>
  <c r="O75"/>
  <c r="I59"/>
  <c r="I61"/>
  <c r="O63"/>
  <c r="O66"/>
  <c r="O67"/>
  <c r="I74"/>
  <c r="O78"/>
  <c r="I60"/>
  <c r="O69"/>
  <c r="I78"/>
  <c r="I65"/>
  <c r="R4"/>
  <c r="I64"/>
  <c r="O71"/>
  <c r="I72"/>
  <c r="O79"/>
  <c r="I80"/>
  <c r="O82"/>
  <c r="O58"/>
  <c r="O62"/>
  <c r="O68"/>
  <c r="O73"/>
  <c r="O81"/>
  <c r="I47" i="24"/>
  <c r="O42"/>
  <c r="O40"/>
  <c r="O46"/>
  <c r="O44"/>
  <c r="I45"/>
  <c r="O43"/>
  <c r="I41"/>
  <c r="O49"/>
  <c r="O47"/>
  <c r="I48"/>
  <c r="O52"/>
  <c r="I42"/>
  <c r="O50"/>
  <c r="I44"/>
  <c r="I50"/>
  <c r="I40"/>
  <c r="O48"/>
  <c r="O45"/>
  <c r="I46"/>
  <c r="I49"/>
  <c r="I51"/>
  <c r="I43"/>
  <c r="O51"/>
  <c r="I52"/>
  <c r="R4"/>
  <c r="U4" s="1"/>
  <c r="O41"/>
  <c r="I41" i="23"/>
  <c r="I43"/>
  <c r="I45"/>
  <c r="O53"/>
  <c r="I48"/>
  <c r="I62"/>
  <c r="I46"/>
  <c r="I56"/>
  <c r="I64"/>
  <c r="I49"/>
  <c r="I57"/>
  <c r="I60"/>
  <c r="O63"/>
  <c r="I47"/>
  <c r="I52"/>
  <c r="O55"/>
  <c r="I61"/>
  <c r="I63"/>
  <c r="O47"/>
  <c r="I55"/>
  <c r="O61"/>
  <c r="I53"/>
  <c r="O64"/>
  <c r="I54"/>
  <c r="I59"/>
  <c r="I42"/>
  <c r="I51"/>
  <c r="O58"/>
  <c r="O40"/>
  <c r="O50"/>
  <c r="O56"/>
  <c r="O62"/>
  <c r="O54"/>
  <c r="O41"/>
  <c r="O48"/>
  <c r="O44"/>
  <c r="N10"/>
  <c r="O43"/>
  <c r="O52"/>
  <c r="O60"/>
  <c r="I40"/>
  <c r="I44"/>
  <c r="O46"/>
  <c r="O49"/>
  <c r="I50"/>
  <c r="O57"/>
  <c r="I58"/>
  <c r="O42"/>
  <c r="R4"/>
  <c r="U4" s="1"/>
  <c r="O45"/>
  <c r="O51"/>
  <c r="O59"/>
  <c r="O55" i="22"/>
  <c r="I46"/>
  <c r="I42"/>
  <c r="O44"/>
  <c r="I54"/>
  <c r="O40"/>
  <c r="I48"/>
  <c r="I56"/>
  <c r="O43"/>
  <c r="I45"/>
  <c r="O52"/>
  <c r="O53"/>
  <c r="O47"/>
  <c r="O50"/>
  <c r="O54"/>
  <c r="I55"/>
  <c r="I49"/>
  <c r="O48"/>
  <c r="I41"/>
  <c r="I43"/>
  <c r="O45"/>
  <c r="O41"/>
  <c r="O42"/>
  <c r="I51"/>
  <c r="O56"/>
  <c r="I47"/>
  <c r="I52"/>
  <c r="I53"/>
  <c r="I40"/>
  <c r="I44"/>
  <c r="O46"/>
  <c r="O49"/>
  <c r="I50"/>
  <c r="R4"/>
  <c r="O51"/>
  <c r="R4" i="21"/>
  <c r="P4" s="1"/>
  <c r="S4" s="1"/>
  <c r="I41"/>
  <c r="I52"/>
  <c r="I47"/>
  <c r="O40"/>
  <c r="O42"/>
  <c r="O41"/>
  <c r="O46"/>
  <c r="I51"/>
  <c r="O49"/>
  <c r="I45"/>
  <c r="I43"/>
  <c r="O45"/>
  <c r="O52"/>
  <c r="I42"/>
  <c r="O50"/>
  <c r="O44"/>
  <c r="O47"/>
  <c r="I48"/>
  <c r="O53"/>
  <c r="I46"/>
  <c r="O48"/>
  <c r="I49"/>
  <c r="N10"/>
  <c r="O43"/>
  <c r="I53"/>
  <c r="I40"/>
  <c r="I44"/>
  <c r="I50"/>
  <c r="O51"/>
  <c r="I48" i="20"/>
  <c r="O50"/>
  <c r="I56"/>
  <c r="O63"/>
  <c r="I40"/>
  <c r="I64"/>
  <c r="I53"/>
  <c r="O54"/>
  <c r="I44"/>
  <c r="O48"/>
  <c r="I46"/>
  <c r="I47"/>
  <c r="I49"/>
  <c r="I55"/>
  <c r="I57"/>
  <c r="I59"/>
  <c r="O56"/>
  <c r="I45"/>
  <c r="O52"/>
  <c r="O43"/>
  <c r="O58"/>
  <c r="I61"/>
  <c r="O62"/>
  <c r="O40"/>
  <c r="O42"/>
  <c r="O44"/>
  <c r="O49"/>
  <c r="I51"/>
  <c r="I58"/>
  <c r="I63"/>
  <c r="O46"/>
  <c r="O57"/>
  <c r="O60"/>
  <c r="I50"/>
  <c r="I43"/>
  <c r="O45"/>
  <c r="O51"/>
  <c r="I52"/>
  <c r="O59"/>
  <c r="I60"/>
  <c r="O41"/>
  <c r="I42"/>
  <c r="O53"/>
  <c r="I54"/>
  <c r="O61"/>
  <c r="I62"/>
  <c r="O64"/>
  <c r="R4"/>
  <c r="O47"/>
  <c r="O55"/>
  <c r="I41"/>
  <c r="O4" i="19"/>
  <c r="N4"/>
  <c r="N10" s="1"/>
  <c r="G64"/>
  <c r="F64"/>
  <c r="E64"/>
  <c r="D64"/>
  <c r="G63"/>
  <c r="F63"/>
  <c r="E63"/>
  <c r="D63"/>
  <c r="G62"/>
  <c r="F62"/>
  <c r="E62"/>
  <c r="D62"/>
  <c r="G61"/>
  <c r="F61"/>
  <c r="E61"/>
  <c r="D61"/>
  <c r="G60"/>
  <c r="F60"/>
  <c r="E60"/>
  <c r="D60"/>
  <c r="G59"/>
  <c r="F59"/>
  <c r="E59"/>
  <c r="D59"/>
  <c r="G58"/>
  <c r="F58"/>
  <c r="E58"/>
  <c r="D58"/>
  <c r="G57"/>
  <c r="F57"/>
  <c r="E57"/>
  <c r="D57"/>
  <c r="G56"/>
  <c r="F56"/>
  <c r="E56"/>
  <c r="D56"/>
  <c r="G55"/>
  <c r="F55"/>
  <c r="E55"/>
  <c r="D55"/>
  <c r="G54"/>
  <c r="F54"/>
  <c r="E54"/>
  <c r="D54"/>
  <c r="G53"/>
  <c r="F53"/>
  <c r="E53"/>
  <c r="D53"/>
  <c r="G52"/>
  <c r="F52"/>
  <c r="E52"/>
  <c r="D52"/>
  <c r="G51"/>
  <c r="F51"/>
  <c r="E51"/>
  <c r="D51"/>
  <c r="G50"/>
  <c r="F50"/>
  <c r="E50"/>
  <c r="D50"/>
  <c r="G49"/>
  <c r="F49"/>
  <c r="E49"/>
  <c r="D49"/>
  <c r="G48"/>
  <c r="F48"/>
  <c r="E48"/>
  <c r="D48"/>
  <c r="G47"/>
  <c r="F47"/>
  <c r="E47"/>
  <c r="D47"/>
  <c r="G46"/>
  <c r="F46"/>
  <c r="E46"/>
  <c r="D46"/>
  <c r="G45"/>
  <c r="F45"/>
  <c r="E45"/>
  <c r="D45"/>
  <c r="G44"/>
  <c r="F44"/>
  <c r="E44"/>
  <c r="D44"/>
  <c r="G43"/>
  <c r="F43"/>
  <c r="E43"/>
  <c r="D43"/>
  <c r="G42"/>
  <c r="F42"/>
  <c r="E42"/>
  <c r="D42"/>
  <c r="G41"/>
  <c r="F41"/>
  <c r="E41"/>
  <c r="D41"/>
  <c r="G40"/>
  <c r="F40"/>
  <c r="E40"/>
  <c r="D40"/>
  <c r="C63"/>
  <c r="C62"/>
  <c r="C61"/>
  <c r="C60"/>
  <c r="C59"/>
  <c r="C58"/>
  <c r="C57"/>
  <c r="C56"/>
  <c r="C55"/>
  <c r="C54"/>
  <c r="C53"/>
  <c r="C52"/>
  <c r="C51"/>
  <c r="C50"/>
  <c r="C49"/>
  <c r="C48"/>
  <c r="H45"/>
  <c r="O4" i="18"/>
  <c r="N4"/>
  <c r="G57"/>
  <c r="F57"/>
  <c r="E57"/>
  <c r="D57"/>
  <c r="G56"/>
  <c r="F56"/>
  <c r="E56"/>
  <c r="D56"/>
  <c r="G55"/>
  <c r="F55"/>
  <c r="E55"/>
  <c r="D55"/>
  <c r="G54"/>
  <c r="F54"/>
  <c r="E54"/>
  <c r="D54"/>
  <c r="G53"/>
  <c r="F53"/>
  <c r="E53"/>
  <c r="D53"/>
  <c r="G52"/>
  <c r="F52"/>
  <c r="E52"/>
  <c r="D52"/>
  <c r="G51"/>
  <c r="F51"/>
  <c r="E51"/>
  <c r="D51"/>
  <c r="G50"/>
  <c r="F50"/>
  <c r="E50"/>
  <c r="D50"/>
  <c r="G49"/>
  <c r="F49"/>
  <c r="E49"/>
  <c r="D49"/>
  <c r="G48"/>
  <c r="F48"/>
  <c r="E48"/>
  <c r="D48"/>
  <c r="G47"/>
  <c r="F47"/>
  <c r="E47"/>
  <c r="D47"/>
  <c r="G46"/>
  <c r="F46"/>
  <c r="E46"/>
  <c r="D46"/>
  <c r="G45"/>
  <c r="F45"/>
  <c r="E45"/>
  <c r="D45"/>
  <c r="G44"/>
  <c r="F44"/>
  <c r="E44"/>
  <c r="D44"/>
  <c r="G43"/>
  <c r="F43"/>
  <c r="E43"/>
  <c r="D43"/>
  <c r="G42"/>
  <c r="F42"/>
  <c r="E42"/>
  <c r="D42"/>
  <c r="G41"/>
  <c r="F41"/>
  <c r="E41"/>
  <c r="D41"/>
  <c r="G40"/>
  <c r="F40"/>
  <c r="E40"/>
  <c r="D40"/>
  <c r="C63"/>
  <c r="C62"/>
  <c r="C61"/>
  <c r="C60"/>
  <c r="C59"/>
  <c r="C58"/>
  <c r="C57"/>
  <c r="C56"/>
  <c r="C55"/>
  <c r="C54"/>
  <c r="C53"/>
  <c r="C52"/>
  <c r="C51"/>
  <c r="C50"/>
  <c r="C49"/>
  <c r="C48"/>
  <c r="H45"/>
  <c r="O4" i="17"/>
  <c r="N4"/>
  <c r="N10" s="1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F63"/>
  <c r="E63"/>
  <c r="D63"/>
  <c r="F62"/>
  <c r="E62"/>
  <c r="D62"/>
  <c r="F61"/>
  <c r="E61"/>
  <c r="D61"/>
  <c r="F60"/>
  <c r="E60"/>
  <c r="D60"/>
  <c r="F59"/>
  <c r="E59"/>
  <c r="D59"/>
  <c r="F58"/>
  <c r="E58"/>
  <c r="D58"/>
  <c r="F57"/>
  <c r="E57"/>
  <c r="D57"/>
  <c r="F56"/>
  <c r="E56"/>
  <c r="D56"/>
  <c r="F55"/>
  <c r="E55"/>
  <c r="D55"/>
  <c r="F54"/>
  <c r="E54"/>
  <c r="D54"/>
  <c r="F53"/>
  <c r="E53"/>
  <c r="D53"/>
  <c r="F52"/>
  <c r="E52"/>
  <c r="D52"/>
  <c r="F51"/>
  <c r="E51"/>
  <c r="D51"/>
  <c r="F50"/>
  <c r="E50"/>
  <c r="D50"/>
  <c r="F49"/>
  <c r="E49"/>
  <c r="D49"/>
  <c r="F48"/>
  <c r="E48"/>
  <c r="D48"/>
  <c r="F47"/>
  <c r="E47"/>
  <c r="D47"/>
  <c r="F46"/>
  <c r="E46"/>
  <c r="D46"/>
  <c r="F45"/>
  <c r="E45"/>
  <c r="D45"/>
  <c r="F44"/>
  <c r="E44"/>
  <c r="D44"/>
  <c r="F43"/>
  <c r="E43"/>
  <c r="D43"/>
  <c r="F42"/>
  <c r="E42"/>
  <c r="D42"/>
  <c r="F41"/>
  <c r="E41"/>
  <c r="D41"/>
  <c r="F40"/>
  <c r="E40"/>
  <c r="D40"/>
  <c r="C63"/>
  <c r="C62"/>
  <c r="C61"/>
  <c r="C60"/>
  <c r="C59"/>
  <c r="C58"/>
  <c r="C57"/>
  <c r="C56"/>
  <c r="C55"/>
  <c r="C54"/>
  <c r="C53"/>
  <c r="C52"/>
  <c r="C51"/>
  <c r="C50"/>
  <c r="C49"/>
  <c r="C48"/>
  <c r="H45"/>
  <c r="O4" i="16"/>
  <c r="N4"/>
  <c r="N10" s="1"/>
  <c r="G65"/>
  <c r="F65"/>
  <c r="E65"/>
  <c r="D65"/>
  <c r="G64"/>
  <c r="F64"/>
  <c r="E64"/>
  <c r="D64"/>
  <c r="G63"/>
  <c r="F63"/>
  <c r="E63"/>
  <c r="D63"/>
  <c r="G62"/>
  <c r="F62"/>
  <c r="E62"/>
  <c r="D62"/>
  <c r="G61"/>
  <c r="F61"/>
  <c r="E61"/>
  <c r="D61"/>
  <c r="G60"/>
  <c r="F60"/>
  <c r="E60"/>
  <c r="D60"/>
  <c r="G59"/>
  <c r="F59"/>
  <c r="E59"/>
  <c r="D59"/>
  <c r="G58"/>
  <c r="F58"/>
  <c r="E58"/>
  <c r="D58"/>
  <c r="G57"/>
  <c r="F57"/>
  <c r="E57"/>
  <c r="D57"/>
  <c r="G56"/>
  <c r="F56"/>
  <c r="E56"/>
  <c r="D56"/>
  <c r="G55"/>
  <c r="F55"/>
  <c r="E55"/>
  <c r="D55"/>
  <c r="G54"/>
  <c r="F54"/>
  <c r="E54"/>
  <c r="D54"/>
  <c r="G53"/>
  <c r="F53"/>
  <c r="E53"/>
  <c r="D53"/>
  <c r="G52"/>
  <c r="F52"/>
  <c r="E52"/>
  <c r="D52"/>
  <c r="G51"/>
  <c r="F51"/>
  <c r="E51"/>
  <c r="D51"/>
  <c r="G50"/>
  <c r="F50"/>
  <c r="E50"/>
  <c r="D50"/>
  <c r="G49"/>
  <c r="F49"/>
  <c r="E49"/>
  <c r="D49"/>
  <c r="G48"/>
  <c r="F48"/>
  <c r="E48"/>
  <c r="D48"/>
  <c r="G47"/>
  <c r="F47"/>
  <c r="E47"/>
  <c r="D47"/>
  <c r="G46"/>
  <c r="F46"/>
  <c r="E46"/>
  <c r="D46"/>
  <c r="G45"/>
  <c r="F45"/>
  <c r="E45"/>
  <c r="D45"/>
  <c r="G44"/>
  <c r="F44"/>
  <c r="E44"/>
  <c r="D44"/>
  <c r="G43"/>
  <c r="F43"/>
  <c r="E43"/>
  <c r="D43"/>
  <c r="G42"/>
  <c r="F42"/>
  <c r="E42"/>
  <c r="D42"/>
  <c r="G41"/>
  <c r="F41"/>
  <c r="E41"/>
  <c r="D41"/>
  <c r="G40"/>
  <c r="E40"/>
  <c r="D40"/>
  <c r="C63"/>
  <c r="C62"/>
  <c r="C61"/>
  <c r="C60"/>
  <c r="C59"/>
  <c r="C58"/>
  <c r="C57"/>
  <c r="C56"/>
  <c r="C55"/>
  <c r="C54"/>
  <c r="C53"/>
  <c r="C52"/>
  <c r="C51"/>
  <c r="C50"/>
  <c r="C49"/>
  <c r="C48"/>
  <c r="H45"/>
  <c r="F40"/>
  <c r="O4" i="15"/>
  <c r="N4"/>
  <c r="G69"/>
  <c r="F69"/>
  <c r="E69"/>
  <c r="D69"/>
  <c r="G68"/>
  <c r="F68"/>
  <c r="E68"/>
  <c r="D68"/>
  <c r="G67"/>
  <c r="F67"/>
  <c r="E67"/>
  <c r="D67"/>
  <c r="G66"/>
  <c r="F66"/>
  <c r="E66"/>
  <c r="D66"/>
  <c r="G65"/>
  <c r="F65"/>
  <c r="E65"/>
  <c r="D65"/>
  <c r="G64"/>
  <c r="F64"/>
  <c r="E64"/>
  <c r="D64"/>
  <c r="G63"/>
  <c r="F63"/>
  <c r="E63"/>
  <c r="D63"/>
  <c r="G62"/>
  <c r="F62"/>
  <c r="E62"/>
  <c r="D62"/>
  <c r="G61"/>
  <c r="F61"/>
  <c r="E61"/>
  <c r="D61"/>
  <c r="G60"/>
  <c r="F60"/>
  <c r="E60"/>
  <c r="D60"/>
  <c r="G59"/>
  <c r="F59"/>
  <c r="E59"/>
  <c r="D59"/>
  <c r="G58"/>
  <c r="F58"/>
  <c r="E58"/>
  <c r="D58"/>
  <c r="G57"/>
  <c r="F57"/>
  <c r="E57"/>
  <c r="D57"/>
  <c r="G56"/>
  <c r="F56"/>
  <c r="E56"/>
  <c r="D56"/>
  <c r="G55"/>
  <c r="F55"/>
  <c r="E55"/>
  <c r="D55"/>
  <c r="G54"/>
  <c r="F54"/>
  <c r="E54"/>
  <c r="D54"/>
  <c r="G53"/>
  <c r="F53"/>
  <c r="E53"/>
  <c r="D53"/>
  <c r="G52"/>
  <c r="F52"/>
  <c r="E52"/>
  <c r="D52"/>
  <c r="G51"/>
  <c r="F51"/>
  <c r="E51"/>
  <c r="D51"/>
  <c r="G50"/>
  <c r="F50"/>
  <c r="E50"/>
  <c r="D50"/>
  <c r="G49"/>
  <c r="F49"/>
  <c r="E49"/>
  <c r="D49"/>
  <c r="G48"/>
  <c r="F48"/>
  <c r="E48"/>
  <c r="D48"/>
  <c r="G47"/>
  <c r="F47"/>
  <c r="E47"/>
  <c r="D47"/>
  <c r="G46"/>
  <c r="F46"/>
  <c r="E46"/>
  <c r="D46"/>
  <c r="G45"/>
  <c r="F45"/>
  <c r="E45"/>
  <c r="D45"/>
  <c r="G44"/>
  <c r="F44"/>
  <c r="E44"/>
  <c r="D44"/>
  <c r="G43"/>
  <c r="F43"/>
  <c r="E43"/>
  <c r="D43"/>
  <c r="G42"/>
  <c r="F42"/>
  <c r="E42"/>
  <c r="D42"/>
  <c r="G41"/>
  <c r="F41"/>
  <c r="E41"/>
  <c r="D41"/>
  <c r="G40"/>
  <c r="F40"/>
  <c r="E40"/>
  <c r="D40"/>
  <c r="C63"/>
  <c r="C62"/>
  <c r="C61"/>
  <c r="C60"/>
  <c r="C59"/>
  <c r="C58"/>
  <c r="C57"/>
  <c r="C56"/>
  <c r="C55"/>
  <c r="C54"/>
  <c r="C53"/>
  <c r="C52"/>
  <c r="C51"/>
  <c r="C50"/>
  <c r="C49"/>
  <c r="C48"/>
  <c r="H45"/>
  <c r="O4" i="14"/>
  <c r="N4"/>
  <c r="G70"/>
  <c r="F70"/>
  <c r="E70"/>
  <c r="D70"/>
  <c r="G69"/>
  <c r="F69"/>
  <c r="E69"/>
  <c r="D69"/>
  <c r="G68"/>
  <c r="F68"/>
  <c r="E68"/>
  <c r="D68"/>
  <c r="G67"/>
  <c r="F67"/>
  <c r="E67"/>
  <c r="D67"/>
  <c r="G66"/>
  <c r="F66"/>
  <c r="E66"/>
  <c r="D66"/>
  <c r="G65"/>
  <c r="F65"/>
  <c r="E65"/>
  <c r="D65"/>
  <c r="G64"/>
  <c r="F64"/>
  <c r="E64"/>
  <c r="D64"/>
  <c r="G63"/>
  <c r="F63"/>
  <c r="E63"/>
  <c r="D63"/>
  <c r="I63" s="1"/>
  <c r="G62"/>
  <c r="F62"/>
  <c r="E62"/>
  <c r="D62"/>
  <c r="I62" s="1"/>
  <c r="G61"/>
  <c r="F61"/>
  <c r="E61"/>
  <c r="D61"/>
  <c r="I61" s="1"/>
  <c r="G60"/>
  <c r="F60"/>
  <c r="E60"/>
  <c r="D60"/>
  <c r="I60" s="1"/>
  <c r="G59"/>
  <c r="F59"/>
  <c r="E59"/>
  <c r="D59"/>
  <c r="I59" s="1"/>
  <c r="G58"/>
  <c r="F58"/>
  <c r="E58"/>
  <c r="D58"/>
  <c r="I58" s="1"/>
  <c r="G57"/>
  <c r="F57"/>
  <c r="E57"/>
  <c r="D57"/>
  <c r="I57" s="1"/>
  <c r="G56"/>
  <c r="F56"/>
  <c r="E56"/>
  <c r="D56"/>
  <c r="I56" s="1"/>
  <c r="G55"/>
  <c r="F55"/>
  <c r="E55"/>
  <c r="D55"/>
  <c r="I55" s="1"/>
  <c r="G54"/>
  <c r="F54"/>
  <c r="E54"/>
  <c r="D54"/>
  <c r="I54" s="1"/>
  <c r="G53"/>
  <c r="F53"/>
  <c r="E53"/>
  <c r="D53"/>
  <c r="I53" s="1"/>
  <c r="G52"/>
  <c r="F52"/>
  <c r="E52"/>
  <c r="D52"/>
  <c r="I52" s="1"/>
  <c r="G51"/>
  <c r="F51"/>
  <c r="E51"/>
  <c r="D51"/>
  <c r="I51" s="1"/>
  <c r="G50"/>
  <c r="F50"/>
  <c r="E50"/>
  <c r="D50"/>
  <c r="I50" s="1"/>
  <c r="G49"/>
  <c r="F49"/>
  <c r="E49"/>
  <c r="D49"/>
  <c r="I49" s="1"/>
  <c r="G48"/>
  <c r="F48"/>
  <c r="E48"/>
  <c r="D48"/>
  <c r="I48" s="1"/>
  <c r="G47"/>
  <c r="F47"/>
  <c r="E47"/>
  <c r="D47"/>
  <c r="I47" s="1"/>
  <c r="G46"/>
  <c r="F46"/>
  <c r="E46"/>
  <c r="D46"/>
  <c r="I46" s="1"/>
  <c r="G45"/>
  <c r="F45"/>
  <c r="E45"/>
  <c r="D45"/>
  <c r="I45" s="1"/>
  <c r="G44"/>
  <c r="F44"/>
  <c r="E44"/>
  <c r="D44"/>
  <c r="I44" s="1"/>
  <c r="G43"/>
  <c r="F43"/>
  <c r="E43"/>
  <c r="D43"/>
  <c r="I43" s="1"/>
  <c r="G42"/>
  <c r="F42"/>
  <c r="E42"/>
  <c r="D42"/>
  <c r="I42" s="1"/>
  <c r="G41"/>
  <c r="F41"/>
  <c r="E41"/>
  <c r="D41"/>
  <c r="I41" s="1"/>
  <c r="G40"/>
  <c r="F40"/>
  <c r="E40"/>
  <c r="D40"/>
  <c r="C63"/>
  <c r="C62"/>
  <c r="C61"/>
  <c r="C60"/>
  <c r="C59"/>
  <c r="C58"/>
  <c r="C57"/>
  <c r="C56"/>
  <c r="C55"/>
  <c r="C54"/>
  <c r="C53"/>
  <c r="C52"/>
  <c r="C51"/>
  <c r="C50"/>
  <c r="C49"/>
  <c r="C48"/>
  <c r="H45"/>
  <c r="O4" i="8"/>
  <c r="N4"/>
  <c r="N10" s="1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F63"/>
  <c r="E63"/>
  <c r="D63"/>
  <c r="O63" s="1"/>
  <c r="F62"/>
  <c r="E62"/>
  <c r="D62"/>
  <c r="F61"/>
  <c r="E61"/>
  <c r="D61"/>
  <c r="F60"/>
  <c r="E60"/>
  <c r="D60"/>
  <c r="F59"/>
  <c r="E59"/>
  <c r="D59"/>
  <c r="F58"/>
  <c r="E58"/>
  <c r="D58"/>
  <c r="F57"/>
  <c r="E57"/>
  <c r="D57"/>
  <c r="F56"/>
  <c r="E56"/>
  <c r="D56"/>
  <c r="F55"/>
  <c r="E55"/>
  <c r="D55"/>
  <c r="F54"/>
  <c r="E54"/>
  <c r="D54"/>
  <c r="F53"/>
  <c r="E53"/>
  <c r="D53"/>
  <c r="F52"/>
  <c r="E52"/>
  <c r="D52"/>
  <c r="F51"/>
  <c r="E51"/>
  <c r="D51"/>
  <c r="F50"/>
  <c r="E50"/>
  <c r="D50"/>
  <c r="F49"/>
  <c r="E49"/>
  <c r="D49"/>
  <c r="F48"/>
  <c r="E48"/>
  <c r="D48"/>
  <c r="F47"/>
  <c r="E47"/>
  <c r="D47"/>
  <c r="F46"/>
  <c r="E46"/>
  <c r="D46"/>
  <c r="F45"/>
  <c r="E45"/>
  <c r="D45"/>
  <c r="F44"/>
  <c r="E44"/>
  <c r="D44"/>
  <c r="F43"/>
  <c r="E43"/>
  <c r="D43"/>
  <c r="F42"/>
  <c r="E42"/>
  <c r="D42"/>
  <c r="F41"/>
  <c r="E41"/>
  <c r="D41"/>
  <c r="F40"/>
  <c r="D40"/>
  <c r="I63"/>
  <c r="C62"/>
  <c r="C61"/>
  <c r="C60"/>
  <c r="C59"/>
  <c r="C58"/>
  <c r="C57"/>
  <c r="C56"/>
  <c r="C55"/>
  <c r="C54"/>
  <c r="C53"/>
  <c r="C52"/>
  <c r="C51"/>
  <c r="C50"/>
  <c r="C49"/>
  <c r="C48"/>
  <c r="C47"/>
  <c r="C46"/>
  <c r="H45"/>
  <c r="C45"/>
  <c r="C44"/>
  <c r="C43"/>
  <c r="C42"/>
  <c r="C41"/>
  <c r="E40"/>
  <c r="C40"/>
  <c r="O4" i="11"/>
  <c r="N4"/>
  <c r="N10" s="1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F63"/>
  <c r="E63"/>
  <c r="D63"/>
  <c r="F62"/>
  <c r="E62"/>
  <c r="D62"/>
  <c r="F61"/>
  <c r="E61"/>
  <c r="D61"/>
  <c r="F60"/>
  <c r="E60"/>
  <c r="D60"/>
  <c r="F59"/>
  <c r="E59"/>
  <c r="D59"/>
  <c r="F58"/>
  <c r="E58"/>
  <c r="D58"/>
  <c r="F57"/>
  <c r="E57"/>
  <c r="D57"/>
  <c r="F56"/>
  <c r="E56"/>
  <c r="D56"/>
  <c r="F55"/>
  <c r="E55"/>
  <c r="D55"/>
  <c r="F54"/>
  <c r="E54"/>
  <c r="D54"/>
  <c r="F53"/>
  <c r="E53"/>
  <c r="D53"/>
  <c r="F52"/>
  <c r="E52"/>
  <c r="D52"/>
  <c r="F51"/>
  <c r="E51"/>
  <c r="D51"/>
  <c r="F50"/>
  <c r="E50"/>
  <c r="D50"/>
  <c r="F49"/>
  <c r="E49"/>
  <c r="D49"/>
  <c r="F48"/>
  <c r="E48"/>
  <c r="D48"/>
  <c r="F47"/>
  <c r="E47"/>
  <c r="D47"/>
  <c r="F46"/>
  <c r="E46"/>
  <c r="D46"/>
  <c r="F45"/>
  <c r="E45"/>
  <c r="D45"/>
  <c r="F44"/>
  <c r="E44"/>
  <c r="D44"/>
  <c r="F43"/>
  <c r="E43"/>
  <c r="D43"/>
  <c r="F42"/>
  <c r="E42"/>
  <c r="D42"/>
  <c r="F41"/>
  <c r="E41"/>
  <c r="D41"/>
  <c r="F40"/>
  <c r="E40"/>
  <c r="D40"/>
  <c r="C63"/>
  <c r="C62"/>
  <c r="C61"/>
  <c r="C60"/>
  <c r="C59"/>
  <c r="C58"/>
  <c r="C57"/>
  <c r="C56"/>
  <c r="C55"/>
  <c r="C54"/>
  <c r="C53"/>
  <c r="C52"/>
  <c r="C51"/>
  <c r="C50"/>
  <c r="C49"/>
  <c r="C48"/>
  <c r="H45"/>
  <c r="N4" i="13"/>
  <c r="N10" s="1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H45"/>
  <c r="O4"/>
  <c r="O4" i="9"/>
  <c r="N4"/>
  <c r="O4" i="10"/>
  <c r="N4"/>
  <c r="N10" s="1"/>
  <c r="O4" i="12"/>
  <c r="N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F73"/>
  <c r="E73"/>
  <c r="D73"/>
  <c r="F72"/>
  <c r="E72"/>
  <c r="D72"/>
  <c r="F71"/>
  <c r="E71"/>
  <c r="D71"/>
  <c r="F70"/>
  <c r="E70"/>
  <c r="D70"/>
  <c r="F69"/>
  <c r="E69"/>
  <c r="D69"/>
  <c r="F68"/>
  <c r="E68"/>
  <c r="D68"/>
  <c r="F67"/>
  <c r="E67"/>
  <c r="D67"/>
  <c r="F66"/>
  <c r="E66"/>
  <c r="D66"/>
  <c r="F65"/>
  <c r="E65"/>
  <c r="D65"/>
  <c r="F64"/>
  <c r="E64"/>
  <c r="D64"/>
  <c r="F63"/>
  <c r="E63"/>
  <c r="D63"/>
  <c r="F62"/>
  <c r="E62"/>
  <c r="D62"/>
  <c r="F61"/>
  <c r="E61"/>
  <c r="D61"/>
  <c r="F60"/>
  <c r="E60"/>
  <c r="D60"/>
  <c r="F59"/>
  <c r="E59"/>
  <c r="D59"/>
  <c r="F58"/>
  <c r="E58"/>
  <c r="D58"/>
  <c r="F57"/>
  <c r="E57"/>
  <c r="D57"/>
  <c r="F56"/>
  <c r="E56"/>
  <c r="D56"/>
  <c r="F55"/>
  <c r="E55"/>
  <c r="D55"/>
  <c r="F54"/>
  <c r="E54"/>
  <c r="D54"/>
  <c r="F53"/>
  <c r="E53"/>
  <c r="D53"/>
  <c r="F52"/>
  <c r="E52"/>
  <c r="D52"/>
  <c r="F51"/>
  <c r="E51"/>
  <c r="D51"/>
  <c r="F50"/>
  <c r="E50"/>
  <c r="D50"/>
  <c r="F49"/>
  <c r="E49"/>
  <c r="D49"/>
  <c r="F48"/>
  <c r="E48"/>
  <c r="D48"/>
  <c r="F47"/>
  <c r="E47"/>
  <c r="D47"/>
  <c r="F46"/>
  <c r="E46"/>
  <c r="D46"/>
  <c r="F45"/>
  <c r="E45"/>
  <c r="D45"/>
  <c r="F44"/>
  <c r="E44"/>
  <c r="D44"/>
  <c r="F43"/>
  <c r="E43"/>
  <c r="D43"/>
  <c r="F42"/>
  <c r="E42"/>
  <c r="D42"/>
  <c r="F41"/>
  <c r="E41"/>
  <c r="D41"/>
  <c r="F40"/>
  <c r="E40"/>
  <c r="D40"/>
  <c r="C63"/>
  <c r="C62"/>
  <c r="C61"/>
  <c r="C60"/>
  <c r="C59"/>
  <c r="C58"/>
  <c r="C57"/>
  <c r="C56"/>
  <c r="C55"/>
  <c r="C54"/>
  <c r="C53"/>
  <c r="C52"/>
  <c r="C51"/>
  <c r="C50"/>
  <c r="C49"/>
  <c r="C48"/>
  <c r="H45"/>
  <c r="G55" i="10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F55"/>
  <c r="D55"/>
  <c r="F54"/>
  <c r="D54"/>
  <c r="C55"/>
  <c r="C54"/>
  <c r="C53"/>
  <c r="C52"/>
  <c r="C51"/>
  <c r="D53"/>
  <c r="G32"/>
  <c r="F53"/>
  <c r="F52"/>
  <c r="D52"/>
  <c r="F51"/>
  <c r="D51"/>
  <c r="F50"/>
  <c r="D50"/>
  <c r="F49"/>
  <c r="D49"/>
  <c r="F48"/>
  <c r="D48"/>
  <c r="F47"/>
  <c r="D47"/>
  <c r="F46"/>
  <c r="D46"/>
  <c r="F45"/>
  <c r="D45"/>
  <c r="F44"/>
  <c r="D44"/>
  <c r="F43"/>
  <c r="D43"/>
  <c r="F42"/>
  <c r="D42"/>
  <c r="F41"/>
  <c r="D41"/>
  <c r="F40"/>
  <c r="D40"/>
  <c r="F39"/>
  <c r="D39"/>
  <c r="F38"/>
  <c r="D38"/>
  <c r="F37"/>
  <c r="D37"/>
  <c r="F36"/>
  <c r="D36"/>
  <c r="F35"/>
  <c r="D35"/>
  <c r="F34"/>
  <c r="D34"/>
  <c r="F33"/>
  <c r="D33"/>
  <c r="F32"/>
  <c r="D32"/>
  <c r="C50"/>
  <c r="C49"/>
  <c r="C48"/>
  <c r="C47"/>
  <c r="C46"/>
  <c r="C45"/>
  <c r="C44"/>
  <c r="C43"/>
  <c r="C42"/>
  <c r="C41"/>
  <c r="C40"/>
  <c r="H37"/>
  <c r="G60" i="9"/>
  <c r="F60"/>
  <c r="E60"/>
  <c r="D60"/>
  <c r="G59"/>
  <c r="F59"/>
  <c r="E59"/>
  <c r="D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F37"/>
  <c r="E37"/>
  <c r="D37"/>
  <c r="C50"/>
  <c r="C49"/>
  <c r="C48"/>
  <c r="C47"/>
  <c r="C46"/>
  <c r="C45"/>
  <c r="C44"/>
  <c r="C43"/>
  <c r="C42"/>
  <c r="C41"/>
  <c r="H37"/>
  <c r="C40"/>
  <c r="O4" i="5"/>
  <c r="N4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G40"/>
  <c r="C40"/>
  <c r="C57"/>
  <c r="C56"/>
  <c r="C55"/>
  <c r="C54"/>
  <c r="C53"/>
  <c r="C52"/>
  <c r="C51"/>
  <c r="C50"/>
  <c r="C49"/>
  <c r="C48"/>
  <c r="C47"/>
  <c r="C46"/>
  <c r="C45"/>
  <c r="C44"/>
  <c r="C43"/>
  <c r="C42"/>
  <c r="C41"/>
  <c r="P3" i="6"/>
  <c r="P2"/>
  <c r="M3"/>
  <c r="M2"/>
  <c r="G61" i="5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H40"/>
  <c r="N10"/>
  <c r="O4" i="4"/>
  <c r="N4"/>
  <c r="N10" s="1"/>
  <c r="F49"/>
  <c r="F48"/>
  <c r="F47"/>
  <c r="F46"/>
  <c r="F45"/>
  <c r="F44"/>
  <c r="F43"/>
  <c r="F42"/>
  <c r="F41"/>
  <c r="F40"/>
  <c r="E49"/>
  <c r="E48"/>
  <c r="E47"/>
  <c r="E46"/>
  <c r="E45"/>
  <c r="E44"/>
  <c r="E43"/>
  <c r="E42"/>
  <c r="E41"/>
  <c r="E40"/>
  <c r="D49"/>
  <c r="D48"/>
  <c r="D47"/>
  <c r="D46"/>
  <c r="D45"/>
  <c r="D44"/>
  <c r="D43"/>
  <c r="D42"/>
  <c r="D41"/>
  <c r="D40"/>
  <c r="N6" s="1"/>
  <c r="C44"/>
  <c r="C43"/>
  <c r="C42"/>
  <c r="C41"/>
  <c r="C40"/>
  <c r="G49"/>
  <c r="G48"/>
  <c r="G47"/>
  <c r="G46"/>
  <c r="G45"/>
  <c r="G44"/>
  <c r="G43"/>
  <c r="G42"/>
  <c r="G41"/>
  <c r="H40"/>
  <c r="G40"/>
  <c r="N4" i="3"/>
  <c r="N10" s="1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C55"/>
  <c r="C54"/>
  <c r="C53"/>
  <c r="C52"/>
  <c r="C51"/>
  <c r="C50"/>
  <c r="C49"/>
  <c r="C48"/>
  <c r="C47"/>
  <c r="C46"/>
  <c r="C45"/>
  <c r="C44"/>
  <c r="C43"/>
  <c r="C42"/>
  <c r="C41"/>
  <c r="C40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N6" s="1"/>
  <c r="H40"/>
  <c r="O4"/>
  <c r="W4" i="33" l="1"/>
  <c r="X4" s="1"/>
  <c r="Q6"/>
  <c r="T6" s="1"/>
  <c r="S6"/>
  <c r="U6"/>
  <c r="Q5"/>
  <c r="V5" s="1"/>
  <c r="R5"/>
  <c r="P5" s="1"/>
  <c r="S5" s="1"/>
  <c r="X4" i="32"/>
  <c r="R6"/>
  <c r="U6" s="1"/>
  <c r="Q5"/>
  <c r="T5" s="1"/>
  <c r="V6"/>
  <c r="P5"/>
  <c r="R6" i="31"/>
  <c r="U6" s="1"/>
  <c r="Q5"/>
  <c r="W5" s="1"/>
  <c r="S5"/>
  <c r="U5"/>
  <c r="W4"/>
  <c r="X4" s="1"/>
  <c r="S4"/>
  <c r="W4" i="29"/>
  <c r="X4" s="1"/>
  <c r="R6"/>
  <c r="P6" s="1"/>
  <c r="W6" s="1"/>
  <c r="R5"/>
  <c r="P5" s="1"/>
  <c r="S5" s="1"/>
  <c r="V5"/>
  <c r="O6" i="28"/>
  <c r="O5"/>
  <c r="N6" i="5"/>
  <c r="N5"/>
  <c r="N6" i="9"/>
  <c r="N5"/>
  <c r="O59"/>
  <c r="I59"/>
  <c r="O60"/>
  <c r="I60"/>
  <c r="N6" i="10"/>
  <c r="N5"/>
  <c r="N6" i="12"/>
  <c r="N5"/>
  <c r="O64"/>
  <c r="I64"/>
  <c r="O65"/>
  <c r="I65"/>
  <c r="O66"/>
  <c r="I66"/>
  <c r="O67"/>
  <c r="I67"/>
  <c r="O68"/>
  <c r="I68"/>
  <c r="O69"/>
  <c r="I69"/>
  <c r="O70"/>
  <c r="I70"/>
  <c r="O71"/>
  <c r="I71"/>
  <c r="O72"/>
  <c r="I72"/>
  <c r="O73"/>
  <c r="I73"/>
  <c r="N6" i="13"/>
  <c r="N5"/>
  <c r="N6" i="11"/>
  <c r="N5"/>
  <c r="N6" i="8"/>
  <c r="N5"/>
  <c r="N6" i="14"/>
  <c r="N5"/>
  <c r="O64"/>
  <c r="I64"/>
  <c r="O65"/>
  <c r="I65"/>
  <c r="O66"/>
  <c r="I66"/>
  <c r="O67"/>
  <c r="I67"/>
  <c r="O68"/>
  <c r="I68"/>
  <c r="O69"/>
  <c r="I69"/>
  <c r="O70"/>
  <c r="I70"/>
  <c r="N6" i="15"/>
  <c r="N5"/>
  <c r="O64"/>
  <c r="I64"/>
  <c r="O65"/>
  <c r="I65"/>
  <c r="O66"/>
  <c r="I66"/>
  <c r="O67"/>
  <c r="I67"/>
  <c r="O68"/>
  <c r="I68"/>
  <c r="O69"/>
  <c r="I69"/>
  <c r="N6" i="16"/>
  <c r="N5"/>
  <c r="N6" i="17"/>
  <c r="N5"/>
  <c r="N6" i="18"/>
  <c r="N5"/>
  <c r="N6" i="19"/>
  <c r="N5"/>
  <c r="P4" i="27"/>
  <c r="S4" s="1"/>
  <c r="P4" i="26"/>
  <c r="U4" i="25"/>
  <c r="P4"/>
  <c r="P4" i="24"/>
  <c r="P4" i="23"/>
  <c r="U4" i="22"/>
  <c r="P4"/>
  <c r="U4" i="21"/>
  <c r="U4" i="20"/>
  <c r="P4"/>
  <c r="I57" i="19"/>
  <c r="I47"/>
  <c r="I61"/>
  <c r="I63"/>
  <c r="I42"/>
  <c r="O44"/>
  <c r="I54"/>
  <c r="O43"/>
  <c r="I45"/>
  <c r="O50"/>
  <c r="I41"/>
  <c r="O60"/>
  <c r="I53"/>
  <c r="I40"/>
  <c r="O48"/>
  <c r="I59"/>
  <c r="I46"/>
  <c r="I49"/>
  <c r="O55"/>
  <c r="O58"/>
  <c r="O61"/>
  <c r="O63"/>
  <c r="O57"/>
  <c r="I48"/>
  <c r="I56"/>
  <c r="I62"/>
  <c r="O40"/>
  <c r="O46"/>
  <c r="O49"/>
  <c r="I51"/>
  <c r="I58"/>
  <c r="I44"/>
  <c r="I50"/>
  <c r="O41"/>
  <c r="O47"/>
  <c r="O52"/>
  <c r="I64"/>
  <c r="O42"/>
  <c r="O54"/>
  <c r="I55"/>
  <c r="O62"/>
  <c r="R4"/>
  <c r="P4" s="1"/>
  <c r="I43"/>
  <c r="O45"/>
  <c r="O51"/>
  <c r="I52"/>
  <c r="O59"/>
  <c r="I60"/>
  <c r="O56"/>
  <c r="O53"/>
  <c r="O64"/>
  <c r="I48" i="18"/>
  <c r="O49"/>
  <c r="R4"/>
  <c r="U4" s="1"/>
  <c r="O40"/>
  <c r="O47"/>
  <c r="I45"/>
  <c r="O42"/>
  <c r="O44"/>
  <c r="I41"/>
  <c r="I43"/>
  <c r="O45"/>
  <c r="I46"/>
  <c r="I47"/>
  <c r="O50"/>
  <c r="I55"/>
  <c r="O41"/>
  <c r="I50"/>
  <c r="O56"/>
  <c r="I44"/>
  <c r="I53"/>
  <c r="O48"/>
  <c r="O54"/>
  <c r="O55"/>
  <c r="I57"/>
  <c r="I49"/>
  <c r="O51"/>
  <c r="I56"/>
  <c r="O46"/>
  <c r="I52"/>
  <c r="I42"/>
  <c r="O53"/>
  <c r="I54"/>
  <c r="I51"/>
  <c r="O43"/>
  <c r="O52"/>
  <c r="I40"/>
  <c r="O57"/>
  <c r="N10"/>
  <c r="I46" i="17"/>
  <c r="I51"/>
  <c r="O59"/>
  <c r="I50"/>
  <c r="O43"/>
  <c r="O48"/>
  <c r="I61"/>
  <c r="I49"/>
  <c r="I57"/>
  <c r="I41"/>
  <c r="I45"/>
  <c r="I58"/>
  <c r="O47"/>
  <c r="O40"/>
  <c r="O44"/>
  <c r="I48"/>
  <c r="O46"/>
  <c r="O54"/>
  <c r="O50"/>
  <c r="O52"/>
  <c r="I40"/>
  <c r="O49"/>
  <c r="O55"/>
  <c r="O58"/>
  <c r="I59"/>
  <c r="O51"/>
  <c r="O42"/>
  <c r="I53"/>
  <c r="O62"/>
  <c r="I42"/>
  <c r="I44"/>
  <c r="I56"/>
  <c r="I62"/>
  <c r="O41"/>
  <c r="I54"/>
  <c r="O60"/>
  <c r="O45"/>
  <c r="O57"/>
  <c r="O63"/>
  <c r="I47"/>
  <c r="I55"/>
  <c r="I63"/>
  <c r="R4"/>
  <c r="P4" s="1"/>
  <c r="S4" s="1"/>
  <c r="I43"/>
  <c r="I52"/>
  <c r="I60"/>
  <c r="O56"/>
  <c r="O53"/>
  <c r="O61"/>
  <c r="O57" i="16"/>
  <c r="I57"/>
  <c r="O55"/>
  <c r="I48"/>
  <c r="I58"/>
  <c r="O49"/>
  <c r="O48"/>
  <c r="O47"/>
  <c r="I50"/>
  <c r="I59"/>
  <c r="I64"/>
  <c r="I41"/>
  <c r="O43"/>
  <c r="I45"/>
  <c r="O56"/>
  <c r="I62"/>
  <c r="I51"/>
  <c r="I46"/>
  <c r="I65"/>
  <c r="O40"/>
  <c r="I42"/>
  <c r="O44"/>
  <c r="I49"/>
  <c r="O52"/>
  <c r="O41"/>
  <c r="O46"/>
  <c r="I54"/>
  <c r="I55"/>
  <c r="O58"/>
  <c r="I61"/>
  <c r="I44"/>
  <c r="O42"/>
  <c r="I47"/>
  <c r="O50"/>
  <c r="I53"/>
  <c r="O63"/>
  <c r="I40"/>
  <c r="I56"/>
  <c r="O60"/>
  <c r="O54"/>
  <c r="O62"/>
  <c r="I63"/>
  <c r="R4"/>
  <c r="U4" s="1"/>
  <c r="I43"/>
  <c r="O45"/>
  <c r="O51"/>
  <c r="I52"/>
  <c r="O59"/>
  <c r="I60"/>
  <c r="O65"/>
  <c r="O53"/>
  <c r="O61"/>
  <c r="O64"/>
  <c r="R4" i="15"/>
  <c r="P4" s="1"/>
  <c r="S4" s="1"/>
  <c r="O61"/>
  <c r="O48"/>
  <c r="I56"/>
  <c r="I42"/>
  <c r="O62"/>
  <c r="I41"/>
  <c r="I43"/>
  <c r="O45"/>
  <c r="I53"/>
  <c r="O46"/>
  <c r="O59"/>
  <c r="I46"/>
  <c r="I54"/>
  <c r="O57"/>
  <c r="I60"/>
  <c r="I63"/>
  <c r="I44"/>
  <c r="O49"/>
  <c r="O53"/>
  <c r="O42"/>
  <c r="I52"/>
  <c r="I55"/>
  <c r="O47"/>
  <c r="I61"/>
  <c r="I47"/>
  <c r="I50"/>
  <c r="I57"/>
  <c r="O41"/>
  <c r="I48"/>
  <c r="I49"/>
  <c r="I62"/>
  <c r="O51"/>
  <c r="O54"/>
  <c r="O56"/>
  <c r="I58"/>
  <c r="O55"/>
  <c r="O40"/>
  <c r="O44"/>
  <c r="I45"/>
  <c r="O50"/>
  <c r="I51"/>
  <c r="O58"/>
  <c r="I59"/>
  <c r="N10"/>
  <c r="O63"/>
  <c r="O43"/>
  <c r="O52"/>
  <c r="O60"/>
  <c r="I40"/>
  <c r="R4" i="14"/>
  <c r="O55"/>
  <c r="O56"/>
  <c r="O41"/>
  <c r="O48"/>
  <c r="O54"/>
  <c r="O46"/>
  <c r="O51"/>
  <c r="O44"/>
  <c r="O59"/>
  <c r="O45"/>
  <c r="O58"/>
  <c r="O47"/>
  <c r="O49"/>
  <c r="O42"/>
  <c r="O50"/>
  <c r="I40"/>
  <c r="O62"/>
  <c r="O53"/>
  <c r="O61"/>
  <c r="O40"/>
  <c r="N10"/>
  <c r="O63"/>
  <c r="O43"/>
  <c r="O52"/>
  <c r="O60"/>
  <c r="O57"/>
  <c r="I43" i="8"/>
  <c r="O54"/>
  <c r="O62"/>
  <c r="I60"/>
  <c r="O53"/>
  <c r="O40"/>
  <c r="I51"/>
  <c r="I50"/>
  <c r="I54"/>
  <c r="I59"/>
  <c r="O41"/>
  <c r="I52"/>
  <c r="I44"/>
  <c r="I47"/>
  <c r="I58"/>
  <c r="I61"/>
  <c r="I46"/>
  <c r="I48"/>
  <c r="I57"/>
  <c r="I42"/>
  <c r="O49"/>
  <c r="O56"/>
  <c r="O61"/>
  <c r="O43"/>
  <c r="O44"/>
  <c r="O46"/>
  <c r="I53"/>
  <c r="O59"/>
  <c r="R4"/>
  <c r="P4" s="1"/>
  <c r="S4" s="1"/>
  <c r="I41"/>
  <c r="O48"/>
  <c r="I62"/>
  <c r="I49"/>
  <c r="O51"/>
  <c r="I55"/>
  <c r="O45"/>
  <c r="O50"/>
  <c r="O58"/>
  <c r="O42"/>
  <c r="O47"/>
  <c r="O55"/>
  <c r="I56"/>
  <c r="I40"/>
  <c r="I45"/>
  <c r="O52"/>
  <c r="O60"/>
  <c r="O57"/>
  <c r="O42" i="11"/>
  <c r="I44"/>
  <c r="O62"/>
  <c r="I57"/>
  <c r="O44"/>
  <c r="I41"/>
  <c r="O43"/>
  <c r="O45"/>
  <c r="O50"/>
  <c r="I54"/>
  <c r="O55"/>
  <c r="I56"/>
  <c r="I53"/>
  <c r="I46"/>
  <c r="O48"/>
  <c r="I63"/>
  <c r="I40"/>
  <c r="I50"/>
  <c r="O56"/>
  <c r="O47"/>
  <c r="I49"/>
  <c r="O52"/>
  <c r="I58"/>
  <c r="I61"/>
  <c r="O49"/>
  <c r="I59"/>
  <c r="O46"/>
  <c r="I62"/>
  <c r="I45"/>
  <c r="I42"/>
  <c r="I48"/>
  <c r="O57"/>
  <c r="O60"/>
  <c r="O40"/>
  <c r="O41"/>
  <c r="I51"/>
  <c r="O63"/>
  <c r="O58"/>
  <c r="I47"/>
  <c r="O54"/>
  <c r="I55"/>
  <c r="R4"/>
  <c r="U4" s="1"/>
  <c r="I43"/>
  <c r="O51"/>
  <c r="I52"/>
  <c r="O59"/>
  <c r="I60"/>
  <c r="O53"/>
  <c r="O61"/>
  <c r="I41" i="13"/>
  <c r="O43"/>
  <c r="I45"/>
  <c r="I64"/>
  <c r="I57"/>
  <c r="O60"/>
  <c r="I60"/>
  <c r="I62"/>
  <c r="I66"/>
  <c r="O56"/>
  <c r="O59"/>
  <c r="I54"/>
  <c r="I65"/>
  <c r="O49"/>
  <c r="O62"/>
  <c r="I70"/>
  <c r="O57"/>
  <c r="I42"/>
  <c r="I48"/>
  <c r="I69"/>
  <c r="O42"/>
  <c r="O44"/>
  <c r="I46"/>
  <c r="O54"/>
  <c r="I50"/>
  <c r="I52"/>
  <c r="O47"/>
  <c r="O55"/>
  <c r="O40"/>
  <c r="I44"/>
  <c r="I40"/>
  <c r="O50"/>
  <c r="I53"/>
  <c r="I59"/>
  <c r="I73"/>
  <c r="O48"/>
  <c r="I56"/>
  <c r="I72"/>
  <c r="I68"/>
  <c r="O52"/>
  <c r="I49"/>
  <c r="I58"/>
  <c r="O41"/>
  <c r="I51"/>
  <c r="O58"/>
  <c r="I61"/>
  <c r="O46"/>
  <c r="I47"/>
  <c r="I55"/>
  <c r="I63"/>
  <c r="I67"/>
  <c r="I71"/>
  <c r="R4"/>
  <c r="U4" s="1"/>
  <c r="I43"/>
  <c r="O45"/>
  <c r="O51"/>
  <c r="O53"/>
  <c r="O61"/>
  <c r="R4" i="12"/>
  <c r="U4" s="1"/>
  <c r="I55"/>
  <c r="O42"/>
  <c r="O44"/>
  <c r="I46"/>
  <c r="O51"/>
  <c r="O54"/>
  <c r="I52"/>
  <c r="I41"/>
  <c r="I40"/>
  <c r="I47"/>
  <c r="O55"/>
  <c r="I60"/>
  <c r="I63"/>
  <c r="I43"/>
  <c r="O45"/>
  <c r="I50"/>
  <c r="O61"/>
  <c r="O41"/>
  <c r="O53"/>
  <c r="O56"/>
  <c r="I42"/>
  <c r="O48"/>
  <c r="O59"/>
  <c r="I54"/>
  <c r="I57"/>
  <c r="I61"/>
  <c r="I56"/>
  <c r="O58"/>
  <c r="O47"/>
  <c r="I49"/>
  <c r="I58"/>
  <c r="I62"/>
  <c r="O40"/>
  <c r="I44"/>
  <c r="I48"/>
  <c r="O50"/>
  <c r="I53"/>
  <c r="O62"/>
  <c r="I45"/>
  <c r="I51"/>
  <c r="I59"/>
  <c r="O63"/>
  <c r="O52"/>
  <c r="O60"/>
  <c r="N10"/>
  <c r="O43"/>
  <c r="O46"/>
  <c r="O49"/>
  <c r="O57"/>
  <c r="I40" i="10"/>
  <c r="I32"/>
  <c r="O37"/>
  <c r="I45"/>
  <c r="I49"/>
  <c r="I51"/>
  <c r="O53"/>
  <c r="I55"/>
  <c r="I39"/>
  <c r="I46"/>
  <c r="I36"/>
  <c r="I44"/>
  <c r="I34"/>
  <c r="I35"/>
  <c r="I33"/>
  <c r="I38"/>
  <c r="O50"/>
  <c r="I52"/>
  <c r="I54"/>
  <c r="O44"/>
  <c r="I53"/>
  <c r="O40"/>
  <c r="I43"/>
  <c r="O46"/>
  <c r="I48"/>
  <c r="O34"/>
  <c r="I41"/>
  <c r="O38"/>
  <c r="O42"/>
  <c r="I47"/>
  <c r="O49"/>
  <c r="O33"/>
  <c r="O35"/>
  <c r="I42"/>
  <c r="O45"/>
  <c r="I50"/>
  <c r="R4"/>
  <c r="U4" s="1"/>
  <c r="O36"/>
  <c r="O39"/>
  <c r="O48"/>
  <c r="O52"/>
  <c r="I37"/>
  <c r="O41"/>
  <c r="O47"/>
  <c r="O51"/>
  <c r="O55"/>
  <c r="O32"/>
  <c r="O43"/>
  <c r="O54"/>
  <c r="I37" i="9"/>
  <c r="I41"/>
  <c r="I44"/>
  <c r="O47"/>
  <c r="I52"/>
  <c r="O53"/>
  <c r="I56"/>
  <c r="O37"/>
  <c r="I43"/>
  <c r="I49"/>
  <c r="I39"/>
  <c r="R4"/>
  <c r="U4" s="1"/>
  <c r="O50"/>
  <c r="O49"/>
  <c r="I51"/>
  <c r="O39"/>
  <c r="I40"/>
  <c r="O42"/>
  <c r="O45"/>
  <c r="I54"/>
  <c r="O56"/>
  <c r="I58"/>
  <c r="I48"/>
  <c r="I50"/>
  <c r="I46"/>
  <c r="I38"/>
  <c r="I42"/>
  <c r="I47"/>
  <c r="I55"/>
  <c r="I57"/>
  <c r="N10"/>
  <c r="O44"/>
  <c r="I45"/>
  <c r="O52"/>
  <c r="I53"/>
  <c r="O55"/>
  <c r="O41"/>
  <c r="O38"/>
  <c r="O46"/>
  <c r="O54"/>
  <c r="O58"/>
  <c r="O43"/>
  <c r="T43" s="1"/>
  <c r="U43" s="1"/>
  <c r="O51"/>
  <c r="O40"/>
  <c r="O48"/>
  <c r="O57"/>
  <c r="N5" i="3"/>
  <c r="N5" i="4"/>
  <c r="O50" i="5"/>
  <c r="O54"/>
  <c r="I43"/>
  <c r="I49"/>
  <c r="I55"/>
  <c r="I59"/>
  <c r="O41"/>
  <c r="I53"/>
  <c r="I41"/>
  <c r="O48"/>
  <c r="O42"/>
  <c r="I48"/>
  <c r="I54"/>
  <c r="I60"/>
  <c r="R4"/>
  <c r="P4" s="1"/>
  <c r="S4" s="1"/>
  <c r="I45"/>
  <c r="I51"/>
  <c r="I56"/>
  <c r="O58"/>
  <c r="O59"/>
  <c r="I46"/>
  <c r="O49"/>
  <c r="O52"/>
  <c r="O55"/>
  <c r="I61"/>
  <c r="I40"/>
  <c r="I47"/>
  <c r="I57"/>
  <c r="I58"/>
  <c r="O44"/>
  <c r="O47"/>
  <c r="I42"/>
  <c r="I50"/>
  <c r="O46"/>
  <c r="O43"/>
  <c r="I44"/>
  <c r="O51"/>
  <c r="I52"/>
  <c r="O57"/>
  <c r="O61"/>
  <c r="O45"/>
  <c r="O53"/>
  <c r="O56"/>
  <c r="O60"/>
  <c r="O40"/>
  <c r="O42" i="4"/>
  <c r="O47"/>
  <c r="I40"/>
  <c r="I41"/>
  <c r="I49"/>
  <c r="O44"/>
  <c r="I45"/>
  <c r="O46"/>
  <c r="O48"/>
  <c r="I43"/>
  <c r="I46"/>
  <c r="I48"/>
  <c r="I42"/>
  <c r="O41"/>
  <c r="O49"/>
  <c r="I47"/>
  <c r="O43"/>
  <c r="I44"/>
  <c r="R4"/>
  <c r="O40"/>
  <c r="O45"/>
  <c r="I45" i="3"/>
  <c r="O64"/>
  <c r="I53"/>
  <c r="I47"/>
  <c r="I55"/>
  <c r="I59"/>
  <c r="I63"/>
  <c r="I42"/>
  <c r="I44"/>
  <c r="I48"/>
  <c r="I50"/>
  <c r="I52"/>
  <c r="I54"/>
  <c r="I56"/>
  <c r="I58"/>
  <c r="I60"/>
  <c r="I62"/>
  <c r="I64"/>
  <c r="O48"/>
  <c r="I61"/>
  <c r="I46"/>
  <c r="O40"/>
  <c r="I51"/>
  <c r="I41"/>
  <c r="I40"/>
  <c r="I43"/>
  <c r="R4"/>
  <c r="P4" s="1"/>
  <c r="O53"/>
  <c r="O61"/>
  <c r="I49"/>
  <c r="O50"/>
  <c r="I57"/>
  <c r="O58"/>
  <c r="I65"/>
  <c r="O41"/>
  <c r="O43"/>
  <c r="O45"/>
  <c r="O47"/>
  <c r="O55"/>
  <c r="O63"/>
  <c r="O52"/>
  <c r="O60"/>
  <c r="O49"/>
  <c r="O57"/>
  <c r="O65"/>
  <c r="O54"/>
  <c r="O62"/>
  <c r="O42"/>
  <c r="O44"/>
  <c r="O46"/>
  <c r="O51"/>
  <c r="O59"/>
  <c r="O56"/>
  <c r="M41" i="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  <c r="L41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9"/>
  <c r="L8"/>
  <c r="L7"/>
  <c r="L6"/>
  <c r="L5"/>
  <c r="L4"/>
  <c r="L3"/>
  <c r="L2"/>
  <c r="H35" i="2"/>
  <c r="G64"/>
  <c r="F64"/>
  <c r="G63"/>
  <c r="F63"/>
  <c r="G62"/>
  <c r="F62"/>
  <c r="G61"/>
  <c r="F61"/>
  <c r="G60"/>
  <c r="F60"/>
  <c r="G59"/>
  <c r="F59"/>
  <c r="G58"/>
  <c r="F58"/>
  <c r="G57"/>
  <c r="F57"/>
  <c r="G56"/>
  <c r="F56"/>
  <c r="G55"/>
  <c r="F55"/>
  <c r="G54"/>
  <c r="F54"/>
  <c r="G53"/>
  <c r="F53"/>
  <c r="G52"/>
  <c r="F52"/>
  <c r="G51"/>
  <c r="F51"/>
  <c r="G50"/>
  <c r="F50"/>
  <c r="G49"/>
  <c r="F49"/>
  <c r="G48"/>
  <c r="F48"/>
  <c r="G47"/>
  <c r="F47"/>
  <c r="G46"/>
  <c r="F46"/>
  <c r="G45"/>
  <c r="F45"/>
  <c r="G44"/>
  <c r="F44"/>
  <c r="G43"/>
  <c r="F43"/>
  <c r="G42"/>
  <c r="F42"/>
  <c r="G41"/>
  <c r="F41"/>
  <c r="G40"/>
  <c r="F40"/>
  <c r="G39"/>
  <c r="F39"/>
  <c r="G38"/>
  <c r="F38"/>
  <c r="G37"/>
  <c r="F37"/>
  <c r="G36"/>
  <c r="F36"/>
  <c r="G35"/>
  <c r="F3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D35"/>
  <c r="I35" s="1"/>
  <c r="L35" s="1"/>
  <c r="M35" s="1"/>
  <c r="A39"/>
  <c r="A40"/>
  <c r="A41"/>
  <c r="A42"/>
  <c r="A37"/>
  <c r="A38"/>
  <c r="A36"/>
  <c r="A35"/>
  <c r="O4"/>
  <c r="N4"/>
  <c r="J3" i="1"/>
  <c r="J2"/>
  <c r="W6" i="33" l="1"/>
  <c r="V6"/>
  <c r="U5"/>
  <c r="W5"/>
  <c r="T5"/>
  <c r="T6" i="32"/>
  <c r="P6"/>
  <c r="W6" s="1"/>
  <c r="X6" s="1"/>
  <c r="V5"/>
  <c r="W5"/>
  <c r="S5"/>
  <c r="P6" i="31"/>
  <c r="W6" s="1"/>
  <c r="X6" s="1"/>
  <c r="T5"/>
  <c r="V5"/>
  <c r="X5" s="1"/>
  <c r="T6"/>
  <c r="S6" i="29"/>
  <c r="W5"/>
  <c r="U6"/>
  <c r="X6" s="1"/>
  <c r="T6"/>
  <c r="T5"/>
  <c r="U5"/>
  <c r="Q6" i="28"/>
  <c r="R6"/>
  <c r="Q5"/>
  <c r="R5"/>
  <c r="N9" i="27"/>
  <c r="N12" s="1"/>
  <c r="M4"/>
  <c r="Q4" s="1"/>
  <c r="N9" i="26"/>
  <c r="N12" s="1"/>
  <c r="M4"/>
  <c r="Q4" s="1"/>
  <c r="N9" i="25"/>
  <c r="N12" s="1"/>
  <c r="M4"/>
  <c r="Q4" s="1"/>
  <c r="N9" i="24"/>
  <c r="N12" s="1"/>
  <c r="M4"/>
  <c r="Q4" s="1"/>
  <c r="N9" i="23"/>
  <c r="N12" s="1"/>
  <c r="M4"/>
  <c r="Q4" s="1"/>
  <c r="N9" i="22"/>
  <c r="N12" s="1"/>
  <c r="M4"/>
  <c r="Q4" s="1"/>
  <c r="N9" i="21"/>
  <c r="N12" s="1"/>
  <c r="M4"/>
  <c r="Q4" s="1"/>
  <c r="N9" i="20"/>
  <c r="N12" s="1"/>
  <c r="M4"/>
  <c r="Q4" s="1"/>
  <c r="N9" i="19"/>
  <c r="N12" s="1"/>
  <c r="M4"/>
  <c r="Q4" s="1"/>
  <c r="N9" i="18"/>
  <c r="N12" s="1"/>
  <c r="M4"/>
  <c r="Q4" s="1"/>
  <c r="V4" s="1"/>
  <c r="N9" i="17"/>
  <c r="N12" s="1"/>
  <c r="M4"/>
  <c r="Q4" s="1"/>
  <c r="V4" s="1"/>
  <c r="N9" i="16"/>
  <c r="N12" s="1"/>
  <c r="M4"/>
  <c r="Q4" s="1"/>
  <c r="V4" s="1"/>
  <c r="N9" i="15"/>
  <c r="N12" s="1"/>
  <c r="M4"/>
  <c r="Q4" s="1"/>
  <c r="V4" s="1"/>
  <c r="N9" i="14"/>
  <c r="N12" s="1"/>
  <c r="M4"/>
  <c r="Q4" s="1"/>
  <c r="V4" s="1"/>
  <c r="N9" i="8"/>
  <c r="N12" s="1"/>
  <c r="M4"/>
  <c r="Q4" s="1"/>
  <c r="V4" s="1"/>
  <c r="N9" i="11"/>
  <c r="N12" s="1"/>
  <c r="M4"/>
  <c r="Q4" s="1"/>
  <c r="V4" s="1"/>
  <c r="N9" i="13"/>
  <c r="N12" s="1"/>
  <c r="M4"/>
  <c r="Q4" s="1"/>
  <c r="V4" s="1"/>
  <c r="N9" i="12"/>
  <c r="N12" s="1"/>
  <c r="M4"/>
  <c r="Q4" s="1"/>
  <c r="N9" i="10"/>
  <c r="N12" s="1"/>
  <c r="M4"/>
  <c r="Q4" s="1"/>
  <c r="V4" s="1"/>
  <c r="N9" i="9"/>
  <c r="N12" s="1"/>
  <c r="M4"/>
  <c r="Q4" s="1"/>
  <c r="V4" s="1"/>
  <c r="B3" i="7"/>
  <c r="F3" s="1"/>
  <c r="M5" i="27"/>
  <c r="M5" i="26"/>
  <c r="N10" i="2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O36"/>
  <c r="T36" s="1"/>
  <c r="U36" s="1"/>
  <c r="I36"/>
  <c r="L36" s="1"/>
  <c r="M36" s="1"/>
  <c r="O37"/>
  <c r="T37" s="1"/>
  <c r="U37" s="1"/>
  <c r="I37"/>
  <c r="L37" s="1"/>
  <c r="M37" s="1"/>
  <c r="O38"/>
  <c r="T38" s="1"/>
  <c r="U38" s="1"/>
  <c r="I38"/>
  <c r="L38" s="1"/>
  <c r="M38" s="1"/>
  <c r="O39"/>
  <c r="I39"/>
  <c r="O40"/>
  <c r="I40"/>
  <c r="O41"/>
  <c r="I41"/>
  <c r="O42"/>
  <c r="T42" s="1"/>
  <c r="U42" s="1"/>
  <c r="I42"/>
  <c r="O43"/>
  <c r="I43"/>
  <c r="O44"/>
  <c r="T44" s="1"/>
  <c r="U44" s="1"/>
  <c r="I44"/>
  <c r="L44" s="1"/>
  <c r="M44" s="1"/>
  <c r="O45"/>
  <c r="T45" s="1"/>
  <c r="U45" s="1"/>
  <c r="I45"/>
  <c r="L45" s="1"/>
  <c r="M45" s="1"/>
  <c r="O46"/>
  <c r="T46" s="1"/>
  <c r="U46" s="1"/>
  <c r="I46"/>
  <c r="L46" s="1"/>
  <c r="M46" s="1"/>
  <c r="O47"/>
  <c r="I47"/>
  <c r="O48"/>
  <c r="I48"/>
  <c r="O49"/>
  <c r="I49"/>
  <c r="O50"/>
  <c r="T50" s="1"/>
  <c r="U50" s="1"/>
  <c r="I50"/>
  <c r="O51"/>
  <c r="I51"/>
  <c r="O52"/>
  <c r="I52"/>
  <c r="O53"/>
  <c r="I53"/>
  <c r="O54"/>
  <c r="I54"/>
  <c r="O55"/>
  <c r="I55"/>
  <c r="O56"/>
  <c r="I56"/>
  <c r="O57"/>
  <c r="I57"/>
  <c r="O58"/>
  <c r="T58" s="1"/>
  <c r="U58" s="1"/>
  <c r="I58"/>
  <c r="O59"/>
  <c r="I59"/>
  <c r="O60"/>
  <c r="I60"/>
  <c r="O61"/>
  <c r="I61"/>
  <c r="O62"/>
  <c r="I62"/>
  <c r="O63"/>
  <c r="I63"/>
  <c r="O64"/>
  <c r="I64"/>
  <c r="L57" i="14"/>
  <c r="M57" s="1"/>
  <c r="L58"/>
  <c r="M58" s="1"/>
  <c r="L59"/>
  <c r="M59" s="1"/>
  <c r="L41" i="20"/>
  <c r="M41" s="1"/>
  <c r="L42"/>
  <c r="M42" s="1"/>
  <c r="L60"/>
  <c r="M60" s="1"/>
  <c r="L43"/>
  <c r="M43" s="1"/>
  <c r="L58"/>
  <c r="M58" s="1"/>
  <c r="L59"/>
  <c r="M59" s="1"/>
  <c r="L40"/>
  <c r="M40" s="1"/>
  <c r="L48"/>
  <c r="M48" s="1"/>
  <c r="L40" i="21"/>
  <c r="M40" s="1"/>
  <c r="L42"/>
  <c r="M42" s="1"/>
  <c r="L43"/>
  <c r="M43" s="1"/>
  <c r="L52"/>
  <c r="M52" s="1"/>
  <c r="L41"/>
  <c r="M41" s="1"/>
  <c r="L50" i="22"/>
  <c r="M50" s="1"/>
  <c r="L49"/>
  <c r="M49" s="1"/>
  <c r="L48"/>
  <c r="M48" s="1"/>
  <c r="L63" i="23"/>
  <c r="M63" s="1"/>
  <c r="L64"/>
  <c r="M64" s="1"/>
  <c r="L62"/>
  <c r="M62" s="1"/>
  <c r="L80" i="25"/>
  <c r="L72"/>
  <c r="M72" s="1"/>
  <c r="L64"/>
  <c r="M64" s="1"/>
  <c r="L65"/>
  <c r="L78"/>
  <c r="M78" s="1"/>
  <c r="L60"/>
  <c r="M60" s="1"/>
  <c r="L74"/>
  <c r="M74" s="1"/>
  <c r="L61"/>
  <c r="M61" s="1"/>
  <c r="L59"/>
  <c r="M59" s="1"/>
  <c r="L73"/>
  <c r="M73" s="1"/>
  <c r="L79"/>
  <c r="L77"/>
  <c r="L70"/>
  <c r="M70" s="1"/>
  <c r="L62"/>
  <c r="M62" s="1"/>
  <c r="L81"/>
  <c r="M81" s="1"/>
  <c r="L63"/>
  <c r="M63" s="1"/>
  <c r="L75"/>
  <c r="L58"/>
  <c r="M58" s="1"/>
  <c r="L66"/>
  <c r="M66" s="1"/>
  <c r="L69"/>
  <c r="L82"/>
  <c r="M82" s="1"/>
  <c r="L76"/>
  <c r="L68"/>
  <c r="L67"/>
  <c r="L71"/>
  <c r="M71" s="1"/>
  <c r="L52" i="26"/>
  <c r="M52" s="1"/>
  <c r="L50"/>
  <c r="M50" s="1"/>
  <c r="L44"/>
  <c r="M44" s="1"/>
  <c r="L40"/>
  <c r="M40" s="1"/>
  <c r="L51"/>
  <c r="M51" s="1"/>
  <c r="L46"/>
  <c r="M46" s="1"/>
  <c r="L45"/>
  <c r="M45" s="1"/>
  <c r="L49"/>
  <c r="M49" s="1"/>
  <c r="L47"/>
  <c r="M47" s="1"/>
  <c r="L42"/>
  <c r="M42" s="1"/>
  <c r="L53"/>
  <c r="M53" s="1"/>
  <c r="L43"/>
  <c r="M43" s="1"/>
  <c r="L41"/>
  <c r="M41" s="1"/>
  <c r="L48"/>
  <c r="M48" s="1"/>
  <c r="L60" i="27"/>
  <c r="M60" s="1"/>
  <c r="L78"/>
  <c r="M78" s="1"/>
  <c r="L70"/>
  <c r="M70" s="1"/>
  <c r="L61"/>
  <c r="M61" s="1"/>
  <c r="L94"/>
  <c r="M94" s="1"/>
  <c r="L76"/>
  <c r="M76" s="1"/>
  <c r="L58"/>
  <c r="M58" s="1"/>
  <c r="L69"/>
  <c r="M69" s="1"/>
  <c r="L83"/>
  <c r="M83" s="1"/>
  <c r="L80"/>
  <c r="M80" s="1"/>
  <c r="L71"/>
  <c r="M71" s="1"/>
  <c r="L95"/>
  <c r="M95" s="1"/>
  <c r="L86"/>
  <c r="M86" s="1"/>
  <c r="L77"/>
  <c r="M77" s="1"/>
  <c r="L67"/>
  <c r="M67" s="1"/>
  <c r="L62"/>
  <c r="M62" s="1"/>
  <c r="L98"/>
  <c r="M98" s="1"/>
  <c r="L92"/>
  <c r="M92" s="1"/>
  <c r="L68"/>
  <c r="M68" s="1"/>
  <c r="L87"/>
  <c r="M87" s="1"/>
  <c r="L72"/>
  <c r="M72" s="1"/>
  <c r="L99"/>
  <c r="M99" s="1"/>
  <c r="L84"/>
  <c r="M84" s="1"/>
  <c r="L101"/>
  <c r="M101" s="1"/>
  <c r="L79"/>
  <c r="M79" s="1"/>
  <c r="L64"/>
  <c r="M64" s="1"/>
  <c r="L97"/>
  <c r="M97" s="1"/>
  <c r="L96"/>
  <c r="M96" s="1"/>
  <c r="L100"/>
  <c r="M100" s="1"/>
  <c r="L91"/>
  <c r="M91" s="1"/>
  <c r="L89"/>
  <c r="M89" s="1"/>
  <c r="L66"/>
  <c r="M66" s="1"/>
  <c r="L65"/>
  <c r="M65" s="1"/>
  <c r="L74"/>
  <c r="M74" s="1"/>
  <c r="L73"/>
  <c r="M73" s="1"/>
  <c r="L102"/>
  <c r="M102" s="1"/>
  <c r="L90"/>
  <c r="M90" s="1"/>
  <c r="L81"/>
  <c r="M81" s="1"/>
  <c r="L63"/>
  <c r="M63" s="1"/>
  <c r="L75"/>
  <c r="M75" s="1"/>
  <c r="L82"/>
  <c r="M82" s="1"/>
  <c r="L93"/>
  <c r="M93" s="1"/>
  <c r="L85"/>
  <c r="M85" s="1"/>
  <c r="L59"/>
  <c r="M59" s="1"/>
  <c r="L88"/>
  <c r="M88" s="1"/>
  <c r="L102" i="25"/>
  <c r="L101"/>
  <c r="L100"/>
  <c r="M100" s="1"/>
  <c r="L99"/>
  <c r="L98"/>
  <c r="L97"/>
  <c r="L96"/>
  <c r="M96" s="1"/>
  <c r="L95"/>
  <c r="L94"/>
  <c r="L93"/>
  <c r="L92"/>
  <c r="M92" s="1"/>
  <c r="L91"/>
  <c r="L90"/>
  <c r="L89"/>
  <c r="L88"/>
  <c r="L87"/>
  <c r="L86"/>
  <c r="L85"/>
  <c r="L84"/>
  <c r="M84" s="1"/>
  <c r="L83"/>
  <c r="T41" i="20"/>
  <c r="U41" s="1"/>
  <c r="T59"/>
  <c r="U59" s="1"/>
  <c r="T60"/>
  <c r="U60" s="1"/>
  <c r="T42"/>
  <c r="U42" s="1"/>
  <c r="T40"/>
  <c r="U40" s="1"/>
  <c r="T58"/>
  <c r="U58" s="1"/>
  <c r="T43"/>
  <c r="U43" s="1"/>
  <c r="T43" i="21"/>
  <c r="U43" s="1"/>
  <c r="T52"/>
  <c r="U52" s="1"/>
  <c r="T41"/>
  <c r="U41" s="1"/>
  <c r="T42"/>
  <c r="U42" s="1"/>
  <c r="T40"/>
  <c r="U40" s="1"/>
  <c r="T49" i="22"/>
  <c r="U49" s="1"/>
  <c r="T48"/>
  <c r="U48" s="1"/>
  <c r="T50"/>
  <c r="U50" s="1"/>
  <c r="T62" i="23"/>
  <c r="U62" s="1"/>
  <c r="T64"/>
  <c r="U64" s="1"/>
  <c r="T63"/>
  <c r="U63" s="1"/>
  <c r="T81" i="25"/>
  <c r="T73"/>
  <c r="U73" s="1"/>
  <c r="T68"/>
  <c r="U68" s="1"/>
  <c r="T62"/>
  <c r="U62" s="1"/>
  <c r="T58"/>
  <c r="U58" s="1"/>
  <c r="T82"/>
  <c r="T79"/>
  <c r="U79" s="1"/>
  <c r="T71"/>
  <c r="U71" s="1"/>
  <c r="T69"/>
  <c r="U69" s="1"/>
  <c r="T78"/>
  <c r="T67"/>
  <c r="U67" s="1"/>
  <c r="T66"/>
  <c r="T63"/>
  <c r="U63" s="1"/>
  <c r="T75"/>
  <c r="T60"/>
  <c r="U60" s="1"/>
  <c r="T61"/>
  <c r="U61" s="1"/>
  <c r="T80"/>
  <c r="U80" s="1"/>
  <c r="T72"/>
  <c r="U72" s="1"/>
  <c r="T59"/>
  <c r="U59" s="1"/>
  <c r="T77"/>
  <c r="T64"/>
  <c r="U64" s="1"/>
  <c r="T76"/>
  <c r="T65"/>
  <c r="U65" s="1"/>
  <c r="T70"/>
  <c r="T74"/>
  <c r="U74" s="1"/>
  <c r="T53" i="26"/>
  <c r="U53" s="1"/>
  <c r="T51"/>
  <c r="U51" s="1"/>
  <c r="T45"/>
  <c r="U45" s="1"/>
  <c r="T49"/>
  <c r="U49" s="1"/>
  <c r="T46"/>
  <c r="U46" s="1"/>
  <c r="T50"/>
  <c r="U50" s="1"/>
  <c r="T43"/>
  <c r="U43" s="1"/>
  <c r="T44"/>
  <c r="U44" s="1"/>
  <c r="T42"/>
  <c r="U42" s="1"/>
  <c r="T41"/>
  <c r="U41" s="1"/>
  <c r="T52"/>
  <c r="U52" s="1"/>
  <c r="T47"/>
  <c r="U47" s="1"/>
  <c r="T40"/>
  <c r="U40" s="1"/>
  <c r="T48"/>
  <c r="U48" s="1"/>
  <c r="T102" i="27"/>
  <c r="U102" s="1"/>
  <c r="T98"/>
  <c r="U98" s="1"/>
  <c r="T94"/>
  <c r="U94" s="1"/>
  <c r="T90"/>
  <c r="U90" s="1"/>
  <c r="T86"/>
  <c r="U86" s="1"/>
  <c r="T82"/>
  <c r="U82" s="1"/>
  <c r="T79"/>
  <c r="U79" s="1"/>
  <c r="T71"/>
  <c r="U71" s="1"/>
  <c r="T60"/>
  <c r="U60" s="1"/>
  <c r="T99"/>
  <c r="U99" s="1"/>
  <c r="T95"/>
  <c r="U95" s="1"/>
  <c r="T91"/>
  <c r="U91" s="1"/>
  <c r="T87"/>
  <c r="U87" s="1"/>
  <c r="T83"/>
  <c r="U83" s="1"/>
  <c r="T77"/>
  <c r="U77" s="1"/>
  <c r="T69"/>
  <c r="U69" s="1"/>
  <c r="T75"/>
  <c r="U75" s="1"/>
  <c r="T72"/>
  <c r="U72" s="1"/>
  <c r="T84"/>
  <c r="U84" s="1"/>
  <c r="T96"/>
  <c r="U96" s="1"/>
  <c r="T89"/>
  <c r="U89" s="1"/>
  <c r="T74"/>
  <c r="U74" s="1"/>
  <c r="T70"/>
  <c r="U70" s="1"/>
  <c r="T61"/>
  <c r="U61" s="1"/>
  <c r="T59"/>
  <c r="U59" s="1"/>
  <c r="T101"/>
  <c r="U101" s="1"/>
  <c r="T67"/>
  <c r="U67" s="1"/>
  <c r="T65"/>
  <c r="U65" s="1"/>
  <c r="T63"/>
  <c r="U63" s="1"/>
  <c r="T58"/>
  <c r="U58" s="1"/>
  <c r="T81"/>
  <c r="U81" s="1"/>
  <c r="T76"/>
  <c r="U76" s="1"/>
  <c r="T100"/>
  <c r="U100" s="1"/>
  <c r="T66"/>
  <c r="U66" s="1"/>
  <c r="T93"/>
  <c r="U93" s="1"/>
  <c r="T73"/>
  <c r="U73" s="1"/>
  <c r="T88"/>
  <c r="U88" s="1"/>
  <c r="T68"/>
  <c r="U68" s="1"/>
  <c r="T85"/>
  <c r="U85" s="1"/>
  <c r="T78"/>
  <c r="U78" s="1"/>
  <c r="T62"/>
  <c r="U62" s="1"/>
  <c r="T64"/>
  <c r="U64" s="1"/>
  <c r="T97"/>
  <c r="U97" s="1"/>
  <c r="T92"/>
  <c r="U92" s="1"/>
  <c r="T80"/>
  <c r="U80" s="1"/>
  <c r="T102" i="25"/>
  <c r="U102" s="1"/>
  <c r="T101"/>
  <c r="T100"/>
  <c r="U100" s="1"/>
  <c r="T99"/>
  <c r="U99" s="1"/>
  <c r="T98"/>
  <c r="T97"/>
  <c r="T96"/>
  <c r="U96" s="1"/>
  <c r="T95"/>
  <c r="T94"/>
  <c r="U94" s="1"/>
  <c r="T93"/>
  <c r="T92"/>
  <c r="T91"/>
  <c r="T90"/>
  <c r="U90" s="1"/>
  <c r="T89"/>
  <c r="T88"/>
  <c r="U88" s="1"/>
  <c r="T87"/>
  <c r="T86"/>
  <c r="U86" s="1"/>
  <c r="T85"/>
  <c r="T84"/>
  <c r="T83"/>
  <c r="U83" s="1"/>
  <c r="T53" i="21"/>
  <c r="U53" s="1"/>
  <c r="L65" i="3"/>
  <c r="M65" s="1"/>
  <c r="L43"/>
  <c r="M43" s="1"/>
  <c r="L41"/>
  <c r="M41" s="1"/>
  <c r="L61"/>
  <c r="M61" s="1"/>
  <c r="L64"/>
  <c r="M64" s="1"/>
  <c r="L62"/>
  <c r="M62" s="1"/>
  <c r="L60"/>
  <c r="M60" s="1"/>
  <c r="L42"/>
  <c r="M42" s="1"/>
  <c r="L63"/>
  <c r="M63" s="1"/>
  <c r="L59"/>
  <c r="M59" s="1"/>
  <c r="T40" i="4"/>
  <c r="U40" s="1"/>
  <c r="T41"/>
  <c r="U41" s="1"/>
  <c r="L42"/>
  <c r="M42" s="1"/>
  <c r="L41"/>
  <c r="M41" s="1"/>
  <c r="L40"/>
  <c r="M40" s="1"/>
  <c r="T42"/>
  <c r="U42" s="1"/>
  <c r="T46" i="5"/>
  <c r="U46" s="1"/>
  <c r="T47"/>
  <c r="U47" s="1"/>
  <c r="L47"/>
  <c r="M47" s="1"/>
  <c r="L61"/>
  <c r="M61" s="1"/>
  <c r="L46"/>
  <c r="M46" s="1"/>
  <c r="L60"/>
  <c r="M60" s="1"/>
  <c r="L48"/>
  <c r="M48" s="1"/>
  <c r="T48"/>
  <c r="U48" s="1"/>
  <c r="L59"/>
  <c r="M59" s="1"/>
  <c r="T40" i="9"/>
  <c r="U40" s="1"/>
  <c r="T51"/>
  <c r="U51" s="1"/>
  <c r="T38"/>
  <c r="U38" s="1"/>
  <c r="T52"/>
  <c r="U52" s="1"/>
  <c r="L57"/>
  <c r="M57" s="1"/>
  <c r="L38"/>
  <c r="M38" s="1"/>
  <c r="L58"/>
  <c r="M58" s="1"/>
  <c r="L40"/>
  <c r="M40" s="1"/>
  <c r="T39"/>
  <c r="U39" s="1"/>
  <c r="T50"/>
  <c r="U50" s="1"/>
  <c r="L39"/>
  <c r="M39" s="1"/>
  <c r="T37"/>
  <c r="U37" s="1"/>
  <c r="L56"/>
  <c r="M56" s="1"/>
  <c r="L37"/>
  <c r="M37" s="1"/>
  <c r="T32" i="10"/>
  <c r="U32" s="1"/>
  <c r="L32"/>
  <c r="M32" s="1"/>
  <c r="T49" i="12"/>
  <c r="U49" s="1"/>
  <c r="T43"/>
  <c r="U43" s="1"/>
  <c r="L51"/>
  <c r="M51" s="1"/>
  <c r="T50"/>
  <c r="U50" s="1"/>
  <c r="T40"/>
  <c r="U40" s="1"/>
  <c r="L49"/>
  <c r="M49" s="1"/>
  <c r="L42"/>
  <c r="M42" s="1"/>
  <c r="T41"/>
  <c r="U41" s="1"/>
  <c r="L50"/>
  <c r="M50" s="1"/>
  <c r="L43"/>
  <c r="M43" s="1"/>
  <c r="L40"/>
  <c r="M40" s="1"/>
  <c r="L41"/>
  <c r="M41" s="1"/>
  <c r="T51"/>
  <c r="U51" s="1"/>
  <c r="T42"/>
  <c r="U42" s="1"/>
  <c r="T53" i="13"/>
  <c r="U53" s="1"/>
  <c r="L55"/>
  <c r="M55" s="1"/>
  <c r="L53"/>
  <c r="M53" s="1"/>
  <c r="T55"/>
  <c r="U55" s="1"/>
  <c r="T54"/>
  <c r="U54" s="1"/>
  <c r="L54"/>
  <c r="M54" s="1"/>
  <c r="L47" i="11"/>
  <c r="M47" s="1"/>
  <c r="T41"/>
  <c r="U41" s="1"/>
  <c r="T40"/>
  <c r="U40" s="1"/>
  <c r="L42"/>
  <c r="M42" s="1"/>
  <c r="L45"/>
  <c r="M45" s="1"/>
  <c r="T46"/>
  <c r="U46" s="1"/>
  <c r="T47"/>
  <c r="U47" s="1"/>
  <c r="L40"/>
  <c r="M40" s="1"/>
  <c r="L46"/>
  <c r="M46" s="1"/>
  <c r="T45"/>
  <c r="U45" s="1"/>
  <c r="L41"/>
  <c r="M41" s="1"/>
  <c r="T44"/>
  <c r="U44" s="1"/>
  <c r="L44"/>
  <c r="M44" s="1"/>
  <c r="T42"/>
  <c r="U42" s="1"/>
  <c r="L40" i="8"/>
  <c r="M40" s="1"/>
  <c r="T42"/>
  <c r="U42" s="1"/>
  <c r="L41"/>
  <c r="M41" s="1"/>
  <c r="L42"/>
  <c r="M42" s="1"/>
  <c r="T41"/>
  <c r="U41" s="1"/>
  <c r="T40"/>
  <c r="U40" s="1"/>
  <c r="T57" i="14"/>
  <c r="U57" s="1"/>
  <c r="T58"/>
  <c r="U58" s="1"/>
  <c r="T59"/>
  <c r="U59" s="1"/>
  <c r="T4"/>
  <c r="L40" i="15"/>
  <c r="M40" s="1"/>
  <c r="T43"/>
  <c r="U43" s="1"/>
  <c r="T40"/>
  <c r="U40" s="1"/>
  <c r="L62"/>
  <c r="M62" s="1"/>
  <c r="L48"/>
  <c r="M48" s="1"/>
  <c r="T41"/>
  <c r="U41" s="1"/>
  <c r="L47"/>
  <c r="M47" s="1"/>
  <c r="T47"/>
  <c r="U47" s="1"/>
  <c r="T42"/>
  <c r="U42" s="1"/>
  <c r="L46"/>
  <c r="M46" s="1"/>
  <c r="T46"/>
  <c r="U46" s="1"/>
  <c r="L43"/>
  <c r="M43" s="1"/>
  <c r="L41"/>
  <c r="M41" s="1"/>
  <c r="L42"/>
  <c r="M42" s="1"/>
  <c r="T48"/>
  <c r="U48" s="1"/>
  <c r="T45" i="16"/>
  <c r="U45" s="1"/>
  <c r="L43"/>
  <c r="M43" s="1"/>
  <c r="L40"/>
  <c r="M40" s="1"/>
  <c r="T42"/>
  <c r="U42" s="1"/>
  <c r="L44"/>
  <c r="M44" s="1"/>
  <c r="T46"/>
  <c r="U46" s="1"/>
  <c r="T41"/>
  <c r="U41" s="1"/>
  <c r="T44"/>
  <c r="U44" s="1"/>
  <c r="L42"/>
  <c r="M42" s="1"/>
  <c r="T40"/>
  <c r="U40" s="1"/>
  <c r="L46"/>
  <c r="M46" s="1"/>
  <c r="L45"/>
  <c r="M45" s="1"/>
  <c r="T43"/>
  <c r="U43" s="1"/>
  <c r="L41"/>
  <c r="M41" s="1"/>
  <c r="T41" i="17"/>
  <c r="U41" s="1"/>
  <c r="L42"/>
  <c r="M42" s="1"/>
  <c r="T42"/>
  <c r="U42" s="1"/>
  <c r="L40"/>
  <c r="M40" s="1"/>
  <c r="T40"/>
  <c r="U40" s="1"/>
  <c r="L41"/>
  <c r="M41" s="1"/>
  <c r="L40" i="18"/>
  <c r="M40" s="1"/>
  <c r="T43"/>
  <c r="U43" s="1"/>
  <c r="L42"/>
  <c r="M42" s="1"/>
  <c r="T46"/>
  <c r="U46" s="1"/>
  <c r="L44"/>
  <c r="M44" s="1"/>
  <c r="T41"/>
  <c r="U41" s="1"/>
  <c r="L46"/>
  <c r="M46" s="1"/>
  <c r="T45"/>
  <c r="U45" s="1"/>
  <c r="L43"/>
  <c r="M43" s="1"/>
  <c r="L41"/>
  <c r="M41" s="1"/>
  <c r="T44"/>
  <c r="U44" s="1"/>
  <c r="T42"/>
  <c r="U42" s="1"/>
  <c r="L45"/>
  <c r="M45" s="1"/>
  <c r="T40"/>
  <c r="U40" s="1"/>
  <c r="T45" i="19"/>
  <c r="U45" s="1"/>
  <c r="L43"/>
  <c r="M43" s="1"/>
  <c r="T42"/>
  <c r="U42" s="1"/>
  <c r="T41"/>
  <c r="U41" s="1"/>
  <c r="L44"/>
  <c r="M44" s="1"/>
  <c r="T46"/>
  <c r="U46" s="1"/>
  <c r="T40"/>
  <c r="U40" s="1"/>
  <c r="L46"/>
  <c r="M46" s="1"/>
  <c r="L40"/>
  <c r="M40" s="1"/>
  <c r="L41"/>
  <c r="M41" s="1"/>
  <c r="L45"/>
  <c r="M45" s="1"/>
  <c r="T43"/>
  <c r="U43" s="1"/>
  <c r="T44"/>
  <c r="U44" s="1"/>
  <c r="L42"/>
  <c r="M42" s="1"/>
  <c r="W4" i="26"/>
  <c r="L60" i="9"/>
  <c r="M60" s="1"/>
  <c r="T60"/>
  <c r="U60" s="1"/>
  <c r="L59"/>
  <c r="M59" s="1"/>
  <c r="W4" i="27"/>
  <c r="S4" i="26"/>
  <c r="L54" i="20"/>
  <c r="M54" s="1"/>
  <c r="T54" i="2"/>
  <c r="U54" s="1"/>
  <c r="T53"/>
  <c r="U53" s="1"/>
  <c r="T52"/>
  <c r="U52" s="1"/>
  <c r="T59" i="3"/>
  <c r="U59" s="1"/>
  <c r="M5" i="24"/>
  <c r="M5" i="20"/>
  <c r="M5" i="25"/>
  <c r="M5" i="23"/>
  <c r="M5" i="22"/>
  <c r="M5" i="21"/>
  <c r="B5" i="7"/>
  <c r="M5" i="4"/>
  <c r="M5" i="3"/>
  <c r="M5" i="15"/>
  <c r="M5" i="12"/>
  <c r="M5" i="9"/>
  <c r="M5" i="5"/>
  <c r="M5" i="17"/>
  <c r="M5" i="16"/>
  <c r="M5" i="13"/>
  <c r="M5" i="18"/>
  <c r="M5" i="8"/>
  <c r="M5" i="11"/>
  <c r="M5" i="19"/>
  <c r="M5" i="10"/>
  <c r="M5" i="14"/>
  <c r="B4" i="7"/>
  <c r="T60" i="2"/>
  <c r="U60" s="1"/>
  <c r="T60" i="3"/>
  <c r="U60" s="1"/>
  <c r="L48"/>
  <c r="M48" s="1"/>
  <c r="T49" i="4"/>
  <c r="U49" s="1"/>
  <c r="L45"/>
  <c r="M45" s="1"/>
  <c r="L44" i="5"/>
  <c r="M44" s="1"/>
  <c r="L57"/>
  <c r="M57" s="1"/>
  <c r="T43" i="2"/>
  <c r="U43" s="1"/>
  <c r="T51"/>
  <c r="U51" s="1"/>
  <c r="T59"/>
  <c r="U59" s="1"/>
  <c r="T51" i="3"/>
  <c r="U51" s="1"/>
  <c r="T49"/>
  <c r="U49" s="1"/>
  <c r="T41"/>
  <c r="U41" s="1"/>
  <c r="T48"/>
  <c r="U48" s="1"/>
  <c r="L50"/>
  <c r="M50" s="1"/>
  <c r="L53"/>
  <c r="M53" s="1"/>
  <c r="L47" i="4"/>
  <c r="M47" s="1"/>
  <c r="T46"/>
  <c r="U46" s="1"/>
  <c r="T40" i="5"/>
  <c r="U40" s="1"/>
  <c r="T51"/>
  <c r="U51" s="1"/>
  <c r="L58"/>
  <c r="M58" s="1"/>
  <c r="L54"/>
  <c r="M54" s="1"/>
  <c r="L55"/>
  <c r="M55" s="1"/>
  <c r="T48" i="9"/>
  <c r="U48" s="1"/>
  <c r="T41"/>
  <c r="U41" s="1"/>
  <c r="L55"/>
  <c r="M55" s="1"/>
  <c r="T56"/>
  <c r="U56" s="1"/>
  <c r="T57" i="12"/>
  <c r="U57" s="1"/>
  <c r="L59"/>
  <c r="M59" s="1"/>
  <c r="L48"/>
  <c r="M48" s="1"/>
  <c r="L56"/>
  <c r="M56" s="1"/>
  <c r="T53"/>
  <c r="U53" s="1"/>
  <c r="T55"/>
  <c r="U55" s="1"/>
  <c r="T44"/>
  <c r="U44" s="1"/>
  <c r="T51" i="13"/>
  <c r="U51" s="1"/>
  <c r="T57"/>
  <c r="U57" s="1"/>
  <c r="L59" i="11"/>
  <c r="M59" s="1"/>
  <c r="L50"/>
  <c r="M50" s="1"/>
  <c r="L54"/>
  <c r="M54" s="1"/>
  <c r="L56" i="8"/>
  <c r="M56" s="1"/>
  <c r="L55"/>
  <c r="M55" s="1"/>
  <c r="L53"/>
  <c r="M53" s="1"/>
  <c r="L57"/>
  <c r="M57" s="1"/>
  <c r="T62"/>
  <c r="U62" s="1"/>
  <c r="T42" i="14"/>
  <c r="U42" s="1"/>
  <c r="T46"/>
  <c r="U46" s="1"/>
  <c r="T60" i="15"/>
  <c r="U60" s="1"/>
  <c r="L51"/>
  <c r="M51" s="1"/>
  <c r="T54"/>
  <c r="U54" s="1"/>
  <c r="L44"/>
  <c r="M44" s="1"/>
  <c r="L53"/>
  <c r="M53" s="1"/>
  <c r="T61"/>
  <c r="U61" s="1"/>
  <c r="L52" i="16"/>
  <c r="M52" s="1"/>
  <c r="T60"/>
  <c r="U60" s="1"/>
  <c r="L49"/>
  <c r="M49" s="1"/>
  <c r="T56"/>
  <c r="U56" s="1"/>
  <c r="T48"/>
  <c r="U48" s="1"/>
  <c r="T61" i="17"/>
  <c r="U61" s="1"/>
  <c r="L63"/>
  <c r="M63" s="1"/>
  <c r="T51"/>
  <c r="U51" s="1"/>
  <c r="T54"/>
  <c r="U54" s="1"/>
  <c r="L51"/>
  <c r="M51" s="1"/>
  <c r="L54" i="18"/>
  <c r="M54" s="1"/>
  <c r="L49"/>
  <c r="M49" s="1"/>
  <c r="L50"/>
  <c r="M50" s="1"/>
  <c r="L48"/>
  <c r="M48" s="1"/>
  <c r="T51" i="19"/>
  <c r="U51" s="1"/>
  <c r="L64"/>
  <c r="M64" s="1"/>
  <c r="T49"/>
  <c r="U49" s="1"/>
  <c r="T61"/>
  <c r="U61" s="1"/>
  <c r="L53"/>
  <c r="M53" s="1"/>
  <c r="L41" i="24"/>
  <c r="M41" s="1"/>
  <c r="T46" i="23"/>
  <c r="U46" s="1"/>
  <c r="L56" i="20"/>
  <c r="M56" s="1"/>
  <c r="L42" i="23"/>
  <c r="M42" s="1"/>
  <c r="T47" i="21"/>
  <c r="U47" s="1"/>
  <c r="L67" i="15"/>
  <c r="M67" s="1"/>
  <c r="T50" i="24"/>
  <c r="U50" s="1"/>
  <c r="T47" i="22"/>
  <c r="U47" s="1"/>
  <c r="L68" i="15"/>
  <c r="M68" s="1"/>
  <c r="L41" i="23"/>
  <c r="M41" s="1"/>
  <c r="L52" i="22"/>
  <c r="M52" s="1"/>
  <c r="L61" i="14"/>
  <c r="M61" s="1"/>
  <c r="T52" i="24"/>
  <c r="U52" s="1"/>
  <c r="L42" i="22"/>
  <c r="M42" s="1"/>
  <c r="T46" i="20"/>
  <c r="U46" s="1"/>
  <c r="M77" i="25"/>
  <c r="T50" i="23"/>
  <c r="U50" s="1"/>
  <c r="L64" i="20"/>
  <c r="M64" s="1"/>
  <c r="L64" i="12"/>
  <c r="M64" s="1"/>
  <c r="T48" i="24"/>
  <c r="U48" s="1"/>
  <c r="L46" i="21"/>
  <c r="M46" s="1"/>
  <c r="L45" i="14"/>
  <c r="M45" s="1"/>
  <c r="L52" i="24"/>
  <c r="M52" s="1"/>
  <c r="L56" i="22"/>
  <c r="M56" s="1"/>
  <c r="L51" i="20"/>
  <c r="M51" s="1"/>
  <c r="L72" i="12"/>
  <c r="M72" s="1"/>
  <c r="T57" i="3"/>
  <c r="U57" s="1"/>
  <c r="T43"/>
  <c r="U43" s="1"/>
  <c r="T53"/>
  <c r="U53" s="1"/>
  <c r="L52"/>
  <c r="M52" s="1"/>
  <c r="L47"/>
  <c r="M47" s="1"/>
  <c r="T43" i="4"/>
  <c r="U43" s="1"/>
  <c r="T48"/>
  <c r="U48" s="1"/>
  <c r="L52" i="5"/>
  <c r="M52" s="1"/>
  <c r="T44"/>
  <c r="U44" s="1"/>
  <c r="T49"/>
  <c r="U49" s="1"/>
  <c r="T57" i="9"/>
  <c r="U57" s="1"/>
  <c r="T49"/>
  <c r="U49" s="1"/>
  <c r="T53"/>
  <c r="U53" s="1"/>
  <c r="T63" i="12"/>
  <c r="U63" s="1"/>
  <c r="T58"/>
  <c r="U58" s="1"/>
  <c r="T56"/>
  <c r="U56" s="1"/>
  <c r="L60"/>
  <c r="M60" s="1"/>
  <c r="L46"/>
  <c r="M46" s="1"/>
  <c r="T56" i="13"/>
  <c r="U56" s="1"/>
  <c r="T43"/>
  <c r="U43" s="1"/>
  <c r="L43" i="11"/>
  <c r="M43" s="1"/>
  <c r="T56"/>
  <c r="U56" s="1"/>
  <c r="T55"/>
  <c r="U55" s="1"/>
  <c r="T62"/>
  <c r="U62" s="1"/>
  <c r="T45" i="8"/>
  <c r="U45" s="1"/>
  <c r="T59"/>
  <c r="U59" s="1"/>
  <c r="L52"/>
  <c r="M52" s="1"/>
  <c r="L60"/>
  <c r="M60" s="1"/>
  <c r="T63" i="14"/>
  <c r="U63" s="1"/>
  <c r="T50"/>
  <c r="U50" s="1"/>
  <c r="T51"/>
  <c r="U51" s="1"/>
  <c r="T58" i="15"/>
  <c r="U58" s="1"/>
  <c r="T56"/>
  <c r="U56" s="1"/>
  <c r="L50"/>
  <c r="M50" s="1"/>
  <c r="T49"/>
  <c r="U49" s="1"/>
  <c r="T59" i="16"/>
  <c r="U59" s="1"/>
  <c r="T54"/>
  <c r="U54" s="1"/>
  <c r="T52"/>
  <c r="U52" s="1"/>
  <c r="L62"/>
  <c r="M62" s="1"/>
  <c r="T47"/>
  <c r="U47" s="1"/>
  <c r="T57"/>
  <c r="U57" s="1"/>
  <c r="L54" i="17"/>
  <c r="M54" s="1"/>
  <c r="T50"/>
  <c r="U50" s="1"/>
  <c r="L45"/>
  <c r="M45" s="1"/>
  <c r="T59"/>
  <c r="U59" s="1"/>
  <c r="L51" i="18"/>
  <c r="M51" s="1"/>
  <c r="T51"/>
  <c r="U51" s="1"/>
  <c r="T56"/>
  <c r="U56" s="1"/>
  <c r="T49"/>
  <c r="U49" s="1"/>
  <c r="L52" i="19"/>
  <c r="M52" s="1"/>
  <c r="L51"/>
  <c r="M51" s="1"/>
  <c r="T63"/>
  <c r="U63" s="1"/>
  <c r="U81" i="25"/>
  <c r="T48" i="23"/>
  <c r="U48" s="1"/>
  <c r="L53" i="21"/>
  <c r="M53" s="1"/>
  <c r="L49" i="23"/>
  <c r="M49" s="1"/>
  <c r="T49" i="21"/>
  <c r="U49" s="1"/>
  <c r="T67" i="15"/>
  <c r="U67" s="1"/>
  <c r="L45" i="24"/>
  <c r="M45" s="1"/>
  <c r="L54" i="22"/>
  <c r="M54" s="1"/>
  <c r="T47" i="20"/>
  <c r="U47" s="1"/>
  <c r="L49" i="24"/>
  <c r="M49" s="1"/>
  <c r="L43" i="22"/>
  <c r="M43" s="1"/>
  <c r="T70" i="14"/>
  <c r="U70" s="1"/>
  <c r="T46" i="24"/>
  <c r="U46" s="1"/>
  <c r="L58" i="23"/>
  <c r="M58" s="1"/>
  <c r="T62" i="20"/>
  <c r="U62" s="1"/>
  <c r="M69" i="25"/>
  <c r="L53" i="23"/>
  <c r="M53" s="1"/>
  <c r="L50" i="21"/>
  <c r="M50" s="1"/>
  <c r="L49" i="14"/>
  <c r="M49" s="1"/>
  <c r="T47" i="24"/>
  <c r="U47" s="1"/>
  <c r="T45" i="21"/>
  <c r="U45" s="1"/>
  <c r="L63" i="14"/>
  <c r="M63" s="1"/>
  <c r="L40" i="24"/>
  <c r="M40" s="1"/>
  <c r="T59" i="23"/>
  <c r="U59" s="1"/>
  <c r="L47" i="20"/>
  <c r="M47" s="1"/>
  <c r="L70" i="12"/>
  <c r="M70" s="1"/>
  <c r="T57" i="2"/>
  <c r="U57" s="1"/>
  <c r="T45" i="3"/>
  <c r="U45" s="1"/>
  <c r="T61"/>
  <c r="U61" s="1"/>
  <c r="L46"/>
  <c r="M46" s="1"/>
  <c r="L54"/>
  <c r="M54" s="1"/>
  <c r="L55"/>
  <c r="M55" s="1"/>
  <c r="L44" i="4"/>
  <c r="M44" s="1"/>
  <c r="L43"/>
  <c r="M43" s="1"/>
  <c r="T47"/>
  <c r="U47" s="1"/>
  <c r="T57" i="5"/>
  <c r="U57" s="1"/>
  <c r="T52"/>
  <c r="U52" s="1"/>
  <c r="T41"/>
  <c r="U41" s="1"/>
  <c r="T46" i="9"/>
  <c r="U46" s="1"/>
  <c r="L48"/>
  <c r="M48" s="1"/>
  <c r="L51"/>
  <c r="M51" s="1"/>
  <c r="T52" i="12"/>
  <c r="U52" s="1"/>
  <c r="L53"/>
  <c r="M53" s="1"/>
  <c r="T47"/>
  <c r="U47" s="1"/>
  <c r="L63"/>
  <c r="M63" s="1"/>
  <c r="T61" i="13"/>
  <c r="U61" s="1"/>
  <c r="T47"/>
  <c r="U47" s="1"/>
  <c r="T59"/>
  <c r="U59" s="1"/>
  <c r="T51" i="11"/>
  <c r="U51" s="1"/>
  <c r="L51"/>
  <c r="M51" s="1"/>
  <c r="L62"/>
  <c r="M62" s="1"/>
  <c r="L56"/>
  <c r="M56" s="1"/>
  <c r="L57"/>
  <c r="M57" s="1"/>
  <c r="L45" i="8"/>
  <c r="M45" s="1"/>
  <c r="T50"/>
  <c r="U50" s="1"/>
  <c r="T49"/>
  <c r="U49" s="1"/>
  <c r="L44"/>
  <c r="M44" s="1"/>
  <c r="T53"/>
  <c r="U53" s="1"/>
  <c r="T43" i="14"/>
  <c r="U43" s="1"/>
  <c r="L40"/>
  <c r="M40" s="1"/>
  <c r="T44"/>
  <c r="U44" s="1"/>
  <c r="L59" i="15"/>
  <c r="M59" s="1"/>
  <c r="L58"/>
  <c r="M58" s="1"/>
  <c r="L57"/>
  <c r="M57" s="1"/>
  <c r="T53"/>
  <c r="U53" s="1"/>
  <c r="T59"/>
  <c r="U59" s="1"/>
  <c r="L56"/>
  <c r="M56" s="1"/>
  <c r="L60" i="16"/>
  <c r="M60" s="1"/>
  <c r="T62"/>
  <c r="U62" s="1"/>
  <c r="L47"/>
  <c r="M47" s="1"/>
  <c r="L51"/>
  <c r="M51" s="1"/>
  <c r="L50"/>
  <c r="M50" s="1"/>
  <c r="L43" i="17"/>
  <c r="M43" s="1"/>
  <c r="T60"/>
  <c r="U60" s="1"/>
  <c r="L53"/>
  <c r="M53" s="1"/>
  <c r="T52"/>
  <c r="U52" s="1"/>
  <c r="L58"/>
  <c r="M58" s="1"/>
  <c r="L50"/>
  <c r="M50" s="1"/>
  <c r="L56" i="18"/>
  <c r="M56" s="1"/>
  <c r="T59" i="19"/>
  <c r="U59" s="1"/>
  <c r="T54"/>
  <c r="U54" s="1"/>
  <c r="L58"/>
  <c r="M58" s="1"/>
  <c r="T57"/>
  <c r="U57" s="1"/>
  <c r="T48"/>
  <c r="U48" s="1"/>
  <c r="L54"/>
  <c r="M54" s="1"/>
  <c r="L51" i="23"/>
  <c r="M51" s="1"/>
  <c r="L48" i="21"/>
  <c r="M48" s="1"/>
  <c r="L71" i="12"/>
  <c r="M71" s="1"/>
  <c r="L45" i="23"/>
  <c r="M45" s="1"/>
  <c r="L40" i="22"/>
  <c r="M40" s="1"/>
  <c r="T55" i="20"/>
  <c r="U55" s="1"/>
  <c r="L40" i="23"/>
  <c r="M40" s="1"/>
  <c r="T56" i="20"/>
  <c r="U56" s="1"/>
  <c r="L42" i="24"/>
  <c r="M42" s="1"/>
  <c r="T53" i="22"/>
  <c r="U53" s="1"/>
  <c r="L69" i="15"/>
  <c r="M69" s="1"/>
  <c r="M65" i="25"/>
  <c r="T52" i="23"/>
  <c r="U52" s="1"/>
  <c r="L57" i="20"/>
  <c r="M57" s="1"/>
  <c r="L68" i="12"/>
  <c r="M68" s="1"/>
  <c r="L47" i="23"/>
  <c r="M47" s="1"/>
  <c r="T48" i="21"/>
  <c r="U48" s="1"/>
  <c r="T65" i="14"/>
  <c r="U65" s="1"/>
  <c r="T42" i="24"/>
  <c r="U42" s="1"/>
  <c r="T56" i="22"/>
  <c r="U56" s="1"/>
  <c r="T66" i="14"/>
  <c r="U66" s="1"/>
  <c r="T49" i="24"/>
  <c r="U49" s="1"/>
  <c r="T49" i="23"/>
  <c r="U49" s="1"/>
  <c r="T63" i="20"/>
  <c r="U63" s="1"/>
  <c r="T70" i="12"/>
  <c r="U70" s="1"/>
  <c r="T41" i="2"/>
  <c r="U41" s="1"/>
  <c r="T56" i="3"/>
  <c r="U56" s="1"/>
  <c r="T40" i="2"/>
  <c r="U40" s="1"/>
  <c r="T64"/>
  <c r="U64" s="1"/>
  <c r="T47" i="3"/>
  <c r="U47" s="1"/>
  <c r="L49"/>
  <c r="M49" s="1"/>
  <c r="L56"/>
  <c r="M56" s="1"/>
  <c r="L46" i="4"/>
  <c r="M46" s="1"/>
  <c r="T61" i="5"/>
  <c r="U61" s="1"/>
  <c r="L42"/>
  <c r="M42" s="1"/>
  <c r="T55"/>
  <c r="U55" s="1"/>
  <c r="L45"/>
  <c r="M45" s="1"/>
  <c r="L53"/>
  <c r="M53" s="1"/>
  <c r="T54" i="9"/>
  <c r="U54" s="1"/>
  <c r="T44"/>
  <c r="U44" s="1"/>
  <c r="L50"/>
  <c r="M50" s="1"/>
  <c r="T60" i="12"/>
  <c r="U60" s="1"/>
  <c r="T62"/>
  <c r="U62" s="1"/>
  <c r="T48"/>
  <c r="U48" s="1"/>
  <c r="T54"/>
  <c r="U54" s="1"/>
  <c r="T41" i="13"/>
  <c r="U41" s="1"/>
  <c r="T48"/>
  <c r="U48" s="1"/>
  <c r="L52" i="11"/>
  <c r="M52" s="1"/>
  <c r="T63"/>
  <c r="U63" s="1"/>
  <c r="L49"/>
  <c r="M49" s="1"/>
  <c r="L53"/>
  <c r="M53" s="1"/>
  <c r="T52" i="8"/>
  <c r="U52" s="1"/>
  <c r="T58"/>
  <c r="U58" s="1"/>
  <c r="T56"/>
  <c r="U56" s="1"/>
  <c r="L47"/>
  <c r="M47" s="1"/>
  <c r="T52" i="14"/>
  <c r="U52" s="1"/>
  <c r="T62"/>
  <c r="U62" s="1"/>
  <c r="T55"/>
  <c r="U55" s="1"/>
  <c r="T55" i="15"/>
  <c r="U55" s="1"/>
  <c r="T65" i="16"/>
  <c r="U65" s="1"/>
  <c r="L63"/>
  <c r="M63" s="1"/>
  <c r="T50"/>
  <c r="U50" s="1"/>
  <c r="L59"/>
  <c r="M59" s="1"/>
  <c r="L57"/>
  <c r="M57" s="1"/>
  <c r="L52" i="17"/>
  <c r="M52" s="1"/>
  <c r="T45"/>
  <c r="U45" s="1"/>
  <c r="T62"/>
  <c r="U62" s="1"/>
  <c r="T47"/>
  <c r="U47" s="1"/>
  <c r="T43"/>
  <c r="U43" s="1"/>
  <c r="T52" i="18"/>
  <c r="U52" s="1"/>
  <c r="L53"/>
  <c r="M53" s="1"/>
  <c r="L60" i="19"/>
  <c r="M60" s="1"/>
  <c r="L55"/>
  <c r="M55" s="1"/>
  <c r="L48"/>
  <c r="M48" s="1"/>
  <c r="L59"/>
  <c r="M59" s="1"/>
  <c r="M76" i="25"/>
  <c r="T47" i="23"/>
  <c r="U47" s="1"/>
  <c r="L45" i="21"/>
  <c r="M45" s="1"/>
  <c r="L69" i="14"/>
  <c r="M69" s="1"/>
  <c r="L43" i="24"/>
  <c r="M43" s="1"/>
  <c r="T41" i="22"/>
  <c r="U41" s="1"/>
  <c r="L50" i="20"/>
  <c r="M50" s="1"/>
  <c r="T54" i="23"/>
  <c r="U54" s="1"/>
  <c r="L44" i="20"/>
  <c r="M44" s="1"/>
  <c r="T44" i="24"/>
  <c r="U44" s="1"/>
  <c r="T44" i="22"/>
  <c r="U44" s="1"/>
  <c r="T57" i="20"/>
  <c r="U57" s="1"/>
  <c r="U66" i="25"/>
  <c r="T56" i="23"/>
  <c r="U56" s="1"/>
  <c r="L53" i="20"/>
  <c r="M53" s="1"/>
  <c r="T64" i="12"/>
  <c r="U64" s="1"/>
  <c r="L46" i="23"/>
  <c r="M46" s="1"/>
  <c r="L47" i="22"/>
  <c r="M47" s="1"/>
  <c r="L62" i="20"/>
  <c r="M62" s="1"/>
  <c r="M80" i="25"/>
  <c r="T43" i="22"/>
  <c r="U43" s="1"/>
  <c r="T65" i="15"/>
  <c r="U65" s="1"/>
  <c r="L47" i="24"/>
  <c r="M47" s="1"/>
  <c r="T44" i="23"/>
  <c r="U44" s="1"/>
  <c r="L41" i="14"/>
  <c r="M41" s="1"/>
  <c r="U91" i="25"/>
  <c r="U85"/>
  <c r="U92"/>
  <c r="U93"/>
  <c r="U101"/>
  <c r="U98"/>
  <c r="T66" i="15"/>
  <c r="U66" s="1"/>
  <c r="T66" i="12"/>
  <c r="U66" s="1"/>
  <c r="T68" i="14"/>
  <c r="U68" s="1"/>
  <c r="T63" i="8"/>
  <c r="U63" s="1"/>
  <c r="T71" i="12"/>
  <c r="U71" s="1"/>
  <c r="T65" i="20"/>
  <c r="U65" s="1"/>
  <c r="T68" i="15"/>
  <c r="U68" s="1"/>
  <c r="T67" i="12"/>
  <c r="U67" s="1"/>
  <c r="U84" i="25"/>
  <c r="T64" i="14"/>
  <c r="U64" s="1"/>
  <c r="T73" i="12"/>
  <c r="U73" s="1"/>
  <c r="U89" i="25"/>
  <c r="U87"/>
  <c r="T69" i="15"/>
  <c r="U69" s="1"/>
  <c r="T64"/>
  <c r="U64" s="1"/>
  <c r="T66" i="20"/>
  <c r="U66" s="1"/>
  <c r="U97" i="25"/>
  <c r="T69" i="12"/>
  <c r="U69" s="1"/>
  <c r="T65"/>
  <c r="U65" s="1"/>
  <c r="U95" i="25"/>
  <c r="T49" i="2"/>
  <c r="U49" s="1"/>
  <c r="T65" i="3"/>
  <c r="U65" s="1"/>
  <c r="T48" i="2"/>
  <c r="U48" s="1"/>
  <c r="T56"/>
  <c r="U56" s="1"/>
  <c r="T54" i="3"/>
  <c r="U54" s="1"/>
  <c r="T40"/>
  <c r="U40" s="1"/>
  <c r="T39" i="2"/>
  <c r="U39" s="1"/>
  <c r="T47"/>
  <c r="U47" s="1"/>
  <c r="T55"/>
  <c r="U55" s="1"/>
  <c r="T63"/>
  <c r="U63" s="1"/>
  <c r="T62" i="3"/>
  <c r="U62" s="1"/>
  <c r="T55"/>
  <c r="U55" s="1"/>
  <c r="T50"/>
  <c r="U50" s="1"/>
  <c r="L51"/>
  <c r="M51" s="1"/>
  <c r="L58"/>
  <c r="M58" s="1"/>
  <c r="L48" i="4"/>
  <c r="M48" s="1"/>
  <c r="T45" i="5"/>
  <c r="U45" s="1"/>
  <c r="L50"/>
  <c r="M50" s="1"/>
  <c r="L51"/>
  <c r="M51" s="1"/>
  <c r="L41"/>
  <c r="M41" s="1"/>
  <c r="T50"/>
  <c r="U50" s="1"/>
  <c r="T58" i="9"/>
  <c r="U58" s="1"/>
  <c r="L45"/>
  <c r="M45" s="1"/>
  <c r="L46"/>
  <c r="M46" s="1"/>
  <c r="L43"/>
  <c r="M43" s="1"/>
  <c r="L41"/>
  <c r="M41" s="1"/>
  <c r="L58" i="12"/>
  <c r="M58" s="1"/>
  <c r="T59"/>
  <c r="U59" s="1"/>
  <c r="T45"/>
  <c r="U45" s="1"/>
  <c r="L52"/>
  <c r="M52" s="1"/>
  <c r="T40" i="13"/>
  <c r="U40" s="1"/>
  <c r="T42"/>
  <c r="U42" s="1"/>
  <c r="T59" i="11"/>
  <c r="U59" s="1"/>
  <c r="T58"/>
  <c r="U58" s="1"/>
  <c r="T52"/>
  <c r="U52" s="1"/>
  <c r="T60" i="8"/>
  <c r="U60" s="1"/>
  <c r="T48"/>
  <c r="U48" s="1"/>
  <c r="T61"/>
  <c r="U61" s="1"/>
  <c r="L58"/>
  <c r="M58" s="1"/>
  <c r="L51"/>
  <c r="M51" s="1"/>
  <c r="T60" i="14"/>
  <c r="U60" s="1"/>
  <c r="T45"/>
  <c r="U45" s="1"/>
  <c r="T56"/>
  <c r="U56" s="1"/>
  <c r="L52" i="15"/>
  <c r="M52" s="1"/>
  <c r="L54"/>
  <c r="M54" s="1"/>
  <c r="T62"/>
  <c r="U62" s="1"/>
  <c r="T53" i="16"/>
  <c r="U53" s="1"/>
  <c r="L53"/>
  <c r="M53" s="1"/>
  <c r="L54"/>
  <c r="M54" s="1"/>
  <c r="L65"/>
  <c r="M65" s="1"/>
  <c r="L64"/>
  <c r="M64" s="1"/>
  <c r="T55"/>
  <c r="U55" s="1"/>
  <c r="L60" i="17"/>
  <c r="M60" s="1"/>
  <c r="T57"/>
  <c r="U57" s="1"/>
  <c r="T49"/>
  <c r="U49" s="1"/>
  <c r="T48"/>
  <c r="U48" s="1"/>
  <c r="L52" i="18"/>
  <c r="M52" s="1"/>
  <c r="T48"/>
  <c r="U48" s="1"/>
  <c r="L47"/>
  <c r="M47" s="1"/>
  <c r="T47"/>
  <c r="U47" s="1"/>
  <c r="T62" i="19"/>
  <c r="U62" s="1"/>
  <c r="L50"/>
  <c r="M50" s="1"/>
  <c r="L56"/>
  <c r="M56" s="1"/>
  <c r="L57"/>
  <c r="M57" s="1"/>
  <c r="L57" i="23"/>
  <c r="M57" s="1"/>
  <c r="L44" i="22"/>
  <c r="M44" s="1"/>
  <c r="T53" i="20"/>
  <c r="U53" s="1"/>
  <c r="L44" i="24"/>
  <c r="M44" s="1"/>
  <c r="T40" i="22"/>
  <c r="U40" s="1"/>
  <c r="T44" i="20"/>
  <c r="U44" s="1"/>
  <c r="M75" i="25"/>
  <c r="L59" i="23"/>
  <c r="M59" s="1"/>
  <c r="T44" i="21"/>
  <c r="U44" s="1"/>
  <c r="T42" i="23"/>
  <c r="U42" s="1"/>
  <c r="T54" i="20"/>
  <c r="U54" s="1"/>
  <c r="M79" i="25"/>
  <c r="L52" i="23"/>
  <c r="M52" s="1"/>
  <c r="T51" i="21"/>
  <c r="U51" s="1"/>
  <c r="T68" i="12"/>
  <c r="U68" s="1"/>
  <c r="T45" i="24"/>
  <c r="U45" s="1"/>
  <c r="L45" i="22"/>
  <c r="M45" s="1"/>
  <c r="L52" i="20"/>
  <c r="M52" s="1"/>
  <c r="T55" i="22"/>
  <c r="U55" s="1"/>
  <c r="T61" i="20"/>
  <c r="U61" s="1"/>
  <c r="T58" i="23"/>
  <c r="U58" s="1"/>
  <c r="L47" i="21"/>
  <c r="M47" s="1"/>
  <c r="L55" i="14"/>
  <c r="M55" s="1"/>
  <c r="T62" i="2"/>
  <c r="U62" s="1"/>
  <c r="T42" i="3"/>
  <c r="U42" s="1"/>
  <c r="T63"/>
  <c r="U63" s="1"/>
  <c r="L57"/>
  <c r="M57" s="1"/>
  <c r="T45" i="4"/>
  <c r="U45" s="1"/>
  <c r="L49"/>
  <c r="M49" s="1"/>
  <c r="T53" i="5"/>
  <c r="U53" s="1"/>
  <c r="L40"/>
  <c r="M40" s="1"/>
  <c r="L56"/>
  <c r="M56" s="1"/>
  <c r="T54"/>
  <c r="U54" s="1"/>
  <c r="T42" i="9"/>
  <c r="U42" s="1"/>
  <c r="L49"/>
  <c r="M49" s="1"/>
  <c r="L44"/>
  <c r="M44" s="1"/>
  <c r="L62" i="12"/>
  <c r="M62" s="1"/>
  <c r="L54"/>
  <c r="M54" s="1"/>
  <c r="T58" i="13"/>
  <c r="U58" s="1"/>
  <c r="T44"/>
  <c r="U44" s="1"/>
  <c r="T49"/>
  <c r="U49" s="1"/>
  <c r="T60"/>
  <c r="U60" s="1"/>
  <c r="L60" i="11"/>
  <c r="M60" s="1"/>
  <c r="L48"/>
  <c r="M48" s="1"/>
  <c r="L58"/>
  <c r="M58" s="1"/>
  <c r="T48"/>
  <c r="U48" s="1"/>
  <c r="T43"/>
  <c r="U43" s="1"/>
  <c r="T57" i="8"/>
  <c r="U57" s="1"/>
  <c r="L62"/>
  <c r="M62" s="1"/>
  <c r="T43"/>
  <c r="U43" s="1"/>
  <c r="L61"/>
  <c r="M61" s="1"/>
  <c r="L50"/>
  <c r="M50" s="1"/>
  <c r="T53" i="14"/>
  <c r="U53" s="1"/>
  <c r="T41"/>
  <c r="U41" s="1"/>
  <c r="T63" i="15"/>
  <c r="U63" s="1"/>
  <c r="T44"/>
  <c r="U44" s="1"/>
  <c r="L49"/>
  <c r="M49" s="1"/>
  <c r="L55"/>
  <c r="M55" s="1"/>
  <c r="T57"/>
  <c r="U57" s="1"/>
  <c r="T61" i="16"/>
  <c r="U61" s="1"/>
  <c r="T63"/>
  <c r="U63" s="1"/>
  <c r="L55"/>
  <c r="M55" s="1"/>
  <c r="L48"/>
  <c r="M48" s="1"/>
  <c r="T63" i="17"/>
  <c r="U63" s="1"/>
  <c r="L44"/>
  <c r="M44" s="1"/>
  <c r="T55"/>
  <c r="U55" s="1"/>
  <c r="T44"/>
  <c r="U44" s="1"/>
  <c r="L61"/>
  <c r="M61" s="1"/>
  <c r="T57" i="18"/>
  <c r="U57" s="1"/>
  <c r="T54"/>
  <c r="U54" s="1"/>
  <c r="T50"/>
  <c r="U50" s="1"/>
  <c r="T56" i="19"/>
  <c r="U56" s="1"/>
  <c r="L62"/>
  <c r="M62" s="1"/>
  <c r="L49"/>
  <c r="M49" s="1"/>
  <c r="T50"/>
  <c r="U50" s="1"/>
  <c r="L47"/>
  <c r="M47" s="1"/>
  <c r="T53" i="23"/>
  <c r="U53" s="1"/>
  <c r="T42" i="22"/>
  <c r="U42" s="1"/>
  <c r="T49" i="20"/>
  <c r="U49" s="1"/>
  <c r="T43" i="24"/>
  <c r="U43" s="1"/>
  <c r="T45" i="23"/>
  <c r="U45" s="1"/>
  <c r="L45" i="20"/>
  <c r="M45" s="1"/>
  <c r="M68" i="25"/>
  <c r="L61" i="23"/>
  <c r="M61" s="1"/>
  <c r="L51" i="21"/>
  <c r="M51" s="1"/>
  <c r="M67" i="25"/>
  <c r="T60" i="23"/>
  <c r="U60" s="1"/>
  <c r="T50" i="21"/>
  <c r="U50" s="1"/>
  <c r="U77" i="25"/>
  <c r="L56" i="23"/>
  <c r="M56" s="1"/>
  <c r="L49" i="21"/>
  <c r="M49" s="1"/>
  <c r="L53" i="14"/>
  <c r="M53" s="1"/>
  <c r="L48" i="24"/>
  <c r="M48" s="1"/>
  <c r="L46" i="22"/>
  <c r="M46" s="1"/>
  <c r="L63" i="20"/>
  <c r="M63" s="1"/>
  <c r="L50" i="23"/>
  <c r="M50" s="1"/>
  <c r="T51" i="20"/>
  <c r="U51" s="1"/>
  <c r="L55" i="23"/>
  <c r="M55" s="1"/>
  <c r="T46" i="22"/>
  <c r="U46" s="1"/>
  <c r="T67" i="14"/>
  <c r="U67" s="1"/>
  <c r="M5" i="2"/>
  <c r="T61"/>
  <c r="U61" s="1"/>
  <c r="T52" i="3"/>
  <c r="U52" s="1"/>
  <c r="T58"/>
  <c r="U58" s="1"/>
  <c r="L44"/>
  <c r="M44" s="1"/>
  <c r="L45"/>
  <c r="M45" s="1"/>
  <c r="T44" i="4"/>
  <c r="U44" s="1"/>
  <c r="T56" i="5"/>
  <c r="U56" s="1"/>
  <c r="T43"/>
  <c r="U43" s="1"/>
  <c r="T58"/>
  <c r="U58" s="1"/>
  <c r="T42"/>
  <c r="U42" s="1"/>
  <c r="L43"/>
  <c r="M43" s="1"/>
  <c r="L53" i="9"/>
  <c r="M53" s="1"/>
  <c r="L42"/>
  <c r="M42" s="1"/>
  <c r="T45"/>
  <c r="U45" s="1"/>
  <c r="T47"/>
  <c r="U47" s="1"/>
  <c r="T46" i="12"/>
  <c r="U46" s="1"/>
  <c r="L45"/>
  <c r="M45" s="1"/>
  <c r="L57"/>
  <c r="M57" s="1"/>
  <c r="T61"/>
  <c r="U61" s="1"/>
  <c r="L55"/>
  <c r="M55" s="1"/>
  <c r="T62" i="13"/>
  <c r="U62" s="1"/>
  <c r="T53" i="11"/>
  <c r="U53" s="1"/>
  <c r="T54"/>
  <c r="U54" s="1"/>
  <c r="T57"/>
  <c r="U57" s="1"/>
  <c r="L61"/>
  <c r="M61" s="1"/>
  <c r="L63"/>
  <c r="M63" s="1"/>
  <c r="T47" i="8"/>
  <c r="U47" s="1"/>
  <c r="L49"/>
  <c r="M49" s="1"/>
  <c r="T44"/>
  <c r="U44" s="1"/>
  <c r="L46"/>
  <c r="M46" s="1"/>
  <c r="L54"/>
  <c r="M54" s="1"/>
  <c r="L43"/>
  <c r="M43" s="1"/>
  <c r="T61" i="14"/>
  <c r="U61" s="1"/>
  <c r="T47"/>
  <c r="U47" s="1"/>
  <c r="T48"/>
  <c r="U48" s="1"/>
  <c r="L45" i="15"/>
  <c r="M45" s="1"/>
  <c r="L60"/>
  <c r="M60" s="1"/>
  <c r="T64" i="16"/>
  <c r="U64" s="1"/>
  <c r="T58"/>
  <c r="U58" s="1"/>
  <c r="L58"/>
  <c r="M58" s="1"/>
  <c r="T56" i="17"/>
  <c r="U56" s="1"/>
  <c r="L47"/>
  <c r="M47" s="1"/>
  <c r="L56"/>
  <c r="M56" s="1"/>
  <c r="T58"/>
  <c r="U58" s="1"/>
  <c r="L48"/>
  <c r="M48" s="1"/>
  <c r="L49"/>
  <c r="M49" s="1"/>
  <c r="T55" i="18"/>
  <c r="U55" s="1"/>
  <c r="L55"/>
  <c r="M55" s="1"/>
  <c r="T53" i="19"/>
  <c r="U53" s="1"/>
  <c r="T47"/>
  <c r="U47" s="1"/>
  <c r="T55"/>
  <c r="U55" s="1"/>
  <c r="L61"/>
  <c r="M61" s="1"/>
  <c r="T51" i="24"/>
  <c r="U51" s="1"/>
  <c r="T54" i="22"/>
  <c r="U54" s="1"/>
  <c r="T52" i="20"/>
  <c r="U52" s="1"/>
  <c r="U78" i="25"/>
  <c r="L44" i="23"/>
  <c r="M44" s="1"/>
  <c r="T48" i="20"/>
  <c r="U48" s="1"/>
  <c r="L47" i="14"/>
  <c r="M47" s="1"/>
  <c r="L43" i="23"/>
  <c r="M43" s="1"/>
  <c r="L53" i="22"/>
  <c r="M53" s="1"/>
  <c r="T72" i="12"/>
  <c r="U72" s="1"/>
  <c r="L54" i="23"/>
  <c r="M54" s="1"/>
  <c r="T46" i="21"/>
  <c r="U46" s="1"/>
  <c r="T41" i="24"/>
  <c r="U41" s="1"/>
  <c r="L41" i="22"/>
  <c r="M41" s="1"/>
  <c r="L64" i="15"/>
  <c r="M64" s="1"/>
  <c r="T40" i="24"/>
  <c r="U40" s="1"/>
  <c r="T57" i="23"/>
  <c r="U57" s="1"/>
  <c r="L61" i="20"/>
  <c r="M61" s="1"/>
  <c r="T40" i="23"/>
  <c r="U40" s="1"/>
  <c r="L49" i="20"/>
  <c r="M49" s="1"/>
  <c r="U76" i="25"/>
  <c r="L60" i="23"/>
  <c r="M60" s="1"/>
  <c r="L51" i="22"/>
  <c r="M51" s="1"/>
  <c r="M99" i="25"/>
  <c r="M90"/>
  <c r="M91"/>
  <c r="M88"/>
  <c r="M98"/>
  <c r="M83"/>
  <c r="L65" i="20"/>
  <c r="M65" s="1"/>
  <c r="L66" i="15"/>
  <c r="M66" s="1"/>
  <c r="L64" i="14"/>
  <c r="M64" s="1"/>
  <c r="L46"/>
  <c r="M46" s="1"/>
  <c r="L47" i="13"/>
  <c r="M47" s="1"/>
  <c r="L58" i="2"/>
  <c r="M58" s="1"/>
  <c r="L50"/>
  <c r="M50" s="1"/>
  <c r="L66" i="12"/>
  <c r="M66" s="1"/>
  <c r="L43" i="2"/>
  <c r="M43" s="1"/>
  <c r="M93" i="25"/>
  <c r="M85"/>
  <c r="L56" i="14"/>
  <c r="M56" s="1"/>
  <c r="L51"/>
  <c r="M51" s="1"/>
  <c r="L42"/>
  <c r="M42" s="1"/>
  <c r="L56" i="13"/>
  <c r="M56" s="1"/>
  <c r="L48"/>
  <c r="M48" s="1"/>
  <c r="L40"/>
  <c r="M40" s="1"/>
  <c r="M102" i="25"/>
  <c r="L70" i="14"/>
  <c r="M70" s="1"/>
  <c r="L60"/>
  <c r="M60" s="1"/>
  <c r="L57" i="13"/>
  <c r="M57" s="1"/>
  <c r="L49"/>
  <c r="M49" s="1"/>
  <c r="L41"/>
  <c r="M41" s="1"/>
  <c r="L60" i="2"/>
  <c r="M60" s="1"/>
  <c r="L52"/>
  <c r="M52" s="1"/>
  <c r="L39"/>
  <c r="M39" s="1"/>
  <c r="L48"/>
  <c r="M48" s="1"/>
  <c r="M97" i="25"/>
  <c r="L66" i="14"/>
  <c r="M66" s="1"/>
  <c r="L52"/>
  <c r="M52" s="1"/>
  <c r="L48"/>
  <c r="M48" s="1"/>
  <c r="L43"/>
  <c r="M43" s="1"/>
  <c r="L58" i="13"/>
  <c r="M58" s="1"/>
  <c r="L50"/>
  <c r="M50" s="1"/>
  <c r="L42"/>
  <c r="M42" s="1"/>
  <c r="L73" i="12"/>
  <c r="M73" s="1"/>
  <c r="L67"/>
  <c r="M67" s="1"/>
  <c r="L61" i="2"/>
  <c r="M61" s="1"/>
  <c r="L53"/>
  <c r="M53" s="1"/>
  <c r="L54"/>
  <c r="M54" s="1"/>
  <c r="L63"/>
  <c r="M63" s="1"/>
  <c r="L56"/>
  <c r="M56" s="1"/>
  <c r="M86" i="25"/>
  <c r="L59" i="13"/>
  <c r="M59" s="1"/>
  <c r="L51"/>
  <c r="M51" s="1"/>
  <c r="L43"/>
  <c r="M43" s="1"/>
  <c r="L62" i="2"/>
  <c r="M62" s="1"/>
  <c r="L47"/>
  <c r="M47" s="1"/>
  <c r="L40"/>
  <c r="M40" s="1"/>
  <c r="M94" i="25"/>
  <c r="L67" i="14"/>
  <c r="M67" s="1"/>
  <c r="L62"/>
  <c r="M62" s="1"/>
  <c r="L44"/>
  <c r="M44" s="1"/>
  <c r="L60" i="13"/>
  <c r="M60" s="1"/>
  <c r="L52"/>
  <c r="M52" s="1"/>
  <c r="L44"/>
  <c r="M44" s="1"/>
  <c r="L55" i="2"/>
  <c r="M55" s="1"/>
  <c r="L51"/>
  <c r="M51" s="1"/>
  <c r="M89" i="25"/>
  <c r="M101"/>
  <c r="L65" i="15"/>
  <c r="M65" s="1"/>
  <c r="L54" i="14"/>
  <c r="M54" s="1"/>
  <c r="L61" i="13"/>
  <c r="M61" s="1"/>
  <c r="L45"/>
  <c r="M45" s="1"/>
  <c r="L69" i="12"/>
  <c r="M69" s="1"/>
  <c r="L64" i="2"/>
  <c r="M64" s="1"/>
  <c r="L66" i="20"/>
  <c r="M66" s="1"/>
  <c r="M87" i="25"/>
  <c r="M95"/>
  <c r="L68" i="14"/>
  <c r="M68" s="1"/>
  <c r="L50"/>
  <c r="M50" s="1"/>
  <c r="L62" i="13"/>
  <c r="M62" s="1"/>
  <c r="L46"/>
  <c r="M46" s="1"/>
  <c r="L65" i="12"/>
  <c r="M65" s="1"/>
  <c r="L57" i="2"/>
  <c r="M57" s="1"/>
  <c r="L49"/>
  <c r="M49" s="1"/>
  <c r="L41"/>
  <c r="M41" s="1"/>
  <c r="L42"/>
  <c r="M42" s="1"/>
  <c r="L59"/>
  <c r="M59" s="1"/>
  <c r="T44" i="3"/>
  <c r="U44" s="1"/>
  <c r="T46"/>
  <c r="U46" s="1"/>
  <c r="T64"/>
  <c r="U64" s="1"/>
  <c r="T60" i="5"/>
  <c r="U60" s="1"/>
  <c r="T59"/>
  <c r="U59" s="1"/>
  <c r="L49"/>
  <c r="M49" s="1"/>
  <c r="T55" i="9"/>
  <c r="U55" s="1"/>
  <c r="L47"/>
  <c r="M47" s="1"/>
  <c r="L54"/>
  <c r="M54" s="1"/>
  <c r="L52"/>
  <c r="M52" s="1"/>
  <c r="L44" i="12"/>
  <c r="M44" s="1"/>
  <c r="L61"/>
  <c r="M61" s="1"/>
  <c r="L47"/>
  <c r="M47" s="1"/>
  <c r="T45" i="13"/>
  <c r="U45" s="1"/>
  <c r="T46"/>
  <c r="U46" s="1"/>
  <c r="T52"/>
  <c r="U52" s="1"/>
  <c r="T50"/>
  <c r="U50" s="1"/>
  <c r="T61" i="11"/>
  <c r="U61" s="1"/>
  <c r="L55"/>
  <c r="M55" s="1"/>
  <c r="T60"/>
  <c r="U60" s="1"/>
  <c r="T49"/>
  <c r="U49" s="1"/>
  <c r="T50"/>
  <c r="U50" s="1"/>
  <c r="T55" i="8"/>
  <c r="U55" s="1"/>
  <c r="T51"/>
  <c r="U51" s="1"/>
  <c r="T46"/>
  <c r="U46" s="1"/>
  <c r="L48"/>
  <c r="M48" s="1"/>
  <c r="L59"/>
  <c r="M59" s="1"/>
  <c r="T54"/>
  <c r="U54" s="1"/>
  <c r="T40" i="14"/>
  <c r="U40" s="1"/>
  <c r="T49"/>
  <c r="U49" s="1"/>
  <c r="T54"/>
  <c r="U54" s="1"/>
  <c r="T52" i="15"/>
  <c r="U52" s="1"/>
  <c r="T50"/>
  <c r="U50" s="1"/>
  <c r="T51"/>
  <c r="U51" s="1"/>
  <c r="L61"/>
  <c r="M61" s="1"/>
  <c r="L63"/>
  <c r="M63" s="1"/>
  <c r="T45"/>
  <c r="U45" s="1"/>
  <c r="T51" i="16"/>
  <c r="U51" s="1"/>
  <c r="L56"/>
  <c r="M56" s="1"/>
  <c r="L61"/>
  <c r="M61" s="1"/>
  <c r="T49"/>
  <c r="U49" s="1"/>
  <c r="T53" i="17"/>
  <c r="U53" s="1"/>
  <c r="L55"/>
  <c r="M55" s="1"/>
  <c r="L62"/>
  <c r="M62" s="1"/>
  <c r="L59"/>
  <c r="M59" s="1"/>
  <c r="T46"/>
  <c r="U46" s="1"/>
  <c r="L57"/>
  <c r="M57" s="1"/>
  <c r="L46"/>
  <c r="M46" s="1"/>
  <c r="T53" i="18"/>
  <c r="U53" s="1"/>
  <c r="L57"/>
  <c r="M57" s="1"/>
  <c r="T64" i="19"/>
  <c r="U64" s="1"/>
  <c r="T52"/>
  <c r="U52" s="1"/>
  <c r="T58"/>
  <c r="U58" s="1"/>
  <c r="T60"/>
  <c r="U60" s="1"/>
  <c r="L63"/>
  <c r="M63" s="1"/>
  <c r="L50" i="24"/>
  <c r="M50" s="1"/>
  <c r="T51" i="23"/>
  <c r="U51" s="1"/>
  <c r="L46" i="20"/>
  <c r="M46" s="1"/>
  <c r="U75" i="25"/>
  <c r="T41" i="23"/>
  <c r="U41" s="1"/>
  <c r="T50" i="20"/>
  <c r="U50" s="1"/>
  <c r="L65" i="14"/>
  <c r="M65" s="1"/>
  <c r="L51" i="24"/>
  <c r="M51" s="1"/>
  <c r="T45" i="22"/>
  <c r="U45" s="1"/>
  <c r="T69" i="14"/>
  <c r="U69" s="1"/>
  <c r="T55" i="23"/>
  <c r="U55" s="1"/>
  <c r="T51" i="22"/>
  <c r="U51" s="1"/>
  <c r="T59" i="9"/>
  <c r="U59" s="1"/>
  <c r="L46" i="24"/>
  <c r="M46" s="1"/>
  <c r="T52" i="22"/>
  <c r="U52" s="1"/>
  <c r="T64" i="20"/>
  <c r="U64" s="1"/>
  <c r="U82" i="25"/>
  <c r="T43" i="23"/>
  <c r="U43" s="1"/>
  <c r="L55" i="20"/>
  <c r="M55" s="1"/>
  <c r="U70" i="25"/>
  <c r="T61" i="23"/>
  <c r="U61" s="1"/>
  <c r="L44" i="21"/>
  <c r="M44" s="1"/>
  <c r="L48" i="23"/>
  <c r="M48" s="1"/>
  <c r="L55" i="22"/>
  <c r="M55" s="1"/>
  <c r="T45" i="20"/>
  <c r="U45" s="1"/>
  <c r="S4" i="25"/>
  <c r="W4"/>
  <c r="S4" i="24"/>
  <c r="W4"/>
  <c r="W4" i="23"/>
  <c r="S4"/>
  <c r="S4" i="22"/>
  <c r="W4"/>
  <c r="S4" i="20"/>
  <c r="W4"/>
  <c r="W4" i="19"/>
  <c r="S4"/>
  <c r="U4"/>
  <c r="V4"/>
  <c r="T4"/>
  <c r="T4" i="18"/>
  <c r="P4"/>
  <c r="S4" s="1"/>
  <c r="T4" i="17"/>
  <c r="U4"/>
  <c r="W4"/>
  <c r="T4" i="16"/>
  <c r="P4"/>
  <c r="S4" s="1"/>
  <c r="W4" i="15"/>
  <c r="U4"/>
  <c r="T4"/>
  <c r="P4" i="14"/>
  <c r="S4" s="1"/>
  <c r="U4"/>
  <c r="T4" i="8"/>
  <c r="U4"/>
  <c r="W4"/>
  <c r="P4" i="11"/>
  <c r="S4" s="1"/>
  <c r="T4"/>
  <c r="T4" i="13"/>
  <c r="P4"/>
  <c r="G3" i="7"/>
  <c r="J3" s="1"/>
  <c r="P4" i="12"/>
  <c r="S4" s="1"/>
  <c r="T38" i="10"/>
  <c r="U38" s="1"/>
  <c r="T42"/>
  <c r="U42" s="1"/>
  <c r="L49"/>
  <c r="M49" s="1"/>
  <c r="T47"/>
  <c r="U47" s="1"/>
  <c r="T36"/>
  <c r="U36" s="1"/>
  <c r="L47"/>
  <c r="M47" s="1"/>
  <c r="T40"/>
  <c r="U40" s="1"/>
  <c r="L35"/>
  <c r="M35" s="1"/>
  <c r="L51"/>
  <c r="M51" s="1"/>
  <c r="T51"/>
  <c r="U51" s="1"/>
  <c r="T49"/>
  <c r="U49" s="1"/>
  <c r="L43"/>
  <c r="M43" s="1"/>
  <c r="L33"/>
  <c r="M33" s="1"/>
  <c r="T53"/>
  <c r="U53" s="1"/>
  <c r="T55"/>
  <c r="U55" s="1"/>
  <c r="T39"/>
  <c r="U39" s="1"/>
  <c r="T33"/>
  <c r="U33" s="1"/>
  <c r="T46"/>
  <c r="U46" s="1"/>
  <c r="L38"/>
  <c r="M38" s="1"/>
  <c r="L55"/>
  <c r="M55" s="1"/>
  <c r="L40"/>
  <c r="M40" s="1"/>
  <c r="T41"/>
  <c r="U41" s="1"/>
  <c r="T50"/>
  <c r="U50" s="1"/>
  <c r="L50"/>
  <c r="M50" s="1"/>
  <c r="T48"/>
  <c r="U48" s="1"/>
  <c r="T35"/>
  <c r="U35" s="1"/>
  <c r="L48"/>
  <c r="M48" s="1"/>
  <c r="L39"/>
  <c r="M39" s="1"/>
  <c r="T43"/>
  <c r="U43" s="1"/>
  <c r="T52"/>
  <c r="U52" s="1"/>
  <c r="L42"/>
  <c r="M42" s="1"/>
  <c r="T34"/>
  <c r="U34" s="1"/>
  <c r="L52"/>
  <c r="M52" s="1"/>
  <c r="L46"/>
  <c r="M46" s="1"/>
  <c r="T54"/>
  <c r="U54" s="1"/>
  <c r="L37"/>
  <c r="M37" s="1"/>
  <c r="T45"/>
  <c r="U45" s="1"/>
  <c r="L41"/>
  <c r="M41" s="1"/>
  <c r="L54"/>
  <c r="M54" s="1"/>
  <c r="L36"/>
  <c r="M36" s="1"/>
  <c r="T37"/>
  <c r="U37" s="1"/>
  <c r="T44"/>
  <c r="U44" s="1"/>
  <c r="L44"/>
  <c r="M44" s="1"/>
  <c r="L45"/>
  <c r="M45" s="1"/>
  <c r="L34"/>
  <c r="M34" s="1"/>
  <c r="L53"/>
  <c r="M53" s="1"/>
  <c r="P4"/>
  <c r="W4" s="1"/>
  <c r="T4"/>
  <c r="T4" i="9"/>
  <c r="P4"/>
  <c r="W4" s="1"/>
  <c r="K3" i="7"/>
  <c r="N6" i="2"/>
  <c r="O35"/>
  <c r="T35" s="1"/>
  <c r="U35" s="1"/>
  <c r="N5"/>
  <c r="O5" i="4"/>
  <c r="Q5" s="1"/>
  <c r="N9" i="3"/>
  <c r="N12" s="1"/>
  <c r="N9" i="5"/>
  <c r="N12" s="1"/>
  <c r="M4" i="3"/>
  <c r="Q4" s="1"/>
  <c r="V4" s="1"/>
  <c r="M4" i="4"/>
  <c r="Q4" s="1"/>
  <c r="V4" s="1"/>
  <c r="M4" i="5"/>
  <c r="Q4" s="1"/>
  <c r="T4" s="1"/>
  <c r="N9" i="4"/>
  <c r="N12" s="1"/>
  <c r="N9" i="2"/>
  <c r="N12" s="1"/>
  <c r="M4"/>
  <c r="Q4" s="1"/>
  <c r="V4" s="1"/>
  <c r="W4" i="5"/>
  <c r="U4"/>
  <c r="T4" i="4"/>
  <c r="P4"/>
  <c r="U4"/>
  <c r="L40" i="3"/>
  <c r="M40" s="1"/>
  <c r="U4"/>
  <c r="T4"/>
  <c r="S4"/>
  <c r="W4"/>
  <c r="R4" i="2"/>
  <c r="P4" s="1"/>
  <c r="S4" s="1"/>
  <c r="X6" i="33" l="1"/>
  <c r="X5"/>
  <c r="X5" i="32"/>
  <c r="X7" s="1"/>
  <c r="H29" i="6" s="1"/>
  <c r="S6" i="32"/>
  <c r="X7" i="31"/>
  <c r="H28" i="6" s="1"/>
  <c r="S6" i="31"/>
  <c r="X5" i="29"/>
  <c r="X7" s="1"/>
  <c r="H27" i="6" s="1"/>
  <c r="P5" i="28"/>
  <c r="U5"/>
  <c r="T5"/>
  <c r="V5"/>
  <c r="P6"/>
  <c r="U6"/>
  <c r="T6"/>
  <c r="V6"/>
  <c r="O5" i="12"/>
  <c r="R5" s="1"/>
  <c r="U5" s="1"/>
  <c r="O5" i="8"/>
  <c r="R5" s="1"/>
  <c r="P5" s="1"/>
  <c r="O5" i="16"/>
  <c r="R5" s="1"/>
  <c r="P5" s="1"/>
  <c r="O6" i="27"/>
  <c r="O6" i="26"/>
  <c r="O5" i="27"/>
  <c r="O5" i="26"/>
  <c r="T4" i="12"/>
  <c r="V4"/>
  <c r="V4" i="20"/>
  <c r="T4"/>
  <c r="V4" i="21"/>
  <c r="T4"/>
  <c r="W4"/>
  <c r="V4" i="22"/>
  <c r="T4"/>
  <c r="V4" i="23"/>
  <c r="T4"/>
  <c r="T4" i="24"/>
  <c r="V4"/>
  <c r="V4" i="25"/>
  <c r="T4"/>
  <c r="V4" i="26"/>
  <c r="T4"/>
  <c r="V4" i="27"/>
  <c r="T4"/>
  <c r="O6" i="11"/>
  <c r="R6" s="1"/>
  <c r="P6" s="1"/>
  <c r="S6" s="1"/>
  <c r="O6" i="12"/>
  <c r="R6" s="1"/>
  <c r="P6" s="1"/>
  <c r="O6" i="8"/>
  <c r="R6" s="1"/>
  <c r="P6" s="1"/>
  <c r="S6" s="1"/>
  <c r="O5" i="19"/>
  <c r="Q5" s="1"/>
  <c r="O5" i="11"/>
  <c r="R5" s="1"/>
  <c r="P5" s="1"/>
  <c r="S5" s="1"/>
  <c r="O6" i="16"/>
  <c r="R6" s="1"/>
  <c r="P6" s="1"/>
  <c r="S6" s="1"/>
  <c r="O5" i="18"/>
  <c r="R5" s="1"/>
  <c r="P5" s="1"/>
  <c r="S5" s="1"/>
  <c r="O6" i="5"/>
  <c r="R6" s="1"/>
  <c r="P6" s="1"/>
  <c r="O6" i="14"/>
  <c r="Q6" s="1"/>
  <c r="V6" s="1"/>
  <c r="O6" i="3"/>
  <c r="R6" s="1"/>
  <c r="P6" s="1"/>
  <c r="O6" i="4"/>
  <c r="R6" s="1"/>
  <c r="P6" s="1"/>
  <c r="S6" s="1"/>
  <c r="O6" i="18"/>
  <c r="Q6" s="1"/>
  <c r="O5" i="2"/>
  <c r="O5" i="15"/>
  <c r="Q5" s="1"/>
  <c r="O6" i="9"/>
  <c r="R6" s="1"/>
  <c r="P6" s="1"/>
  <c r="O5" i="25"/>
  <c r="O6"/>
  <c r="O5" i="21"/>
  <c r="R5" s="1"/>
  <c r="P5" s="1"/>
  <c r="S5" s="1"/>
  <c r="O6" i="15"/>
  <c r="R6" s="1"/>
  <c r="P6" s="1"/>
  <c r="O6" i="2"/>
  <c r="O6" i="17"/>
  <c r="Q6" s="1"/>
  <c r="V6" s="1"/>
  <c r="O5"/>
  <c r="R5" s="1"/>
  <c r="P5" s="1"/>
  <c r="S5" s="1"/>
  <c r="O6" i="13"/>
  <c r="R6" s="1"/>
  <c r="P6" s="1"/>
  <c r="O5" i="9"/>
  <c r="R5" s="1"/>
  <c r="U5" s="1"/>
  <c r="O6" i="19"/>
  <c r="R6" s="1"/>
  <c r="P6" s="1"/>
  <c r="S6" s="1"/>
  <c r="O5" i="13"/>
  <c r="R5" s="1"/>
  <c r="P5" s="1"/>
  <c r="S5" s="1"/>
  <c r="O6" i="20"/>
  <c r="O5" i="22"/>
  <c r="O6" i="23"/>
  <c r="O6" i="21"/>
  <c r="O5" i="14"/>
  <c r="R5" s="1"/>
  <c r="P5" s="1"/>
  <c r="S5" s="1"/>
  <c r="O5" i="24"/>
  <c r="O5" i="5"/>
  <c r="R5" s="1"/>
  <c r="P5" s="1"/>
  <c r="O5" i="20"/>
  <c r="O5" i="23"/>
  <c r="O6" i="24"/>
  <c r="O6" i="22"/>
  <c r="W4" i="18"/>
  <c r="W4" i="16"/>
  <c r="O6" i="10"/>
  <c r="O5"/>
  <c r="Q5" s="1"/>
  <c r="Q6" i="15"/>
  <c r="T6" s="1"/>
  <c r="W4" i="14"/>
  <c r="W4" i="11"/>
  <c r="S4" i="13"/>
  <c r="W4"/>
  <c r="I3" i="7"/>
  <c r="E3"/>
  <c r="L3" s="1"/>
  <c r="W4" i="12"/>
  <c r="S4" i="10"/>
  <c r="S4" i="9"/>
  <c r="V4" i="5"/>
  <c r="Q6" i="2"/>
  <c r="O5" i="3"/>
  <c r="Q5" s="1"/>
  <c r="S4" i="4"/>
  <c r="W4"/>
  <c r="R5"/>
  <c r="P5" s="1"/>
  <c r="S5" s="1"/>
  <c r="V5"/>
  <c r="U4" i="2"/>
  <c r="W4"/>
  <c r="T4"/>
  <c r="U6" i="8" l="1"/>
  <c r="Q6"/>
  <c r="V6" s="1"/>
  <c r="Q6" i="3"/>
  <c r="T6" s="1"/>
  <c r="S6"/>
  <c r="R6" i="18"/>
  <c r="P6" s="1"/>
  <c r="W6" s="1"/>
  <c r="U6" i="19"/>
  <c r="V5"/>
  <c r="S6" i="5"/>
  <c r="Q5" i="16"/>
  <c r="T5" s="1"/>
  <c r="U6" i="5"/>
  <c r="S5" i="16"/>
  <c r="Q6" i="11"/>
  <c r="T6" s="1"/>
  <c r="U5" i="16"/>
  <c r="R5" i="19"/>
  <c r="U5" s="1"/>
  <c r="X7" i="33"/>
  <c r="H30" i="6" s="1"/>
  <c r="Q6" i="16"/>
  <c r="V6" s="1"/>
  <c r="S5" i="8"/>
  <c r="Q6" i="19"/>
  <c r="T6" s="1"/>
  <c r="U5" i="8"/>
  <c r="Q5" i="14"/>
  <c r="V5" s="1"/>
  <c r="S6" i="9"/>
  <c r="Q5" i="8"/>
  <c r="T5" s="1"/>
  <c r="U5" i="21"/>
  <c r="Q6" i="5"/>
  <c r="T6" s="1"/>
  <c r="Q5" i="12"/>
  <c r="V5" s="1"/>
  <c r="U5" i="5"/>
  <c r="P5" i="12"/>
  <c r="V6" i="18"/>
  <c r="Q5" i="21"/>
  <c r="T5" s="1"/>
  <c r="Q5" i="13"/>
  <c r="V5" s="1"/>
  <c r="Q6" i="4"/>
  <c r="T6" s="1"/>
  <c r="Q5" i="18"/>
  <c r="V5" s="1"/>
  <c r="U6" i="15"/>
  <c r="D5" i="7"/>
  <c r="D4"/>
  <c r="R6" i="2"/>
  <c r="P6" s="1"/>
  <c r="U6" i="12"/>
  <c r="R6" i="14"/>
  <c r="P6" s="1"/>
  <c r="S6" s="1"/>
  <c r="W6" i="28"/>
  <c r="X6" s="1"/>
  <c r="S6"/>
  <c r="W5"/>
  <c r="X5" s="1"/>
  <c r="S5"/>
  <c r="R5" i="2"/>
  <c r="P5" s="1"/>
  <c r="S5" s="1"/>
  <c r="Q5" i="26"/>
  <c r="V5" s="1"/>
  <c r="R5"/>
  <c r="Q5" i="27"/>
  <c r="V5" s="1"/>
  <c r="R5"/>
  <c r="Q6" i="26"/>
  <c r="V6" s="1"/>
  <c r="R6"/>
  <c r="Q6" i="27"/>
  <c r="V6" s="1"/>
  <c r="R6"/>
  <c r="U6" i="3"/>
  <c r="Q6" i="12"/>
  <c r="T6" s="1"/>
  <c r="Q5" i="11"/>
  <c r="T5" s="1"/>
  <c r="U6"/>
  <c r="Q5" i="2"/>
  <c r="V5" s="1"/>
  <c r="S6" i="15"/>
  <c r="V5"/>
  <c r="R5"/>
  <c r="P5" s="1"/>
  <c r="S5" s="1"/>
  <c r="R6" i="17"/>
  <c r="P6" s="1"/>
  <c r="S6" s="1"/>
  <c r="U6" i="9"/>
  <c r="Q6"/>
  <c r="V6" s="1"/>
  <c r="Q5"/>
  <c r="V5" s="1"/>
  <c r="Q6" i="13"/>
  <c r="V6" s="1"/>
  <c r="Q5" i="17"/>
  <c r="V5" s="1"/>
  <c r="U6" i="13"/>
  <c r="S6"/>
  <c r="U5" i="14"/>
  <c r="R6" i="25"/>
  <c r="P6" s="1"/>
  <c r="Q6"/>
  <c r="Q5" i="22"/>
  <c r="R5"/>
  <c r="P5" s="1"/>
  <c r="S5" s="1"/>
  <c r="Q6" i="23"/>
  <c r="R6"/>
  <c r="Q6" i="24"/>
  <c r="R6"/>
  <c r="P6" s="1"/>
  <c r="R6" i="21"/>
  <c r="P6" s="1"/>
  <c r="Q6"/>
  <c r="R6" i="22"/>
  <c r="P6" s="1"/>
  <c r="Q6"/>
  <c r="Q5" i="5"/>
  <c r="T5" s="1"/>
  <c r="R5" i="24"/>
  <c r="R6" i="20"/>
  <c r="P6" s="1"/>
  <c r="S6" s="1"/>
  <c r="Q6"/>
  <c r="R5"/>
  <c r="P5" s="1"/>
  <c r="Q5"/>
  <c r="R5" i="23"/>
  <c r="Q5"/>
  <c r="Q5" i="25"/>
  <c r="R5"/>
  <c r="Q5" i="24"/>
  <c r="T5" i="19"/>
  <c r="S6" i="18"/>
  <c r="U6"/>
  <c r="U5"/>
  <c r="U5" i="17"/>
  <c r="U6" i="16"/>
  <c r="T6"/>
  <c r="W6" i="15"/>
  <c r="V6"/>
  <c r="W5" i="8"/>
  <c r="W6"/>
  <c r="V5"/>
  <c r="U5" i="11"/>
  <c r="W5" i="13"/>
  <c r="U5"/>
  <c r="T5"/>
  <c r="H3" i="7"/>
  <c r="V6" i="12"/>
  <c r="R6" i="10"/>
  <c r="R5"/>
  <c r="P5" s="1"/>
  <c r="S5" s="1"/>
  <c r="Q6"/>
  <c r="V6" s="1"/>
  <c r="S6" i="12"/>
  <c r="S5"/>
  <c r="V5" i="10"/>
  <c r="P5" i="9"/>
  <c r="U6" i="2"/>
  <c r="R5" i="3"/>
  <c r="P5" s="1"/>
  <c r="S5" s="1"/>
  <c r="V5"/>
  <c r="W6" i="2"/>
  <c r="S6"/>
  <c r="V6"/>
  <c r="S5" i="5"/>
  <c r="T5" i="4"/>
  <c r="W5"/>
  <c r="U6"/>
  <c r="U5"/>
  <c r="W6" i="3"/>
  <c r="V6"/>
  <c r="X6" i="8" l="1"/>
  <c r="X7" s="1"/>
  <c r="T6"/>
  <c r="X6" i="18"/>
  <c r="V5" i="16"/>
  <c r="T6" i="18"/>
  <c r="T6" i="2"/>
  <c r="V5" i="11"/>
  <c r="P5" i="19"/>
  <c r="W5" s="1"/>
  <c r="X5" s="1"/>
  <c r="W5" i="21"/>
  <c r="W6" i="9"/>
  <c r="X6" s="1"/>
  <c r="W5" i="18"/>
  <c r="X5" s="1"/>
  <c r="X7" s="1"/>
  <c r="W5" i="9"/>
  <c r="X5" s="1"/>
  <c r="T5"/>
  <c r="W6" i="11"/>
  <c r="W5" i="14"/>
  <c r="X5" s="1"/>
  <c r="T5" i="2"/>
  <c r="V6" i="11"/>
  <c r="T5" i="14"/>
  <c r="W5" i="17"/>
  <c r="X5" s="1"/>
  <c r="W5" i="16"/>
  <c r="X5" s="1"/>
  <c r="W5" i="2"/>
  <c r="W6" i="16"/>
  <c r="X6" s="1"/>
  <c r="X7" i="28"/>
  <c r="T6" i="14"/>
  <c r="V6" i="4"/>
  <c r="W6" i="5"/>
  <c r="T5" i="12"/>
  <c r="V6" i="19"/>
  <c r="W6" i="4"/>
  <c r="T6" i="17"/>
  <c r="X5" i="8"/>
  <c r="W6" i="19"/>
  <c r="V6" i="5"/>
  <c r="X6" i="2"/>
  <c r="W5" i="11"/>
  <c r="X5" s="1"/>
  <c r="T5" i="18"/>
  <c r="W5" i="12"/>
  <c r="X5" s="1"/>
  <c r="W5" i="15"/>
  <c r="X6" i="3"/>
  <c r="W6" i="13"/>
  <c r="X6" s="1"/>
  <c r="T5" i="15"/>
  <c r="T5" i="24"/>
  <c r="V5" i="21"/>
  <c r="X5" i="13"/>
  <c r="X5" i="4"/>
  <c r="V5" i="5"/>
  <c r="U5" i="2"/>
  <c r="U6" i="14"/>
  <c r="W6"/>
  <c r="W6" i="17"/>
  <c r="X6" i="15"/>
  <c r="W6" i="22"/>
  <c r="T6" i="27"/>
  <c r="P6"/>
  <c r="U6"/>
  <c r="U6" i="26"/>
  <c r="P6"/>
  <c r="T6"/>
  <c r="P5" i="27"/>
  <c r="U5"/>
  <c r="T5"/>
  <c r="U5" i="26"/>
  <c r="P5"/>
  <c r="T5"/>
  <c r="W6" i="12"/>
  <c r="X6" s="1"/>
  <c r="T5" i="17"/>
  <c r="T6" i="9"/>
  <c r="U6" i="17"/>
  <c r="U5" i="22"/>
  <c r="W5" i="5"/>
  <c r="U5" i="15"/>
  <c r="T5" i="25"/>
  <c r="U6" i="22"/>
  <c r="T6" i="23"/>
  <c r="T6" i="13"/>
  <c r="W6" i="20"/>
  <c r="T5" i="23"/>
  <c r="V5"/>
  <c r="P5" i="24"/>
  <c r="U5"/>
  <c r="T6" i="21"/>
  <c r="V6"/>
  <c r="P5" i="25"/>
  <c r="U5"/>
  <c r="V6" i="20"/>
  <c r="T6"/>
  <c r="T6" i="22"/>
  <c r="V6"/>
  <c r="P6" i="23"/>
  <c r="U6"/>
  <c r="U6" i="24"/>
  <c r="U6" i="20"/>
  <c r="S6" i="22"/>
  <c r="V6" i="23"/>
  <c r="V5" i="25"/>
  <c r="S5" i="20"/>
  <c r="W5"/>
  <c r="T6" i="24"/>
  <c r="V6"/>
  <c r="S6" i="25"/>
  <c r="W6"/>
  <c r="S6" i="24"/>
  <c r="W6"/>
  <c r="V6" i="25"/>
  <c r="T6"/>
  <c r="T5" i="20"/>
  <c r="V5"/>
  <c r="S6" i="21"/>
  <c r="W6"/>
  <c r="P5" i="23"/>
  <c r="U5"/>
  <c r="U5" i="20"/>
  <c r="W5" i="22"/>
  <c r="T5"/>
  <c r="U6" i="25"/>
  <c r="V5" i="24"/>
  <c r="U6" i="21"/>
  <c r="V5" i="22"/>
  <c r="S5" i="19"/>
  <c r="W5" i="10"/>
  <c r="T6"/>
  <c r="U5"/>
  <c r="P6"/>
  <c r="U6"/>
  <c r="G5" i="7"/>
  <c r="E5" s="1"/>
  <c r="H5" s="1"/>
  <c r="F5"/>
  <c r="T5" i="10"/>
  <c r="S5" i="9"/>
  <c r="F4" i="7"/>
  <c r="K4" s="1"/>
  <c r="G4"/>
  <c r="E4" s="1"/>
  <c r="H4" s="1"/>
  <c r="U5" i="3"/>
  <c r="T5"/>
  <c r="W5"/>
  <c r="X5" i="21" l="1"/>
  <c r="X6" i="11"/>
  <c r="X7" s="1"/>
  <c r="X5" i="5"/>
  <c r="X5" i="2"/>
  <c r="X7" s="1"/>
  <c r="X7" i="9"/>
  <c r="H6" i="6" s="1"/>
  <c r="H16"/>
  <c r="H26"/>
  <c r="H11"/>
  <c r="X7" i="16"/>
  <c r="X7" i="12"/>
  <c r="X6" i="4"/>
  <c r="X7" s="1"/>
  <c r="X5" i="10"/>
  <c r="X6" i="17"/>
  <c r="X7" s="1"/>
  <c r="X6" i="21"/>
  <c r="X5" i="22"/>
  <c r="X6" i="5"/>
  <c r="X7" i="13"/>
  <c r="X6" i="19"/>
  <c r="X7" s="1"/>
  <c r="X6" i="20"/>
  <c r="X5" i="15"/>
  <c r="X7" s="1"/>
  <c r="X5" i="20"/>
  <c r="X6" i="22"/>
  <c r="X7" s="1"/>
  <c r="X5" i="3"/>
  <c r="X7" s="1"/>
  <c r="X6" i="25"/>
  <c r="X6" i="24"/>
  <c r="X6" i="14"/>
  <c r="X7" s="1"/>
  <c r="S5" i="26"/>
  <c r="W5"/>
  <c r="X5" s="1"/>
  <c r="S5" i="27"/>
  <c r="W5"/>
  <c r="X5" s="1"/>
  <c r="W6" i="26"/>
  <c r="X6" s="1"/>
  <c r="S6"/>
  <c r="W6" i="27"/>
  <c r="X6" s="1"/>
  <c r="S6"/>
  <c r="W5" i="24"/>
  <c r="X5" s="1"/>
  <c r="S5"/>
  <c r="W5" i="25"/>
  <c r="X5" s="1"/>
  <c r="S5"/>
  <c r="W5" i="23"/>
  <c r="X5" s="1"/>
  <c r="S5"/>
  <c r="S6"/>
  <c r="W6"/>
  <c r="X6" s="1"/>
  <c r="L5" i="7"/>
  <c r="J5"/>
  <c r="S6" i="10"/>
  <c r="W6"/>
  <c r="X6" s="1"/>
  <c r="I5" i="7"/>
  <c r="K5"/>
  <c r="I4"/>
  <c r="L4"/>
  <c r="J4"/>
  <c r="X7" i="21" l="1"/>
  <c r="X7" i="10"/>
  <c r="H10" i="6"/>
  <c r="X7" i="24"/>
  <c r="X7" i="25"/>
  <c r="X7" i="27"/>
  <c r="X7" i="5"/>
  <c r="H12" i="6"/>
  <c r="H14"/>
  <c r="H4"/>
  <c r="H2"/>
  <c r="H9"/>
  <c r="H8"/>
  <c r="H20"/>
  <c r="H3"/>
  <c r="H17"/>
  <c r="H15"/>
  <c r="H7"/>
  <c r="H13"/>
  <c r="X7" i="23"/>
  <c r="X7" i="26"/>
  <c r="X7" i="20"/>
  <c r="H19" i="6" l="1"/>
  <c r="H5"/>
  <c r="H23"/>
  <c r="H22"/>
  <c r="H25"/>
  <c r="H21"/>
  <c r="H24"/>
  <c r="H18"/>
</calcChain>
</file>

<file path=xl/sharedStrings.xml><?xml version="1.0" encoding="utf-8"?>
<sst xmlns="http://schemas.openxmlformats.org/spreadsheetml/2006/main" count="8038" uniqueCount="509">
  <si>
    <t>ENTIDADES</t>
  </si>
  <si>
    <t>TRIPLAS</t>
  </si>
  <si>
    <t>RELAÇÕES</t>
  </si>
  <si>
    <t>rdfs:subClassOf</t>
  </si>
  <si>
    <t>rdfs:seeAlso</t>
  </si>
  <si>
    <t>c2rm:applied_to</t>
  </si>
  <si>
    <t>rdfs:comment</t>
  </si>
  <si>
    <t>c2rm:responsible_for</t>
  </si>
  <si>
    <t>politico</t>
  </si>
  <si>
    <t>nivel</t>
  </si>
  <si>
    <t>estrategico</t>
  </si>
  <si>
    <t>tatico</t>
  </si>
  <si>
    <t>operacional</t>
  </si>
  <si>
    <t>comandos_operacionais</t>
  </si>
  <si>
    <t>estruturas</t>
  </si>
  <si>
    <t>inteligencia</t>
  </si>
  <si>
    <t>logistica</t>
  </si>
  <si>
    <t>comando_e_controle</t>
  </si>
  <si>
    <t>objetivos_politicos</t>
  </si>
  <si>
    <t>emprego</t>
  </si>
  <si>
    <t>presidente_da_republica</t>
  </si>
  <si>
    <t>comandante_supremo</t>
  </si>
  <si>
    <t>operacao_conjunta</t>
  </si>
  <si>
    <t>operacao</t>
  </si>
  <si>
    <t>peculiaridades_tecnico_profissional</t>
  </si>
  <si>
    <t>heterogeneidade_dos_processos_de_emeprego</t>
  </si>
  <si>
    <t>forcas_componentes</t>
  </si>
  <si>
    <t>forca_aerea</t>
  </si>
  <si>
    <t>forca_componente</t>
  </si>
  <si>
    <t>forca_terrestre</t>
  </si>
  <si>
    <t>forca_naval</t>
  </si>
  <si>
    <t>forcas_armadas</t>
  </si>
  <si>
    <t>marinha</t>
  </si>
  <si>
    <t>aeronautica</t>
  </si>
  <si>
    <t>exercito</t>
  </si>
  <si>
    <t>owl:equivalentClass</t>
  </si>
  <si>
    <t>rdf:type</t>
  </si>
  <si>
    <t>entity</t>
  </si>
  <si>
    <t>rdfs:Class</t>
  </si>
  <si>
    <t>defesa_da_patria</t>
  </si>
  <si>
    <t>comando_supremo</t>
  </si>
  <si>
    <t>RESULTADOS</t>
  </si>
  <si>
    <t>N. ENTIDADES:</t>
  </si>
  <si>
    <t>N. RELAÇÕES:</t>
  </si>
  <si>
    <t>op</t>
  </si>
  <si>
    <t>documento</t>
  </si>
  <si>
    <t>plano</t>
  </si>
  <si>
    <t>diretriz</t>
  </si>
  <si>
    <t>ordens</t>
  </si>
  <si>
    <t>objetivo</t>
  </si>
  <si>
    <t>cmte</t>
  </si>
  <si>
    <t>estrutura_cmd</t>
  </si>
  <si>
    <t>pr</t>
  </si>
  <si>
    <t>md</t>
  </si>
  <si>
    <t>fa</t>
  </si>
  <si>
    <t>mb</t>
  </si>
  <si>
    <t>eb</t>
  </si>
  <si>
    <t>fab</t>
  </si>
  <si>
    <t>comando_operacional</t>
  </si>
  <si>
    <t>c_log</t>
  </si>
  <si>
    <t>c2</t>
  </si>
  <si>
    <t>defesa_antiaerea</t>
  </si>
  <si>
    <t>ar</t>
  </si>
  <si>
    <t>meios</t>
  </si>
  <si>
    <t>fcte</t>
  </si>
  <si>
    <t>op_mil</t>
  </si>
  <si>
    <t>op_cj</t>
  </si>
  <si>
    <t>ENTIDADES_GRAFO</t>
  </si>
  <si>
    <t>TP</t>
  </si>
  <si>
    <t>FP</t>
  </si>
  <si>
    <t>FN</t>
  </si>
  <si>
    <t>PRECISÃO</t>
  </si>
  <si>
    <t>COBERTURA</t>
  </si>
  <si>
    <t>ACURÁCIA</t>
  </si>
  <si>
    <t>A</t>
  </si>
  <si>
    <t>A_E (GRAFO)</t>
  </si>
  <si>
    <t>B_E (M1)</t>
  </si>
  <si>
    <t>(A INT B)</t>
  </si>
  <si>
    <t>A-(A INT B)</t>
  </si>
  <si>
    <t>B-(A INT B)</t>
  </si>
  <si>
    <t>B</t>
  </si>
  <si>
    <t>N. ELEM {A}</t>
  </si>
  <si>
    <t>N. ELEM {B}</t>
  </si>
  <si>
    <t>TN</t>
  </si>
  <si>
    <t>ACERTOS</t>
  </si>
  <si>
    <t>ERROS</t>
  </si>
  <si>
    <t>A-TP</t>
  </si>
  <si>
    <t>B-TP</t>
  </si>
  <si>
    <t>B-FP</t>
  </si>
  <si>
    <t>P</t>
  </si>
  <si>
    <t>R</t>
  </si>
  <si>
    <t>F1</t>
  </si>
  <si>
    <t>VP/(VP+FP)</t>
  </si>
  <si>
    <t>VP/(VP+FN)</t>
  </si>
  <si>
    <t xml:space="preserve">(2 X P X C) / (P+C) </t>
  </si>
  <si>
    <t>VP+VN</t>
  </si>
  <si>
    <t>FP+FN</t>
  </si>
  <si>
    <t>ACURACIA</t>
  </si>
  <si>
    <t>(VP+VN)/(VP+FN+VN+FP)</t>
  </si>
  <si>
    <t>RELAÇÕES (CR)</t>
  </si>
  <si>
    <t>RELAÇÕES (SR)</t>
  </si>
  <si>
    <t>especialization</t>
  </si>
  <si>
    <t>estrat</t>
  </si>
  <si>
    <t>associado_com</t>
  </si>
  <si>
    <t>comanda</t>
  </si>
  <si>
    <t>emprega</t>
  </si>
  <si>
    <t>composta_por</t>
  </si>
  <si>
    <t>elabora</t>
  </si>
  <si>
    <t>pertence</t>
  </si>
  <si>
    <t>identifica</t>
  </si>
  <si>
    <t>rdfs:Bag</t>
  </si>
  <si>
    <t>entity+entity</t>
  </si>
  <si>
    <t>entity+relation+entity</t>
  </si>
  <si>
    <t>operação conjunta</t>
  </si>
  <si>
    <t>objetivos estratégicos</t>
  </si>
  <si>
    <t>nível</t>
  </si>
  <si>
    <t>entidade</t>
  </si>
  <si>
    <t>forças componentes</t>
  </si>
  <si>
    <t>pessoa</t>
  </si>
  <si>
    <t>presidente</t>
  </si>
  <si>
    <t>político</t>
  </si>
  <si>
    <t>estratégico</t>
  </si>
  <si>
    <t>tático</t>
  </si>
  <si>
    <t>dped</t>
  </si>
  <si>
    <t>dmed</t>
  </si>
  <si>
    <t>objetivos operacionais</t>
  </si>
  <si>
    <t>comandante operacional</t>
  </si>
  <si>
    <t>instituição</t>
  </si>
  <si>
    <t>comitê</t>
  </si>
  <si>
    <t>planejamento militar</t>
  </si>
  <si>
    <t>plano estratégico</t>
  </si>
  <si>
    <t>plano operacional</t>
  </si>
  <si>
    <t>plano tático</t>
  </si>
  <si>
    <t>área de responsabilidade</t>
  </si>
  <si>
    <t>comdabra</t>
  </si>
  <si>
    <t>defesa aeroespacial</t>
  </si>
  <si>
    <t>ativa</t>
  </si>
  <si>
    <t>passiva</t>
  </si>
  <si>
    <t>area de operações</t>
  </si>
  <si>
    <t>responsavel_por</t>
  </si>
  <si>
    <t>composition</t>
  </si>
  <si>
    <t>define</t>
  </si>
  <si>
    <t>estabelece</t>
  </si>
  <si>
    <t>possui</t>
  </si>
  <si>
    <t>serve</t>
  </si>
  <si>
    <t>baseia</t>
  </si>
  <si>
    <t>norteia</t>
  </si>
  <si>
    <t>planeja</t>
  </si>
  <si>
    <t>instance_of</t>
  </si>
  <si>
    <t>ffaa</t>
  </si>
  <si>
    <t>op_mil_simples</t>
  </si>
  <si>
    <t>op_mil_conj</t>
  </si>
  <si>
    <t>dpen</t>
  </si>
  <si>
    <t>plano_estrategico</t>
  </si>
  <si>
    <t>plano_tatico</t>
  </si>
  <si>
    <t>plano_operacional</t>
  </si>
  <si>
    <t>e_um</t>
  </si>
  <si>
    <t>op_conjunta</t>
  </si>
  <si>
    <t>exerc</t>
  </si>
  <si>
    <t>area_de_operacao</t>
  </si>
  <si>
    <t>comando_logistico</t>
  </si>
  <si>
    <t>planos_taticos</t>
  </si>
  <si>
    <t>força_componente</t>
  </si>
  <si>
    <t>força_terrestre</t>
  </si>
  <si>
    <t>força_naval</t>
  </si>
  <si>
    <t>planos_operacionais</t>
  </si>
  <si>
    <t>ar_ai</t>
  </si>
  <si>
    <t>gerencia</t>
  </si>
  <si>
    <t>executa</t>
  </si>
  <si>
    <t>elaborar</t>
  </si>
  <si>
    <t>precisa</t>
  </si>
  <si>
    <t>heterogeneidade_dos_processos_de_emprego</t>
  </si>
  <si>
    <t>ENTIDADES IDENTIFICADAS NO GRAFO (ETAPA 1)</t>
  </si>
  <si>
    <t>Participante</t>
  </si>
  <si>
    <t>E-mail</t>
  </si>
  <si>
    <t>ID. Model</t>
  </si>
  <si>
    <t>Grafo</t>
  </si>
  <si>
    <t>Não</t>
  </si>
  <si>
    <t>Sim</t>
  </si>
  <si>
    <t>Entregue</t>
  </si>
  <si>
    <t>Resultados</t>
  </si>
  <si>
    <t>ATIVIDADE 1: Mapear entidades</t>
  </si>
  <si>
    <t>ATIVIDADE 2: Mapear relações</t>
  </si>
  <si>
    <t>ATIVIDADE 3: Mapear triplas (ME x MR)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</si>
  <si>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</si>
  <si>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</si>
  <si>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</si>
  <si>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</si>
  <si>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</si>
  <si>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</si>
  <si>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</si>
  <si>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</si>
  <si>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</si>
  <si>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</si>
  <si>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</si>
  <si>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equivalent_to</t>
  </si>
  <si>
    <t>associated_with</t>
  </si>
  <si>
    <t>composed_of</t>
  </si>
  <si>
    <t>type_of</t>
  </si>
  <si>
    <t>defined_by</t>
  </si>
  <si>
    <t>co-referenced</t>
  </si>
  <si>
    <t>responsible_for</t>
  </si>
  <si>
    <t>capacity_of</t>
  </si>
  <si>
    <t>occurs_in</t>
  </si>
  <si>
    <t>applied_to</t>
  </si>
  <si>
    <t>rdf:Bag</t>
  </si>
  <si>
    <t>c2rm:coreferenced</t>
  </si>
  <si>
    <t>c2rm:capacity_of</t>
  </si>
  <si>
    <t>c2rm:occurs_in</t>
  </si>
  <si>
    <t>realiza</t>
  </si>
  <si>
    <t>Entidades de MC(Ei)</t>
  </si>
  <si>
    <t>Entidades de KG(Ek)</t>
  </si>
  <si>
    <t>Relação de MC(Ri)</t>
  </si>
  <si>
    <t>Relação de KG(Rj)</t>
  </si>
  <si>
    <t>participa</t>
  </si>
  <si>
    <t>coordena</t>
  </si>
  <si>
    <t>atua</t>
  </si>
  <si>
    <t>nortea</t>
  </si>
  <si>
    <t>produz</t>
  </si>
  <si>
    <t>Predicado KG (Rj)</t>
  </si>
  <si>
    <t>Sujeito MC (Ei_1)</t>
  </si>
  <si>
    <t>Objeto MC (Ei_2)</t>
  </si>
  <si>
    <t>ATIVIDADE 4: Relacionar triplas (MC x KG)</t>
  </si>
  <si>
    <t>Achou?</t>
  </si>
  <si>
    <t>ATIVIDADE 5: Validar pares de entidades nas triplas</t>
  </si>
  <si>
    <t>Pares de entidades (Ei_1, Ei_2)</t>
  </si>
  <si>
    <t>Se o par (Ei_1 e Ei_2) Existe no Par_de_ Lista_Entidades_do_KG</t>
  </si>
  <si>
    <t>Tripla (Ei_1, Rj, Ei_2)</t>
  </si>
  <si>
    <t>Se Tripla Existe nas Triplas do KG</t>
  </si>
  <si>
    <t>ATIVIDADE 6: Validar triplas completas (Ei_1, Rj x Ei_2)</t>
  </si>
  <si>
    <t>N. ELEM {KG}</t>
  </si>
  <si>
    <t>N. ELEM {MC}</t>
  </si>
  <si>
    <t>nivel_op</t>
  </si>
  <si>
    <t>cs</t>
  </si>
  <si>
    <t>obj_politicos</t>
  </si>
  <si>
    <t>planos_logistico</t>
  </si>
  <si>
    <t>diretrizes</t>
  </si>
  <si>
    <t>pln_exec_ordens</t>
  </si>
  <si>
    <t>c_op</t>
  </si>
  <si>
    <t>meios_defesa</t>
  </si>
  <si>
    <t>integra</t>
  </si>
  <si>
    <t>subordinada</t>
  </si>
  <si>
    <t>conduz</t>
  </si>
  <si>
    <t>apoia</t>
  </si>
  <si>
    <t>empregado</t>
  </si>
  <si>
    <t>composta</t>
  </si>
  <si>
    <t>envolve</t>
  </si>
  <si>
    <t>resposavel</t>
  </si>
  <si>
    <t>organizada</t>
  </si>
  <si>
    <t>Entidades de KG (Ek)</t>
  </si>
  <si>
    <t>Entidades de MC (Ei)</t>
  </si>
  <si>
    <t>Relação de MC (Ri)</t>
  </si>
  <si>
    <t>Relação de KG (Rj)</t>
  </si>
  <si>
    <t>COMPATÍVEIS</t>
  </si>
  <si>
    <t>INCOMPATÍVEIS</t>
  </si>
  <si>
    <t>nivel_estrategico</t>
  </si>
  <si>
    <t>ministerio_da_defesa</t>
  </si>
  <si>
    <t>area_de_interesse</t>
  </si>
  <si>
    <t>planejamento_campanha</t>
  </si>
  <si>
    <t>planos_estrategicos</t>
  </si>
  <si>
    <t>comando_da_fcte</t>
  </si>
  <si>
    <t>representado_por</t>
  </si>
  <si>
    <t>constitui</t>
  </si>
  <si>
    <t>alinha-se</t>
  </si>
  <si>
    <t>norteia-se</t>
  </si>
  <si>
    <t>forças_armadas</t>
  </si>
  <si>
    <t>baseia-se</t>
  </si>
  <si>
    <t>planos_baseia-se</t>
  </si>
  <si>
    <t>niveis_est</t>
  </si>
  <si>
    <t>operacoes_conjuntas</t>
  </si>
  <si>
    <t>cmd_operacionais</t>
  </si>
  <si>
    <t>planos_est</t>
  </si>
  <si>
    <t>cmt_operacional</t>
  </si>
  <si>
    <t>interoperabildade_fa</t>
  </si>
  <si>
    <t>documentos</t>
  </si>
  <si>
    <t>aeroespacialat</t>
  </si>
  <si>
    <t>aeroespacialpas</t>
  </si>
  <si>
    <t>formula</t>
  </si>
  <si>
    <t>composto</t>
  </si>
  <si>
    <t>pertencem</t>
  </si>
  <si>
    <t>responsavel</t>
  </si>
  <si>
    <t>alinha</t>
  </si>
  <si>
    <t>gera</t>
  </si>
  <si>
    <t>objetivos_polit</t>
  </si>
  <si>
    <t>planej_militar</t>
  </si>
  <si>
    <t>nivel_politico</t>
  </si>
  <si>
    <t>co</t>
  </si>
  <si>
    <t>ar/ai</t>
  </si>
  <si>
    <t>nivel_operacional</t>
  </si>
  <si>
    <t>nivel_tatico</t>
  </si>
  <si>
    <t>obj_operacional</t>
  </si>
  <si>
    <t>obj_tatico</t>
  </si>
  <si>
    <t>a_op</t>
  </si>
  <si>
    <t>obj_estrategico</t>
  </si>
  <si>
    <t>orienta</t>
  </si>
  <si>
    <t>missoes</t>
  </si>
  <si>
    <t>def_aero</t>
  </si>
  <si>
    <t>e_responsabilide</t>
  </si>
  <si>
    <t>atribuida</t>
  </si>
  <si>
    <t>objetivos</t>
  </si>
  <si>
    <t>planejamento_militar</t>
  </si>
  <si>
    <t>sistemas</t>
  </si>
  <si>
    <t>apoio_logistico</t>
  </si>
  <si>
    <t>responsabilidade</t>
  </si>
  <si>
    <t>acessa</t>
  </si>
  <si>
    <t>atribuicao</t>
  </si>
  <si>
    <t>estruturada</t>
  </si>
  <si>
    <t>confeccao</t>
  </si>
  <si>
    <t>utiliza</t>
  </si>
  <si>
    <t>objetivo_estrategico</t>
  </si>
  <si>
    <t>acoes_estrategicas</t>
  </si>
  <si>
    <t>cmt_op</t>
  </si>
  <si>
    <t>plano_politico</t>
  </si>
  <si>
    <t>meios_adjudicados</t>
  </si>
  <si>
    <t>consolida</t>
  </si>
  <si>
    <t>comandado</t>
  </si>
  <si>
    <t>inclue</t>
  </si>
  <si>
    <t>alinhado</t>
  </si>
  <si>
    <t>ajuda</t>
  </si>
  <si>
    <t>niveis</t>
  </si>
  <si>
    <t>comandante_operacional</t>
  </si>
  <si>
    <t>area_de_responsabilidade</t>
  </si>
  <si>
    <t>area_de_operacoes</t>
  </si>
  <si>
    <t>defesa_aeroespacial</t>
  </si>
  <si>
    <t>defesa_ativa</t>
  </si>
  <si>
    <t>defesa_passiva</t>
  </si>
  <si>
    <t>ordena</t>
  </si>
  <si>
    <t>norteiam</t>
  </si>
  <si>
    <t>base</t>
  </si>
  <si>
    <t>define_diretrizes</t>
  </si>
  <si>
    <t>tinha_objetivos_estrategicos</t>
  </si>
  <si>
    <t>Avaliação</t>
  </si>
  <si>
    <t>f_cte</t>
  </si>
  <si>
    <t>planejamento_da_campanha</t>
  </si>
  <si>
    <t>planos_taticos_operacionais</t>
  </si>
  <si>
    <t>diretrizes_e_planos</t>
  </si>
  <si>
    <t>diretrizes_estrategicas</t>
  </si>
  <si>
    <t>objetivos_e_missoes_taticas</t>
  </si>
  <si>
    <t>compoe</t>
  </si>
  <si>
    <t>baseiam-se</t>
  </si>
  <si>
    <t>consolidada</t>
  </si>
  <si>
    <t>operacao_militar</t>
  </si>
  <si>
    <t>objetivo_politico</t>
  </si>
  <si>
    <t>objetivo_tatico</t>
  </si>
  <si>
    <t>objetivo_operacional</t>
  </si>
  <si>
    <t>planejamento_operacional_da_campanha</t>
  </si>
  <si>
    <t>objetivos_estrategicos</t>
  </si>
  <si>
    <t>planos_taticos_das_fctes</t>
  </si>
  <si>
    <t>comando_das_fctes</t>
  </si>
  <si>
    <t>ordem_das_operacoes</t>
  </si>
  <si>
    <t>e_parte_de</t>
  </si>
  <si>
    <t>reponsavel</t>
  </si>
  <si>
    <t>mira</t>
  </si>
  <si>
    <t>Rel</t>
  </si>
  <si>
    <t>representa</t>
  </si>
  <si>
    <t>nivel operacional</t>
  </si>
  <si>
    <t>organiza</t>
  </si>
  <si>
    <t>diretrizes_estr</t>
  </si>
  <si>
    <t>cmd_op</t>
  </si>
  <si>
    <t>planejamento</t>
  </si>
  <si>
    <t>objetivos_operacionais</t>
  </si>
  <si>
    <t>fornece</t>
  </si>
  <si>
    <t>comando</t>
  </si>
  <si>
    <t>atribuido</t>
  </si>
  <si>
    <t>associado</t>
  </si>
  <si>
    <t>serve_de_base</t>
  </si>
  <si>
    <t>tem</t>
  </si>
  <si>
    <t>conduzida</t>
  </si>
  <si>
    <t>produzido</t>
  </si>
  <si>
    <t>apresenta</t>
  </si>
  <si>
    <t>c_f_cte</t>
  </si>
  <si>
    <t>missao</t>
  </si>
  <si>
    <t>obj_op</t>
  </si>
  <si>
    <t>obj_est</t>
  </si>
  <si>
    <t>coordenado_por</t>
  </si>
  <si>
    <t>emite</t>
  </si>
  <si>
    <t>atribui</t>
  </si>
  <si>
    <t>atua_em</t>
  </si>
  <si>
    <t>baseia-se_em</t>
  </si>
  <si>
    <t>subordinado_ao</t>
  </si>
  <si>
    <t>composto_por</t>
  </si>
  <si>
    <t>vinculado</t>
  </si>
  <si>
    <t>meio</t>
  </si>
  <si>
    <t>area</t>
  </si>
  <si>
    <t>comando_f_cte</t>
  </si>
  <si>
    <t>ai</t>
  </si>
  <si>
    <t>usar</t>
  </si>
  <si>
    <t>empregar</t>
  </si>
  <si>
    <t>orientar</t>
  </si>
  <si>
    <t>executar</t>
  </si>
  <si>
    <t>atuar_em</t>
  </si>
  <si>
    <t>comandar</t>
  </si>
  <si>
    <t>alinhar</t>
  </si>
  <si>
    <t>definir</t>
  </si>
  <si>
    <t>coordenar</t>
  </si>
  <si>
    <t>estabelecer</t>
  </si>
  <si>
    <t>area_operacao</t>
  </si>
  <si>
    <t>diretriz_presidencial_defesa</t>
  </si>
  <si>
    <t>diretriz_ministerial_defesa</t>
  </si>
  <si>
    <t>formular</t>
  </si>
  <si>
    <t>nortear</t>
  </si>
  <si>
    <t>supervisionar</t>
  </si>
  <si>
    <t>obj</t>
  </si>
  <si>
    <t>planos</t>
  </si>
  <si>
    <t>associa</t>
  </si>
  <si>
    <t>niveis_de_poder</t>
  </si>
  <si>
    <t>esforco</t>
  </si>
  <si>
    <t>esf_politico</t>
  </si>
  <si>
    <t>esf_diplomatico</t>
  </si>
  <si>
    <t>esf_economico</t>
  </si>
  <si>
    <t>objetivos_taticos</t>
  </si>
  <si>
    <t>cmdo_log</t>
  </si>
  <si>
    <t>ordem_de_operacao</t>
  </si>
  <si>
    <t>cmdo_forca_componente</t>
  </si>
  <si>
    <t>cmdo_operacional</t>
  </si>
  <si>
    <t>forca_conjunta</t>
  </si>
  <si>
    <t>area_de_resp_interesse</t>
  </si>
  <si>
    <t>alinhado_a</t>
  </si>
  <si>
    <t>resulta_em</t>
  </si>
  <si>
    <t>participa_de</t>
  </si>
  <si>
    <t>ocorre_em</t>
  </si>
  <si>
    <t>harmoniza</t>
  </si>
  <si>
    <t>liagada_a</t>
  </si>
  <si>
    <t>forca_armada</t>
  </si>
  <si>
    <t>operacao_singular</t>
  </si>
  <si>
    <t>niveis_decisorio</t>
  </si>
  <si>
    <t>presidente_republica</t>
  </si>
  <si>
    <t>diretriz_politica</t>
  </si>
  <si>
    <t>diretriz_estrategica</t>
  </si>
  <si>
    <t>acao_estrategica</t>
  </si>
  <si>
    <t>area_operacional</t>
  </si>
  <si>
    <t>acao_tatica</t>
  </si>
  <si>
    <t>representado_pelo</t>
  </si>
  <si>
    <t>subordinado</t>
  </si>
  <si>
    <t>confecciona</t>
  </si>
  <si>
    <t>atende</t>
  </si>
  <si>
    <t>adjudica</t>
  </si>
  <si>
    <t>acao_operacional</t>
  </si>
  <si>
    <t>caracterizado_pelo</t>
  </si>
  <si>
    <t>NF</t>
  </si>
  <si>
    <t>Origem</t>
  </si>
  <si>
    <t>Pós-graduação</t>
  </si>
  <si>
    <t>Graduação</t>
  </si>
  <si>
    <t>Externo</t>
  </si>
  <si>
    <t>nivel_emprego_defesa</t>
  </si>
  <si>
    <t>cmd_fcj</t>
  </si>
  <si>
    <t>plano_campanha</t>
  </si>
  <si>
    <t>estrategia</t>
  </si>
  <si>
    <t>meio_adjudicado</t>
  </si>
  <si>
    <t>op_tatica</t>
  </si>
  <si>
    <t>cmd_fcte</t>
  </si>
  <si>
    <t>militar</t>
  </si>
  <si>
    <t>cmt_c_log</t>
  </si>
  <si>
    <t>f_cj</t>
  </si>
  <si>
    <t>ai_ar</t>
  </si>
  <si>
    <t>planej_militar_campanha</t>
  </si>
  <si>
    <t>diretrizes_planos</t>
  </si>
  <si>
    <t>diretrizes_acoes_estrategicas</t>
  </si>
  <si>
    <t>coordenam</t>
  </si>
  <si>
    <t>produzem</t>
  </si>
  <si>
    <t>niveL_op</t>
  </si>
  <si>
    <t>ordem_operacoes</t>
  </si>
  <si>
    <t>desmembrado</t>
  </si>
  <si>
    <t>dirigido_por</t>
  </si>
  <si>
    <t>norte</t>
  </si>
  <si>
    <t>operacionais</t>
  </si>
  <si>
    <t>politicos</t>
  </si>
  <si>
    <t>cmd_oper</t>
  </si>
  <si>
    <t>planos_oper</t>
  </si>
  <si>
    <t>areas_responsabilidade</t>
  </si>
  <si>
    <t>planos_taticos_f_comp</t>
  </si>
  <si>
    <t>plan_militar_campanha</t>
  </si>
  <si>
    <t>atrelado</t>
  </si>
  <si>
    <t>external_dependence</t>
  </si>
  <si>
    <t>politica</t>
  </si>
  <si>
    <t>characterization</t>
  </si>
  <si>
    <t>aaaaaa</t>
  </si>
  <si>
    <t>bbbbbb</t>
  </si>
  <si>
    <t>ccccccc</t>
  </si>
  <si>
    <t>dddddd</t>
  </si>
  <si>
    <t>eeeeee</t>
  </si>
  <si>
    <t>fffffffff</t>
  </si>
  <si>
    <t>gggggg</t>
  </si>
  <si>
    <t>hhhhhh</t>
  </si>
  <si>
    <t>iiiiiiiiii</t>
  </si>
  <si>
    <t>jjjjjjjjjjj</t>
  </si>
  <si>
    <t>kkkkkk</t>
  </si>
  <si>
    <t>lllllllllll</t>
  </si>
  <si>
    <t>mmm</t>
  </si>
  <si>
    <t>nnnnnnnn</t>
  </si>
  <si>
    <t>ooooooo</t>
  </si>
  <si>
    <t>ppppppp</t>
  </si>
  <si>
    <t>qqqqqq</t>
  </si>
  <si>
    <t>rrrrrrrr</t>
  </si>
  <si>
    <t>ssssssss</t>
  </si>
  <si>
    <t>ttttttttt</t>
  </si>
  <si>
    <t>uuuuuu</t>
  </si>
  <si>
    <t>vvvvvvv</t>
  </si>
  <si>
    <t>xxxxxxx</t>
  </si>
  <si>
    <t>zzzzzzzz</t>
  </si>
  <si>
    <t>ababababababa</t>
  </si>
  <si>
    <t>acacacacacacaca</t>
  </si>
  <si>
    <t>babababababa</t>
  </si>
  <si>
    <t>kaklsolalaolsoal</t>
  </si>
  <si>
    <t>allkskskakakl</t>
  </si>
  <si>
    <t>allalslakska</t>
  </si>
  <si>
    <t>kallslskakka</t>
  </si>
  <si>
    <t>alakksjksijjka</t>
  </si>
  <si>
    <t>akklskskkajjkakl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</si>
</sst>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4" fillId="9" borderId="1" xfId="0" applyFont="1" applyFill="1" applyBorder="1"/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4" fillId="2" borderId="1" xfId="0" applyFont="1" applyFill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0" fillId="10" borderId="0" xfId="0" applyFill="1"/>
    <xf numFmtId="0" fontId="0" fillId="10" borderId="1" xfId="0" applyFill="1" applyBorder="1"/>
    <xf numFmtId="0" fontId="7" fillId="9" borderId="0" xfId="0" applyFont="1" applyFill="1"/>
    <xf numFmtId="0" fontId="6" fillId="10" borderId="1" xfId="0" applyFont="1" applyFill="1" applyBorder="1"/>
    <xf numFmtId="0" fontId="6" fillId="10" borderId="1" xfId="0" applyFont="1" applyFill="1" applyBorder="1" applyAlignment="1">
      <alignment horizontal="center" vertical="center"/>
    </xf>
    <xf numFmtId="0" fontId="0" fillId="0" borderId="4" xfId="0" applyBorder="1"/>
    <xf numFmtId="0" fontId="2" fillId="7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/>
    <xf numFmtId="0" fontId="2" fillId="11" borderId="2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7" borderId="0" xfId="0" applyFont="1" applyFill="1"/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1" fillId="9" borderId="1" xfId="0" applyFont="1" applyFill="1" applyBorder="1"/>
    <xf numFmtId="0" fontId="1" fillId="12" borderId="1" xfId="0" applyFont="1" applyFill="1" applyBorder="1"/>
    <xf numFmtId="0" fontId="2" fillId="13" borderId="1" xfId="0" applyFont="1" applyFill="1" applyBorder="1"/>
    <xf numFmtId="1" fontId="0" fillId="10" borderId="1" xfId="0" applyNumberFormat="1" applyFill="1" applyBorder="1" applyAlignment="1">
      <alignment horizontal="center"/>
    </xf>
    <xf numFmtId="9" fontId="0" fillId="10" borderId="1" xfId="0" applyNumberFormat="1" applyFill="1" applyBorder="1" applyAlignment="1">
      <alignment horizontal="center"/>
    </xf>
    <xf numFmtId="0" fontId="2" fillId="0" borderId="1" xfId="0" applyFont="1" applyBorder="1"/>
    <xf numFmtId="1" fontId="0" fillId="7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/>
    <xf numFmtId="0" fontId="6" fillId="14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left" wrapText="1"/>
    </xf>
    <xf numFmtId="0" fontId="0" fillId="0" borderId="6" xfId="0" applyBorder="1"/>
    <xf numFmtId="0" fontId="0" fillId="0" borderId="1" xfId="0" applyBorder="1" applyAlignment="1">
      <alignment horizontal="left" wrapText="1"/>
    </xf>
    <xf numFmtId="0" fontId="0" fillId="0" borderId="0" xfId="0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0" fillId="0" borderId="1" xfId="0" applyFont="1" applyBorder="1"/>
    <xf numFmtId="0" fontId="0" fillId="0" borderId="6" xfId="0" applyFont="1" applyBorder="1"/>
    <xf numFmtId="10" fontId="0" fillId="0" borderId="0" xfId="0" applyNumberFormat="1"/>
    <xf numFmtId="10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10" fontId="6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/>
    <xf numFmtId="0" fontId="6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 wrapText="1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wrapText="1"/>
    </xf>
    <xf numFmtId="0" fontId="2" fillId="5" borderId="1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9" borderId="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/>
            </a:pPr>
            <a:r>
              <a:rPr lang="pt-BR"/>
              <a:t>Resultados</a:t>
            </a:r>
            <a:r>
              <a:rPr lang="pt-BR" baseline="0"/>
              <a:t> da comparação entre objetos de (KG x MC)</a:t>
            </a:r>
            <a:endParaRPr lang="pt-BR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CONSOLIDADO!$A$3</c:f>
              <c:strCache>
                <c:ptCount val="1"/>
                <c:pt idx="0">
                  <c:v>ENTIDADES</c:v>
                </c:pt>
              </c:strCache>
            </c:strRef>
          </c:tx>
          <c:cat>
            <c:strRef>
              <c:f>CONSOLIDADO!$B$2:$G$2</c:f>
              <c:strCache>
                <c:ptCount val="6"/>
                <c:pt idx="0">
                  <c:v>N. ELEM {KG}</c:v>
                </c:pt>
                <c:pt idx="1">
                  <c:v>N. ELEM {MC}</c:v>
                </c:pt>
                <c:pt idx="2">
                  <c:v>TP</c:v>
                </c:pt>
                <c:pt idx="3">
                  <c:v>TN</c:v>
                </c:pt>
                <c:pt idx="4">
                  <c:v>FN</c:v>
                </c:pt>
                <c:pt idx="5">
                  <c:v>FP</c:v>
                </c:pt>
              </c:strCache>
            </c:strRef>
          </c:cat>
          <c:val>
            <c:numRef>
              <c:f>CONSOLIDADO!$B$3:$G$3</c:f>
              <c:numCache>
                <c:formatCode>0</c:formatCode>
                <c:ptCount val="6"/>
                <c:pt idx="0" formatCode="General">
                  <c:v>29</c:v>
                </c:pt>
                <c:pt idx="1">
                  <c:v>24.36</c:v>
                </c:pt>
                <c:pt idx="2">
                  <c:v>12.88</c:v>
                </c:pt>
                <c:pt idx="3">
                  <c:v>12.88</c:v>
                </c:pt>
                <c:pt idx="4">
                  <c:v>16.119999999999997</c:v>
                </c:pt>
                <c:pt idx="5">
                  <c:v>11.479999999999999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A6B-4D7E-AE9E-69C837EB5729}"/>
            </c:ext>
          </c:extLst>
        </c:ser>
        <c:ser>
          <c:idx val="1"/>
          <c:order val="1"/>
          <c:tx>
            <c:strRef>
              <c:f>CONSOLIDADO!$A$4</c:f>
              <c:strCache>
                <c:ptCount val="1"/>
                <c:pt idx="0">
                  <c:v>RELAÇÕES (SR)</c:v>
                </c:pt>
              </c:strCache>
            </c:strRef>
          </c:tx>
          <c:cat>
            <c:strRef>
              <c:f>CONSOLIDADO!$B$2:$G$2</c:f>
              <c:strCache>
                <c:ptCount val="6"/>
                <c:pt idx="0">
                  <c:v>N. ELEM {KG}</c:v>
                </c:pt>
                <c:pt idx="1">
                  <c:v>N. ELEM {MC}</c:v>
                </c:pt>
                <c:pt idx="2">
                  <c:v>TP</c:v>
                </c:pt>
                <c:pt idx="3">
                  <c:v>TN</c:v>
                </c:pt>
                <c:pt idx="4">
                  <c:v>FN</c:v>
                </c:pt>
                <c:pt idx="5">
                  <c:v>FP</c:v>
                </c:pt>
              </c:strCache>
            </c:strRef>
          </c:cat>
          <c:val>
            <c:numRef>
              <c:f>CONSOLIDADO!$B$4:$G$4</c:f>
              <c:numCache>
                <c:formatCode>0</c:formatCode>
                <c:ptCount val="6"/>
                <c:pt idx="0" formatCode="General">
                  <c:v>41</c:v>
                </c:pt>
                <c:pt idx="1">
                  <c:v>25.36</c:v>
                </c:pt>
                <c:pt idx="2">
                  <c:v>6.76</c:v>
                </c:pt>
                <c:pt idx="3">
                  <c:v>6.759999999999998</c:v>
                </c:pt>
                <c:pt idx="4">
                  <c:v>34.24</c:v>
                </c:pt>
                <c:pt idx="5">
                  <c:v>18.600000000000001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A6B-4D7E-AE9E-69C837EB5729}"/>
            </c:ext>
          </c:extLst>
        </c:ser>
        <c:ser>
          <c:idx val="2"/>
          <c:order val="2"/>
          <c:tx>
            <c:strRef>
              <c:f>CONSOLIDADO!$A$5</c:f>
              <c:strCache>
                <c:ptCount val="1"/>
                <c:pt idx="0">
                  <c:v>RELAÇÕES (CR)</c:v>
                </c:pt>
              </c:strCache>
            </c:strRef>
          </c:tx>
          <c:cat>
            <c:strRef>
              <c:f>CONSOLIDADO!$B$2:$G$2</c:f>
              <c:strCache>
                <c:ptCount val="6"/>
                <c:pt idx="0">
                  <c:v>N. ELEM {KG}</c:v>
                </c:pt>
                <c:pt idx="1">
                  <c:v>N. ELEM {MC}</c:v>
                </c:pt>
                <c:pt idx="2">
                  <c:v>TP</c:v>
                </c:pt>
                <c:pt idx="3">
                  <c:v>TN</c:v>
                </c:pt>
                <c:pt idx="4">
                  <c:v>FN</c:v>
                </c:pt>
                <c:pt idx="5">
                  <c:v>FP</c:v>
                </c:pt>
              </c:strCache>
            </c:strRef>
          </c:cat>
          <c:val>
            <c:numRef>
              <c:f>CONSOLIDADO!$B$5:$G$5</c:f>
              <c:numCache>
                <c:formatCode>0</c:formatCode>
                <c:ptCount val="6"/>
                <c:pt idx="0" formatCode="General">
                  <c:v>41</c:v>
                </c:pt>
                <c:pt idx="1">
                  <c:v>25.36</c:v>
                </c:pt>
                <c:pt idx="2">
                  <c:v>6.24</c:v>
                </c:pt>
                <c:pt idx="3">
                  <c:v>6.240000000000002</c:v>
                </c:pt>
                <c:pt idx="4">
                  <c:v>34.76</c:v>
                </c:pt>
                <c:pt idx="5">
                  <c:v>19.119999999999997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A6B-4D7E-AE9E-69C837EB5729}"/>
            </c:ext>
          </c:extLst>
        </c:ser>
        <c:axId val="79835136"/>
        <c:axId val="79836672"/>
      </c:barChart>
      <c:catAx>
        <c:axId val="79835136"/>
        <c:scaling>
          <c:orientation val="minMax"/>
        </c:scaling>
        <c:axPos val="b"/>
        <c:numFmt formatCode="General" sourceLinked="0"/>
        <c:majorTickMark val="none"/>
        <c:tickLblPos val="nextTo"/>
        <c:crossAx val="79836672"/>
        <c:crosses val="autoZero"/>
        <c:auto val="1"/>
        <c:lblAlgn val="ctr"/>
        <c:lblOffset val="100"/>
      </c:catAx>
      <c:valAx>
        <c:axId val="7983667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79835136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</c:chart>
  <c:printSettings>
    <c:headerFooter/>
    <c:pageMargins b="0.78740157499999996" l="0.511811024" r="0.511811024" t="0.78740157499999996" header="0.31496062000000091" footer="0.3149606200000009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/>
            </a:pPr>
            <a:r>
              <a:rPr lang="pt-BR" baseline="0"/>
              <a:t>Níveis de compatibilidade e incompatibilidade</a:t>
            </a:r>
          </a:p>
          <a:p>
            <a:pPr>
              <a:defRPr/>
            </a:pPr>
            <a:r>
              <a:rPr lang="pt-BR" baseline="0"/>
              <a:t>(KG x MC)</a:t>
            </a:r>
            <a:endParaRPr lang="pt-BR"/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CONSOLIDADO!$H$2</c:f>
              <c:strCache>
                <c:ptCount val="1"/>
                <c:pt idx="0">
                  <c:v>COMPATÍVEIS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CONSOLIDADO!$A$3:$A$5</c:f>
              <c:strCache>
                <c:ptCount val="3"/>
                <c:pt idx="0">
                  <c:v>ENTIDADES</c:v>
                </c:pt>
                <c:pt idx="1">
                  <c:v>RELAÇÕES (SR)</c:v>
                </c:pt>
                <c:pt idx="2">
                  <c:v>RELAÇÕES (CR)</c:v>
                </c:pt>
              </c:strCache>
            </c:strRef>
          </c:cat>
          <c:val>
            <c:numRef>
              <c:f>CONSOLIDADO!$H$3:$H$5</c:f>
              <c:numCache>
                <c:formatCode>0</c:formatCode>
                <c:ptCount val="3"/>
                <c:pt idx="0">
                  <c:v>25.76</c:v>
                </c:pt>
                <c:pt idx="1">
                  <c:v>13.519999999999998</c:v>
                </c:pt>
                <c:pt idx="2">
                  <c:v>12.480000000000002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641-4323-9B64-D0F6B1AE444C}"/>
            </c:ext>
          </c:extLst>
        </c:ser>
        <c:ser>
          <c:idx val="1"/>
          <c:order val="1"/>
          <c:tx>
            <c:strRef>
              <c:f>CONSOLIDADO!$I$2</c:f>
              <c:strCache>
                <c:ptCount val="1"/>
                <c:pt idx="0">
                  <c:v>INCOMPATÍVEIS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CONSOLIDADO!$A$3:$A$5</c:f>
              <c:strCache>
                <c:ptCount val="3"/>
                <c:pt idx="0">
                  <c:v>ENTIDADES</c:v>
                </c:pt>
                <c:pt idx="1">
                  <c:v>RELAÇÕES (SR)</c:v>
                </c:pt>
                <c:pt idx="2">
                  <c:v>RELAÇÕES (CR)</c:v>
                </c:pt>
              </c:strCache>
            </c:strRef>
          </c:cat>
          <c:val>
            <c:numRef>
              <c:f>CONSOLIDADO!$I$3:$I$5</c:f>
              <c:numCache>
                <c:formatCode>0</c:formatCode>
                <c:ptCount val="3"/>
                <c:pt idx="0">
                  <c:v>27.599999999999994</c:v>
                </c:pt>
                <c:pt idx="1">
                  <c:v>52.84</c:v>
                </c:pt>
                <c:pt idx="2">
                  <c:v>53.879999999999995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641-4323-9B64-D0F6B1AE444C}"/>
            </c:ext>
          </c:extLst>
        </c:ser>
        <c:axId val="79856384"/>
        <c:axId val="79857920"/>
      </c:barChart>
      <c:catAx>
        <c:axId val="79856384"/>
        <c:scaling>
          <c:orientation val="minMax"/>
        </c:scaling>
        <c:axPos val="l"/>
        <c:numFmt formatCode="General" sourceLinked="0"/>
        <c:majorTickMark val="none"/>
        <c:tickLblPos val="nextTo"/>
        <c:crossAx val="79857920"/>
        <c:crosses val="autoZero"/>
        <c:auto val="1"/>
        <c:lblAlgn val="ctr"/>
        <c:lblOffset val="100"/>
      </c:catAx>
      <c:valAx>
        <c:axId val="79857920"/>
        <c:scaling>
          <c:orientation val="minMax"/>
        </c:scaling>
        <c:axPos val="b"/>
        <c:majorGridlines/>
        <c:numFmt formatCode="0" sourceLinked="1"/>
        <c:majorTickMark val="none"/>
        <c:tickLblPos val="nextTo"/>
        <c:crossAx val="79856384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</c:chart>
  <c:printSettings>
    <c:headerFooter/>
    <c:pageMargins b="0.78740157499999996" l="0.511811024" r="0.511811024" t="0.78740157499999996" header="0.31496062000000091" footer="0.3149606200000009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/>
            </a:pPr>
            <a:r>
              <a:rPr lang="pt-BR"/>
              <a:t>Precisão, Cobertura e Acurácia</a:t>
            </a:r>
          </a:p>
          <a:p>
            <a:pPr>
              <a:defRPr/>
            </a:pPr>
            <a:r>
              <a:rPr lang="pt-BR"/>
              <a:t>(KG</a:t>
            </a:r>
            <a:r>
              <a:rPr lang="pt-BR" baseline="0"/>
              <a:t> x MC)</a:t>
            </a:r>
            <a:endParaRPr lang="pt-BR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CONSOLIDADO!$A$3</c:f>
              <c:strCache>
                <c:ptCount val="1"/>
                <c:pt idx="0">
                  <c:v>ENTIDADES</c:v>
                </c:pt>
              </c:strCache>
            </c:strRef>
          </c:tx>
          <c:cat>
            <c:strRef>
              <c:f>CONSOLIDADO!$J$2:$L$2</c:f>
              <c:strCache>
                <c:ptCount val="3"/>
                <c:pt idx="0">
                  <c:v>PRECISÃO</c:v>
                </c:pt>
                <c:pt idx="1">
                  <c:v>COBERTURA</c:v>
                </c:pt>
                <c:pt idx="2">
                  <c:v>ACURÁCIA</c:v>
                </c:pt>
              </c:strCache>
            </c:strRef>
          </c:cat>
          <c:val>
            <c:numRef>
              <c:f>CONSOLIDADO!$J$3:$L$3</c:f>
              <c:numCache>
                <c:formatCode>0%</c:formatCode>
                <c:ptCount val="3"/>
                <c:pt idx="0">
                  <c:v>0.52873563218390807</c:v>
                </c:pt>
                <c:pt idx="1">
                  <c:v>0.44413793103448279</c:v>
                </c:pt>
                <c:pt idx="2">
                  <c:v>0.48275862068965525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74-411F-809A-9885FF738B90}"/>
            </c:ext>
          </c:extLst>
        </c:ser>
        <c:ser>
          <c:idx val="1"/>
          <c:order val="1"/>
          <c:tx>
            <c:strRef>
              <c:f>CONSOLIDADO!$A$4</c:f>
              <c:strCache>
                <c:ptCount val="1"/>
                <c:pt idx="0">
                  <c:v>RELAÇÕES (SR)</c:v>
                </c:pt>
              </c:strCache>
            </c:strRef>
          </c:tx>
          <c:cat>
            <c:strRef>
              <c:f>CONSOLIDADO!$J$2:$L$2</c:f>
              <c:strCache>
                <c:ptCount val="3"/>
                <c:pt idx="0">
                  <c:v>PRECISÃO</c:v>
                </c:pt>
                <c:pt idx="1">
                  <c:v>COBERTURA</c:v>
                </c:pt>
                <c:pt idx="2">
                  <c:v>ACURÁCIA</c:v>
                </c:pt>
              </c:strCache>
            </c:strRef>
          </c:cat>
          <c:val>
            <c:numRef>
              <c:f>CONSOLIDADO!$J$4:$L$4</c:f>
              <c:numCache>
                <c:formatCode>0%</c:formatCode>
                <c:ptCount val="3"/>
                <c:pt idx="0">
                  <c:v>0.2665615141955836</c:v>
                </c:pt>
                <c:pt idx="1">
                  <c:v>0.16487804878048781</c:v>
                </c:pt>
                <c:pt idx="2">
                  <c:v>0.20373719107896321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374-411F-809A-9885FF738B90}"/>
            </c:ext>
          </c:extLst>
        </c:ser>
        <c:ser>
          <c:idx val="2"/>
          <c:order val="2"/>
          <c:tx>
            <c:strRef>
              <c:f>CONSOLIDADO!$A$5</c:f>
              <c:strCache>
                <c:ptCount val="1"/>
                <c:pt idx="0">
                  <c:v>RELAÇÕES (CR)</c:v>
                </c:pt>
              </c:strCache>
            </c:strRef>
          </c:tx>
          <c:cat>
            <c:strRef>
              <c:f>CONSOLIDADO!$J$2:$L$2</c:f>
              <c:strCache>
                <c:ptCount val="3"/>
                <c:pt idx="0">
                  <c:v>PRECISÃO</c:v>
                </c:pt>
                <c:pt idx="1">
                  <c:v>COBERTURA</c:v>
                </c:pt>
                <c:pt idx="2">
                  <c:v>ACURÁCIA</c:v>
                </c:pt>
              </c:strCache>
            </c:strRef>
          </c:cat>
          <c:val>
            <c:numRef>
              <c:f>CONSOLIDADO!$J$5:$L$5</c:f>
              <c:numCache>
                <c:formatCode>0%</c:formatCode>
                <c:ptCount val="3"/>
                <c:pt idx="0">
                  <c:v>0.24605678233438488</c:v>
                </c:pt>
                <c:pt idx="1">
                  <c:v>0.15219512195121951</c:v>
                </c:pt>
                <c:pt idx="2">
                  <c:v>0.18806509945750455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374-411F-809A-9885FF738B90}"/>
            </c:ext>
          </c:extLst>
        </c:ser>
        <c:axId val="79886208"/>
        <c:axId val="79887744"/>
      </c:barChart>
      <c:catAx>
        <c:axId val="79886208"/>
        <c:scaling>
          <c:orientation val="minMax"/>
        </c:scaling>
        <c:axPos val="b"/>
        <c:numFmt formatCode="General" sourceLinked="0"/>
        <c:majorTickMark val="none"/>
        <c:tickLblPos val="nextTo"/>
        <c:crossAx val="79887744"/>
        <c:crosses val="autoZero"/>
        <c:auto val="1"/>
        <c:lblAlgn val="ctr"/>
        <c:lblOffset val="100"/>
      </c:catAx>
      <c:valAx>
        <c:axId val="79887744"/>
        <c:scaling>
          <c:orientation val="minMax"/>
        </c:scaling>
        <c:axPos val="l"/>
        <c:majorGridlines/>
        <c:title>
          <c:layout/>
        </c:title>
        <c:numFmt formatCode="0%" sourceLinked="1"/>
        <c:majorTickMark val="none"/>
        <c:tickLblPos val="nextTo"/>
        <c:crossAx val="79886208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</c:chart>
  <c:printSettings>
    <c:headerFooter/>
    <c:pageMargins b="0.78740157499999996" l="0.511811024" r="0.511811024" t="0.78740157499999996" header="0.31496062000000091" footer="0.3149606200000009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/>
            </a:pPr>
            <a:r>
              <a:rPr lang="pt-BR"/>
              <a:t>Análise</a:t>
            </a:r>
            <a:r>
              <a:rPr lang="pt-BR" baseline="0"/>
              <a:t> dos objetos de KG x MC</a:t>
            </a:r>
            <a:endParaRPr lang="pt-BR"/>
          </a:p>
        </c:rich>
      </c:tx>
      <c:layout/>
    </c:title>
    <c:view3D>
      <c:rotX val="30"/>
      <c:perspective val="30"/>
    </c:view3D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Percent val="1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CONSOLIDADO!$H$2:$I$2</c:f>
              <c:strCache>
                <c:ptCount val="2"/>
                <c:pt idx="0">
                  <c:v>COMPATÍVEIS</c:v>
                </c:pt>
                <c:pt idx="1">
                  <c:v>INCOMPATÍVEIS</c:v>
                </c:pt>
              </c:strCache>
            </c:strRef>
          </c:cat>
          <c:val>
            <c:numRef>
              <c:f>CONSOLIDADO!$H$3:$I$3</c:f>
              <c:numCache>
                <c:formatCode>0</c:formatCode>
                <c:ptCount val="2"/>
                <c:pt idx="0">
                  <c:v>25.76</c:v>
                </c:pt>
                <c:pt idx="1">
                  <c:v>27.599999999999994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FDB-4B93-9E15-BB94B770D4C2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showPercent val="1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CONSOLIDADO!$H$2:$I$2</c:f>
              <c:strCache>
                <c:ptCount val="2"/>
                <c:pt idx="0">
                  <c:v>COMPATÍVEIS</c:v>
                </c:pt>
                <c:pt idx="1">
                  <c:v>INCOMPATÍVEIS</c:v>
                </c:pt>
              </c:strCache>
            </c:strRef>
          </c:cat>
          <c:val>
            <c:numRef>
              <c:f>CONSOLIDADO!$H$4:$I$4</c:f>
              <c:numCache>
                <c:formatCode>0</c:formatCode>
                <c:ptCount val="2"/>
                <c:pt idx="0">
                  <c:v>13.519999999999998</c:v>
                </c:pt>
                <c:pt idx="1">
                  <c:v>52.84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FDB-4B93-9E15-BB94B770D4C2}"/>
            </c:ext>
          </c:extLst>
        </c:ser>
        <c:ser>
          <c:idx val="2"/>
          <c:order val="2"/>
          <c:dLbls>
            <c:spPr>
              <a:noFill/>
              <a:ln>
                <a:noFill/>
              </a:ln>
              <a:effectLst/>
            </c:spPr>
            <c:showPercent val="1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CONSOLIDADO!$H$2:$I$2</c:f>
              <c:strCache>
                <c:ptCount val="2"/>
                <c:pt idx="0">
                  <c:v>COMPATÍVEIS</c:v>
                </c:pt>
                <c:pt idx="1">
                  <c:v>INCOMPATÍVEIS</c:v>
                </c:pt>
              </c:strCache>
            </c:strRef>
          </c:cat>
          <c:val>
            <c:numRef>
              <c:f>CONSOLIDADO!$H$5:$I$5</c:f>
              <c:numCache>
                <c:formatCode>0</c:formatCode>
                <c:ptCount val="2"/>
                <c:pt idx="0">
                  <c:v>12.480000000000002</c:v>
                </c:pt>
                <c:pt idx="1">
                  <c:v>53.879999999999995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FDB-4B93-9E15-BB94B770D4C2}"/>
            </c:ext>
          </c:extLst>
        </c:ser>
        <c:dLbls>
          <c:showPercent val="1"/>
        </c:dLbls>
      </c:pie3DChart>
    </c:plotArea>
    <c:legend>
      <c:legendPos val="t"/>
      <c:layout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zero"/>
  </c:chart>
  <c:printSettings>
    <c:headerFooter/>
    <c:pageMargins b="0.78740157499999996" l="0.511811024" r="0.511811024" t="0.78740157499999996" header="0.31496062000000075" footer="0.3149606200000007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32657</xdr:colOff>
      <xdr:row>6</xdr:row>
      <xdr:rowOff>21770</xdr:rowOff>
    </xdr:from>
    <xdr:to>
      <xdr:col>5</xdr:col>
      <xdr:colOff>544286</xdr:colOff>
      <xdr:row>26</xdr:row>
      <xdr:rowOff>87084</xdr:rowOff>
    </xdr:to>
    <xdr:graphicFrame macro="">
      <xdr:nvGraphicFramePr>
        <xdr:cNvPr id="3" name="Gráfico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604157</xdr:colOff>
      <xdr:row>6</xdr:row>
      <xdr:rowOff>10884</xdr:rowOff>
    </xdr:from>
    <xdr:to>
      <xdr:col>12</xdr:col>
      <xdr:colOff>38100</xdr:colOff>
      <xdr:row>26</xdr:row>
      <xdr:rowOff>87084</xdr:rowOff>
    </xdr:to>
    <xdr:graphicFrame macro="">
      <xdr:nvGraphicFramePr>
        <xdr:cNvPr id="5" name="Gráfico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103414</xdr:colOff>
      <xdr:row>6</xdr:row>
      <xdr:rowOff>16327</xdr:rowOff>
    </xdr:from>
    <xdr:to>
      <xdr:col>19</xdr:col>
      <xdr:colOff>103414</xdr:colOff>
      <xdr:row>26</xdr:row>
      <xdr:rowOff>76199</xdr:rowOff>
    </xdr:to>
    <xdr:graphicFrame macro="">
      <xdr:nvGraphicFramePr>
        <xdr:cNvPr id="6" name="Gráfico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38419</xdr:colOff>
      <xdr:row>27</xdr:row>
      <xdr:rowOff>32016</xdr:rowOff>
    </xdr:from>
    <xdr:to>
      <xdr:col>5</xdr:col>
      <xdr:colOff>550688</xdr:colOff>
      <xdr:row>41</xdr:row>
      <xdr:rowOff>172891</xdr:rowOff>
    </xdr:to>
    <xdr:graphicFrame macro="">
      <xdr:nvGraphicFramePr>
        <xdr:cNvPr id="7" name="Gráfico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7"/>
  <sheetViews>
    <sheetView zoomScale="85" zoomScaleNormal="85" workbookViewId="0">
      <selection activeCell="L15" sqref="L15"/>
    </sheetView>
  </sheetViews>
  <sheetFormatPr defaultRowHeight="14.6"/>
  <cols>
    <col min="1" max="1" width="10.84375" bestFit="1" customWidth="1"/>
    <col min="2" max="2" width="45.3046875" customWidth="1"/>
    <col min="3" max="3" width="36.84375" bestFit="1" customWidth="1"/>
    <col min="4" max="4" width="15.921875" customWidth="1"/>
    <col min="6" max="6" width="10.3046875" bestFit="1" customWidth="1"/>
    <col min="7" max="8" width="10.3046875" customWidth="1"/>
    <col min="9" max="9" width="43.3046875" style="24" hidden="1" customWidth="1"/>
    <col min="10" max="10" width="19.84375" style="24" hidden="1" customWidth="1"/>
    <col min="11" max="19" width="9.3046875" style="24"/>
  </cols>
  <sheetData>
    <row r="1" spans="1:16" ht="18.45">
      <c r="A1" s="22" t="s">
        <v>175</v>
      </c>
      <c r="B1" s="22" t="s">
        <v>173</v>
      </c>
      <c r="C1" s="22" t="s">
        <v>174</v>
      </c>
      <c r="D1" s="22" t="s">
        <v>440</v>
      </c>
      <c r="E1" s="23" t="s">
        <v>176</v>
      </c>
      <c r="F1" s="22" t="s">
        <v>179</v>
      </c>
      <c r="G1" s="22" t="s">
        <v>331</v>
      </c>
      <c r="H1" s="23" t="s">
        <v>439</v>
      </c>
      <c r="I1" s="22"/>
      <c r="J1" s="22"/>
      <c r="K1" s="26" t="s">
        <v>180</v>
      </c>
      <c r="L1" s="26"/>
      <c r="M1" s="26"/>
      <c r="N1" s="26"/>
      <c r="O1" s="26"/>
      <c r="P1" s="26"/>
    </row>
    <row r="2" spans="1:16" ht="18.45">
      <c r="A2" s="18">
        <v>1</v>
      </c>
      <c r="B2" s="19" t="s">
        <v>476</v>
      </c>
      <c r="C2" s="19" t="s">
        <v>476</v>
      </c>
      <c r="D2" s="19" t="s">
        <v>441</v>
      </c>
      <c r="E2" s="18" t="s">
        <v>177</v>
      </c>
      <c r="F2" s="18" t="s">
        <v>178</v>
      </c>
      <c r="G2" s="18">
        <v>8</v>
      </c>
      <c r="H2" s="63">
        <f>MODELAGEM_1!X$7</f>
        <v>0.34941447450847618</v>
      </c>
      <c r="I2" s="48"/>
      <c r="J2" s="25"/>
      <c r="K2" s="82" t="s">
        <v>176</v>
      </c>
      <c r="L2" s="27" t="s">
        <v>178</v>
      </c>
      <c r="M2" s="28">
        <f>COUNTIF($E$2:$E$58,"=Sim")</f>
        <v>19</v>
      </c>
      <c r="N2" s="83" t="s">
        <v>179</v>
      </c>
      <c r="O2" s="27" t="s">
        <v>178</v>
      </c>
      <c r="P2" s="28">
        <f>COUNTIF($E$2:$E$58,"=Sim")</f>
        <v>19</v>
      </c>
    </row>
    <row r="3" spans="1:16" ht="18.45">
      <c r="A3" s="18">
        <v>2</v>
      </c>
      <c r="B3" s="19" t="s">
        <v>477</v>
      </c>
      <c r="C3" s="19" t="s">
        <v>477</v>
      </c>
      <c r="D3" s="19" t="s">
        <v>441</v>
      </c>
      <c r="E3" s="18" t="s">
        <v>177</v>
      </c>
      <c r="F3" s="18" t="s">
        <v>178</v>
      </c>
      <c r="G3" s="18">
        <v>8</v>
      </c>
      <c r="H3" s="63">
        <f>MODELAGEM_2!X$7</f>
        <v>0.12621495056792964</v>
      </c>
      <c r="I3" s="48"/>
      <c r="J3" s="25"/>
      <c r="K3" s="82"/>
      <c r="L3" s="27" t="s">
        <v>177</v>
      </c>
      <c r="M3" s="28">
        <f>COUNTIF($E$2:$E$58,"=Não")</f>
        <v>14</v>
      </c>
      <c r="N3" s="83"/>
      <c r="O3" s="27" t="s">
        <v>177</v>
      </c>
      <c r="P3" s="28">
        <f>COUNTIF($E$2:$E$58,"=Não")</f>
        <v>14</v>
      </c>
    </row>
    <row r="4" spans="1:16" ht="18.45">
      <c r="A4" s="18">
        <v>3</v>
      </c>
      <c r="B4" s="19" t="s">
        <v>478</v>
      </c>
      <c r="C4" s="19" t="s">
        <v>478</v>
      </c>
      <c r="D4" s="19" t="s">
        <v>441</v>
      </c>
      <c r="E4" s="18" t="s">
        <v>177</v>
      </c>
      <c r="F4" s="18" t="s">
        <v>178</v>
      </c>
      <c r="G4" s="18">
        <v>4</v>
      </c>
      <c r="H4" s="63">
        <f>MODELAGEM_3!X$7</f>
        <v>0.29203146423252296</v>
      </c>
      <c r="I4" s="48"/>
      <c r="J4" s="25"/>
    </row>
    <row r="5" spans="1:16" ht="18.45">
      <c r="A5" s="18">
        <v>4</v>
      </c>
      <c r="B5" s="19" t="s">
        <v>479</v>
      </c>
      <c r="C5" s="19" t="s">
        <v>479</v>
      </c>
      <c r="D5" s="19" t="s">
        <v>441</v>
      </c>
      <c r="E5" s="18" t="s">
        <v>178</v>
      </c>
      <c r="F5" s="18" t="s">
        <v>178</v>
      </c>
      <c r="G5" s="18">
        <v>8</v>
      </c>
      <c r="H5" s="63">
        <f>MODELAGEM_4!X$7</f>
        <v>0.23424516034918152</v>
      </c>
      <c r="I5" s="48"/>
      <c r="J5" s="25"/>
    </row>
    <row r="6" spans="1:16" ht="31.75" customHeight="1">
      <c r="A6" s="18">
        <v>5</v>
      </c>
      <c r="B6" s="19" t="s">
        <v>480</v>
      </c>
      <c r="C6" s="19" t="s">
        <v>480</v>
      </c>
      <c r="D6" s="19" t="s">
        <v>442</v>
      </c>
      <c r="E6" s="18" t="s">
        <v>177</v>
      </c>
      <c r="F6" s="18" t="s">
        <v>178</v>
      </c>
      <c r="G6" s="18">
        <v>8</v>
      </c>
      <c r="H6" s="63">
        <f>MODELAGEM_5!X$7</f>
        <v>0.38358842571626428</v>
      </c>
      <c r="I6" s="48"/>
      <c r="J6" s="25"/>
    </row>
    <row r="7" spans="1:16" ht="23.15" customHeight="1">
      <c r="A7" s="18">
        <v>6</v>
      </c>
      <c r="B7" s="19" t="s">
        <v>481</v>
      </c>
      <c r="C7" s="19" t="s">
        <v>481</v>
      </c>
      <c r="D7" s="19" t="s">
        <v>442</v>
      </c>
      <c r="E7" s="18" t="s">
        <v>177</v>
      </c>
      <c r="F7" s="18" t="s">
        <v>178</v>
      </c>
      <c r="G7" s="18">
        <v>8.5</v>
      </c>
      <c r="H7" s="63">
        <f>MODELAGEM_6!X$7</f>
        <v>0.37797161129373075</v>
      </c>
      <c r="I7" s="48"/>
      <c r="J7" s="25"/>
    </row>
    <row r="8" spans="1:16" ht="21.9" customHeight="1">
      <c r="A8" s="66">
        <v>7</v>
      </c>
      <c r="B8" s="67" t="s">
        <v>482</v>
      </c>
      <c r="C8" s="67" t="s">
        <v>482</v>
      </c>
      <c r="D8" s="67" t="s">
        <v>442</v>
      </c>
      <c r="E8" s="66" t="s">
        <v>178</v>
      </c>
      <c r="F8" s="66" t="s">
        <v>178</v>
      </c>
      <c r="G8" s="66">
        <v>8.5</v>
      </c>
      <c r="H8" s="68">
        <f>MODELAGEM_7!X$7</f>
        <v>0.30397496294097492</v>
      </c>
      <c r="I8" s="69"/>
      <c r="J8" s="70" t="s">
        <v>176</v>
      </c>
    </row>
    <row r="9" spans="1:16" ht="27.55" customHeight="1">
      <c r="A9" s="66">
        <v>8</v>
      </c>
      <c r="B9" s="67" t="s">
        <v>483</v>
      </c>
      <c r="C9" s="67" t="s">
        <v>483</v>
      </c>
      <c r="D9" s="67" t="s">
        <v>442</v>
      </c>
      <c r="E9" s="66" t="s">
        <v>178</v>
      </c>
      <c r="F9" s="66" t="s">
        <v>178</v>
      </c>
      <c r="G9" s="66">
        <v>8</v>
      </c>
      <c r="H9" s="68">
        <f>MODELAGEM_8!X$7</f>
        <v>0.21477206405830507</v>
      </c>
      <c r="I9" s="69"/>
      <c r="J9" s="70" t="s">
        <v>176</v>
      </c>
    </row>
    <row r="10" spans="1:16" ht="22.3" customHeight="1">
      <c r="A10" s="18">
        <v>9</v>
      </c>
      <c r="B10" s="19" t="s">
        <v>484</v>
      </c>
      <c r="C10" s="19" t="s">
        <v>484</v>
      </c>
      <c r="D10" s="19" t="s">
        <v>442</v>
      </c>
      <c r="E10" s="18" t="s">
        <v>177</v>
      </c>
      <c r="F10" s="18" t="s">
        <v>178</v>
      </c>
      <c r="G10" s="18">
        <v>6</v>
      </c>
      <c r="H10" s="63">
        <f>MODELAGEM_9!X$7</f>
        <v>0.31511939391202132</v>
      </c>
      <c r="I10" s="48"/>
      <c r="J10" s="39"/>
    </row>
    <row r="11" spans="1:16" ht="21.45" customHeight="1">
      <c r="A11" s="66">
        <v>11</v>
      </c>
      <c r="B11" s="67" t="s">
        <v>485</v>
      </c>
      <c r="C11" s="67" t="s">
        <v>485</v>
      </c>
      <c r="D11" s="67" t="s">
        <v>442</v>
      </c>
      <c r="E11" s="66" t="s">
        <v>178</v>
      </c>
      <c r="F11" s="66" t="s">
        <v>178</v>
      </c>
      <c r="G11" s="66">
        <v>8</v>
      </c>
      <c r="H11" s="68">
        <f>MODELAGEM_11!X$7</f>
        <v>0.28676228437792778</v>
      </c>
      <c r="I11" s="69"/>
      <c r="J11" s="70" t="s">
        <v>176</v>
      </c>
    </row>
    <row r="12" spans="1:16" ht="24.45" customHeight="1">
      <c r="A12" s="18">
        <v>12</v>
      </c>
      <c r="B12" s="19" t="s">
        <v>486</v>
      </c>
      <c r="C12" s="19" t="s">
        <v>486</v>
      </c>
      <c r="D12" s="19" t="s">
        <v>442</v>
      </c>
      <c r="E12" s="18" t="s">
        <v>177</v>
      </c>
      <c r="F12" s="18" t="s">
        <v>178</v>
      </c>
      <c r="G12" s="18">
        <v>7</v>
      </c>
      <c r="H12" s="63">
        <f>MODELAGEM_12!X$7</f>
        <v>0.19258602993478538</v>
      </c>
      <c r="I12" s="48"/>
      <c r="J12" s="39"/>
    </row>
    <row r="13" spans="1:16" ht="23.6" customHeight="1">
      <c r="A13" s="66">
        <v>13</v>
      </c>
      <c r="B13" s="67" t="s">
        <v>487</v>
      </c>
      <c r="C13" s="67" t="s">
        <v>487</v>
      </c>
      <c r="D13" s="67" t="s">
        <v>442</v>
      </c>
      <c r="E13" s="66" t="s">
        <v>178</v>
      </c>
      <c r="F13" s="66" t="s">
        <v>178</v>
      </c>
      <c r="G13" s="66">
        <v>8</v>
      </c>
      <c r="H13" s="68">
        <f>MODELAGEM_13!X$7</f>
        <v>0.34096503033610398</v>
      </c>
      <c r="I13" s="69"/>
      <c r="J13" s="70" t="s">
        <v>176</v>
      </c>
    </row>
    <row r="14" spans="1:16" ht="28.3" customHeight="1">
      <c r="A14" s="18">
        <v>15</v>
      </c>
      <c r="B14" s="19" t="s">
        <v>488</v>
      </c>
      <c r="C14" s="19" t="s">
        <v>488</v>
      </c>
      <c r="D14" s="19" t="s">
        <v>442</v>
      </c>
      <c r="E14" s="18" t="s">
        <v>177</v>
      </c>
      <c r="F14" s="18" t="s">
        <v>178</v>
      </c>
      <c r="G14" s="18">
        <v>7</v>
      </c>
      <c r="H14" s="63">
        <f>MODELAGEM_15!X$7</f>
        <v>0.37417153622511085</v>
      </c>
      <c r="I14" s="49"/>
      <c r="J14" s="25"/>
    </row>
    <row r="15" spans="1:16" ht="30" customHeight="1">
      <c r="A15" s="18">
        <v>16</v>
      </c>
      <c r="B15" s="50" t="s">
        <v>489</v>
      </c>
      <c r="C15" s="50" t="s">
        <v>489</v>
      </c>
      <c r="D15" s="19" t="s">
        <v>442</v>
      </c>
      <c r="E15" s="18" t="s">
        <v>177</v>
      </c>
      <c r="F15" s="18" t="s">
        <v>178</v>
      </c>
      <c r="G15" s="18">
        <v>8</v>
      </c>
      <c r="H15" s="63">
        <f>MODELAGEM_16!X$7</f>
        <v>0.26397449428543279</v>
      </c>
      <c r="I15" s="48"/>
      <c r="J15" s="39"/>
    </row>
    <row r="16" spans="1:16" ht="27" customHeight="1">
      <c r="A16" s="66">
        <v>17</v>
      </c>
      <c r="B16" s="71" t="s">
        <v>490</v>
      </c>
      <c r="C16" s="71" t="s">
        <v>490</v>
      </c>
      <c r="D16" s="67" t="s">
        <v>442</v>
      </c>
      <c r="E16" s="66" t="s">
        <v>178</v>
      </c>
      <c r="F16" s="66" t="s">
        <v>178</v>
      </c>
      <c r="G16" s="66">
        <v>7</v>
      </c>
      <c r="H16" s="68">
        <f>MODELAGEM_17!X$7</f>
        <v>0.41920927282469073</v>
      </c>
      <c r="I16" s="72"/>
      <c r="J16" s="70" t="s">
        <v>176</v>
      </c>
    </row>
    <row r="17" spans="1:10" ht="18.45">
      <c r="A17" s="66">
        <v>18</v>
      </c>
      <c r="B17" s="71" t="s">
        <v>491</v>
      </c>
      <c r="C17" s="71" t="s">
        <v>491</v>
      </c>
      <c r="D17" s="67" t="s">
        <v>442</v>
      </c>
      <c r="E17" s="66" t="s">
        <v>178</v>
      </c>
      <c r="F17" s="66" t="s">
        <v>178</v>
      </c>
      <c r="G17" s="66">
        <v>8</v>
      </c>
      <c r="H17" s="68">
        <f>MODELAGEM_18!X$7</f>
        <v>0.39810584434781077</v>
      </c>
      <c r="I17" s="69"/>
      <c r="J17" s="70" t="s">
        <v>176</v>
      </c>
    </row>
    <row r="18" spans="1:10" ht="26.6" customHeight="1">
      <c r="A18" s="18">
        <v>19</v>
      </c>
      <c r="B18" s="50" t="s">
        <v>492</v>
      </c>
      <c r="C18" s="50" t="s">
        <v>492</v>
      </c>
      <c r="D18" s="19" t="s">
        <v>442</v>
      </c>
      <c r="E18" s="18" t="s">
        <v>177</v>
      </c>
      <c r="F18" s="18" t="s">
        <v>178</v>
      </c>
      <c r="G18" s="18">
        <v>9</v>
      </c>
      <c r="H18" s="63">
        <f>MODELAGEM_19!X$7</f>
        <v>0.34367152577930021</v>
      </c>
      <c r="I18" s="48"/>
      <c r="J18" s="39"/>
    </row>
    <row r="19" spans="1:10" ht="26.6" customHeight="1">
      <c r="A19" s="18">
        <v>20</v>
      </c>
      <c r="B19" s="50" t="s">
        <v>493</v>
      </c>
      <c r="C19" s="50" t="s">
        <v>493</v>
      </c>
      <c r="D19" s="19" t="s">
        <v>442</v>
      </c>
      <c r="E19" s="18" t="s">
        <v>177</v>
      </c>
      <c r="F19" s="18" t="s">
        <v>178</v>
      </c>
      <c r="G19" s="18">
        <v>4</v>
      </c>
      <c r="H19" s="63">
        <f>MODELAGEM_20!X$7</f>
        <v>0.34909873933913743</v>
      </c>
      <c r="I19" s="48"/>
      <c r="J19" s="39"/>
    </row>
    <row r="20" spans="1:10" ht="26.15" customHeight="1">
      <c r="A20" s="18">
        <v>21</v>
      </c>
      <c r="B20" s="50" t="s">
        <v>494</v>
      </c>
      <c r="C20" s="50" t="s">
        <v>494</v>
      </c>
      <c r="D20" s="19" t="s">
        <v>442</v>
      </c>
      <c r="E20" s="18" t="s">
        <v>177</v>
      </c>
      <c r="F20" s="18" t="s">
        <v>178</v>
      </c>
      <c r="G20" s="18">
        <v>6</v>
      </c>
      <c r="H20" s="63">
        <f>MODELAGEM_21!X$7</f>
        <v>0.20610039654627835</v>
      </c>
      <c r="I20" s="48"/>
      <c r="J20" s="25"/>
    </row>
    <row r="21" spans="1:10" ht="18.45">
      <c r="A21" s="66">
        <v>22</v>
      </c>
      <c r="B21" s="71" t="s">
        <v>495</v>
      </c>
      <c r="C21" s="71" t="s">
        <v>495</v>
      </c>
      <c r="D21" s="67" t="s">
        <v>442</v>
      </c>
      <c r="E21" s="66" t="s">
        <v>178</v>
      </c>
      <c r="F21" s="66" t="s">
        <v>178</v>
      </c>
      <c r="G21" s="66">
        <v>6</v>
      </c>
      <c r="H21" s="68">
        <f>MODELAGEM_22!X$7</f>
        <v>0.23153956158161373</v>
      </c>
      <c r="I21" s="69"/>
      <c r="J21" s="70" t="s">
        <v>176</v>
      </c>
    </row>
    <row r="22" spans="1:10" ht="18.45">
      <c r="A22" s="18">
        <v>23</v>
      </c>
      <c r="B22" s="50" t="s">
        <v>496</v>
      </c>
      <c r="C22" s="50" t="s">
        <v>496</v>
      </c>
      <c r="D22" s="51" t="s">
        <v>443</v>
      </c>
      <c r="E22" s="18" t="s">
        <v>178</v>
      </c>
      <c r="F22" s="18" t="s">
        <v>178</v>
      </c>
      <c r="G22" s="18">
        <v>4</v>
      </c>
      <c r="H22" s="63">
        <f>MODELAGEM_23!X$7</f>
        <v>0.11482052196938657</v>
      </c>
      <c r="I22" s="48"/>
      <c r="J22" s="39"/>
    </row>
    <row r="23" spans="1:10" ht="18.45">
      <c r="A23" s="18">
        <v>24</v>
      </c>
      <c r="B23" s="50" t="s">
        <v>497</v>
      </c>
      <c r="C23" s="50" t="s">
        <v>497</v>
      </c>
      <c r="D23" s="51" t="s">
        <v>443</v>
      </c>
      <c r="E23" s="18" t="s">
        <v>178</v>
      </c>
      <c r="F23" s="18" t="s">
        <v>178</v>
      </c>
      <c r="G23" s="18">
        <v>9</v>
      </c>
      <c r="H23" s="63">
        <f>MODELAGEM_24!X$7</f>
        <v>0.41178871857089011</v>
      </c>
      <c r="I23" s="48"/>
      <c r="J23" s="39"/>
    </row>
    <row r="24" spans="1:10" ht="18.45">
      <c r="A24" s="18">
        <v>25</v>
      </c>
      <c r="B24" s="20" t="s">
        <v>498</v>
      </c>
      <c r="C24" s="20" t="s">
        <v>498</v>
      </c>
      <c r="D24" s="51" t="s">
        <v>443</v>
      </c>
      <c r="E24" s="21" t="s">
        <v>177</v>
      </c>
      <c r="F24" s="18" t="s">
        <v>177</v>
      </c>
      <c r="G24" s="18">
        <v>6</v>
      </c>
      <c r="H24" s="63">
        <f>MODELAGEM_25!X$7</f>
        <v>0.22578824980726994</v>
      </c>
      <c r="I24" s="48"/>
      <c r="J24" s="39"/>
    </row>
    <row r="25" spans="1:10" ht="18.45">
      <c r="A25" s="18">
        <v>26</v>
      </c>
      <c r="B25" s="20" t="s">
        <v>499</v>
      </c>
      <c r="C25" s="20" t="s">
        <v>499</v>
      </c>
      <c r="D25" s="51" t="s">
        <v>443</v>
      </c>
      <c r="E25" s="21" t="s">
        <v>178</v>
      </c>
      <c r="F25" s="18" t="s">
        <v>178</v>
      </c>
      <c r="G25" s="18">
        <v>8</v>
      </c>
      <c r="H25" s="63">
        <f>MODELAGEM_26!X$7</f>
        <v>0.37660795952593662</v>
      </c>
      <c r="I25" s="57"/>
      <c r="J25" s="25"/>
    </row>
    <row r="26" spans="1:10" ht="18.45">
      <c r="A26" s="18">
        <v>27</v>
      </c>
      <c r="B26" s="20" t="s">
        <v>500</v>
      </c>
      <c r="C26" s="20" t="s">
        <v>500</v>
      </c>
      <c r="D26" s="51" t="s">
        <v>443</v>
      </c>
      <c r="E26" s="21" t="s">
        <v>178</v>
      </c>
      <c r="F26" s="18" t="s">
        <v>178</v>
      </c>
      <c r="G26" s="18">
        <v>8</v>
      </c>
      <c r="H26" s="63">
        <f>MODELAGEM_27!X$7</f>
        <v>0.31819085731666746</v>
      </c>
      <c r="I26" s="57"/>
      <c r="J26" s="25"/>
    </row>
    <row r="27" spans="1:10" ht="18.45">
      <c r="A27" s="73">
        <v>28</v>
      </c>
      <c r="B27" s="74" t="s">
        <v>501</v>
      </c>
      <c r="C27" s="74" t="s">
        <v>501</v>
      </c>
      <c r="D27" s="75" t="s">
        <v>443</v>
      </c>
      <c r="E27" s="76" t="s">
        <v>177</v>
      </c>
      <c r="F27" s="73" t="s">
        <v>177</v>
      </c>
      <c r="G27" s="73">
        <v>6</v>
      </c>
      <c r="H27" s="63">
        <f>MODELAGEM_28!X$7</f>
        <v>0.19622947831079615</v>
      </c>
      <c r="I27" s="55"/>
      <c r="J27" s="25"/>
    </row>
    <row r="28" spans="1:10" ht="18.45">
      <c r="A28" s="66">
        <v>29</v>
      </c>
      <c r="B28" s="78" t="s">
        <v>502</v>
      </c>
      <c r="C28" s="78" t="s">
        <v>502</v>
      </c>
      <c r="D28" s="79" t="s">
        <v>442</v>
      </c>
      <c r="E28" s="66" t="s">
        <v>178</v>
      </c>
      <c r="F28" s="66" t="s">
        <v>178</v>
      </c>
      <c r="G28" s="66">
        <v>7</v>
      </c>
      <c r="H28" s="63">
        <f>MODELAGEM_29!X$7</f>
        <v>0.34858001399588395</v>
      </c>
      <c r="I28" s="80"/>
      <c r="J28" s="70"/>
    </row>
    <row r="29" spans="1:10" ht="18.45">
      <c r="A29" s="66">
        <v>30</v>
      </c>
      <c r="B29" s="78" t="s">
        <v>503</v>
      </c>
      <c r="C29" s="78" t="s">
        <v>503</v>
      </c>
      <c r="D29" s="78" t="s">
        <v>442</v>
      </c>
      <c r="E29" s="66" t="s">
        <v>178</v>
      </c>
      <c r="F29" s="66" t="s">
        <v>178</v>
      </c>
      <c r="G29" s="66">
        <v>7</v>
      </c>
      <c r="H29" s="63">
        <f>MODELAGEM_30!X$7</f>
        <v>0.37324084846394373</v>
      </c>
      <c r="I29" s="80"/>
      <c r="J29" s="70"/>
    </row>
    <row r="30" spans="1:10" ht="18.45">
      <c r="A30" s="66">
        <v>31</v>
      </c>
      <c r="B30" s="78" t="s">
        <v>504</v>
      </c>
      <c r="C30" s="78" t="s">
        <v>504</v>
      </c>
      <c r="D30" s="78" t="s">
        <v>442</v>
      </c>
      <c r="E30" s="66" t="s">
        <v>178</v>
      </c>
      <c r="F30" s="66" t="s">
        <v>177</v>
      </c>
      <c r="G30" s="66">
        <v>6</v>
      </c>
      <c r="H30" s="63">
        <f>MODELAGEM_31!X$7</f>
        <v>0.22745186988700661</v>
      </c>
      <c r="I30" s="80"/>
      <c r="J30" s="70"/>
    </row>
    <row r="31" spans="1:10" ht="18.45">
      <c r="A31" s="73">
        <v>32</v>
      </c>
      <c r="B31" s="53" t="s">
        <v>505</v>
      </c>
      <c r="C31" s="53" t="s">
        <v>505</v>
      </c>
      <c r="D31" s="51" t="s">
        <v>443</v>
      </c>
      <c r="E31" s="54" t="s">
        <v>178</v>
      </c>
      <c r="F31" s="52" t="s">
        <v>177</v>
      </c>
      <c r="G31" s="52"/>
      <c r="H31" s="52"/>
      <c r="I31" s="77"/>
      <c r="J31" s="25"/>
    </row>
    <row r="32" spans="1:10" ht="18.45">
      <c r="A32" s="52">
        <v>33</v>
      </c>
      <c r="B32" s="53" t="s">
        <v>506</v>
      </c>
      <c r="C32" s="53" t="s">
        <v>506</v>
      </c>
      <c r="D32" s="51" t="s">
        <v>443</v>
      </c>
      <c r="E32" s="54" t="s">
        <v>178</v>
      </c>
      <c r="F32" s="52" t="s">
        <v>178</v>
      </c>
      <c r="G32" s="52"/>
      <c r="H32" s="52"/>
      <c r="I32" s="57"/>
      <c r="J32" s="25"/>
    </row>
    <row r="33" spans="1:10" ht="18.45">
      <c r="A33" s="52">
        <v>34</v>
      </c>
      <c r="B33" s="53" t="s">
        <v>507</v>
      </c>
      <c r="C33" s="53" t="s">
        <v>507</v>
      </c>
      <c r="D33" s="51" t="s">
        <v>443</v>
      </c>
      <c r="E33" s="54" t="s">
        <v>178</v>
      </c>
      <c r="F33" s="52" t="s">
        <v>177</v>
      </c>
      <c r="G33" s="52"/>
      <c r="H33" s="52"/>
      <c r="I33" s="57"/>
      <c r="J33" s="25"/>
    </row>
    <row r="34" spans="1:10" ht="18.45">
      <c r="A34" s="52">
        <v>35</v>
      </c>
      <c r="B34" s="53" t="s">
        <v>508</v>
      </c>
      <c r="C34" s="53" t="s">
        <v>508</v>
      </c>
      <c r="D34" s="51" t="s">
        <v>443</v>
      </c>
      <c r="E34" s="54" t="s">
        <v>178</v>
      </c>
      <c r="F34" s="52" t="s">
        <v>177</v>
      </c>
      <c r="G34" s="52"/>
      <c r="H34" s="52"/>
      <c r="I34" s="57"/>
      <c r="J34" s="25"/>
    </row>
    <row r="35" spans="1:10" ht="18.45">
      <c r="A35" s="20"/>
      <c r="B35" s="20"/>
      <c r="C35" s="20"/>
      <c r="D35" s="20"/>
      <c r="E35" s="20"/>
      <c r="F35" s="18"/>
      <c r="G35" s="18"/>
      <c r="H35" s="18"/>
      <c r="I35" s="25"/>
      <c r="J35" s="25"/>
    </row>
    <row r="36" spans="1:10" ht="18.45">
      <c r="A36" s="20"/>
      <c r="B36" s="74"/>
      <c r="C36" s="74"/>
      <c r="D36" s="75"/>
      <c r="E36" s="76"/>
      <c r="F36" s="73"/>
      <c r="G36" s="73"/>
      <c r="H36" s="73"/>
      <c r="I36" s="25"/>
      <c r="J36" s="25"/>
    </row>
    <row r="37" spans="1:10" ht="18.45">
      <c r="A37" s="20"/>
      <c r="B37" s="20"/>
      <c r="C37" s="20"/>
      <c r="D37" s="20"/>
      <c r="E37" s="20"/>
      <c r="F37" s="18"/>
      <c r="G37" s="18"/>
      <c r="H37" s="18"/>
      <c r="I37" s="25"/>
      <c r="J37" s="25"/>
    </row>
    <row r="38" spans="1:10" ht="18.45">
      <c r="A38" s="20"/>
      <c r="B38" s="20"/>
      <c r="C38" s="20"/>
      <c r="D38" s="20"/>
      <c r="E38" s="20"/>
      <c r="F38" s="18"/>
      <c r="G38" s="18"/>
      <c r="H38" s="18"/>
      <c r="I38" s="25"/>
      <c r="J38" s="25"/>
    </row>
    <row r="39" spans="1:10" ht="18.45">
      <c r="A39" s="20"/>
      <c r="B39" s="20"/>
      <c r="C39" s="20"/>
      <c r="D39" s="20"/>
      <c r="E39" s="20"/>
      <c r="F39" s="18"/>
      <c r="G39" s="18"/>
      <c r="H39" s="18"/>
      <c r="I39" s="25"/>
      <c r="J39" s="25"/>
    </row>
    <row r="40" spans="1:10" ht="18.45">
      <c r="A40" s="20"/>
      <c r="B40" s="20"/>
      <c r="C40" s="20"/>
      <c r="D40" s="20"/>
      <c r="E40" s="20"/>
      <c r="F40" s="18"/>
      <c r="G40" s="18"/>
      <c r="H40" s="18"/>
      <c r="I40" s="25"/>
      <c r="J40" s="25"/>
    </row>
    <row r="41" spans="1:10" ht="18.45">
      <c r="A41" s="20"/>
      <c r="B41" s="20"/>
      <c r="C41" s="20"/>
      <c r="D41" s="20"/>
      <c r="E41" s="20"/>
      <c r="F41" s="18"/>
      <c r="G41" s="18"/>
      <c r="H41" s="18"/>
      <c r="I41" s="25"/>
      <c r="J41" s="25"/>
    </row>
    <row r="42" spans="1:10" ht="18.45">
      <c r="A42" s="20"/>
      <c r="B42" s="20"/>
      <c r="C42" s="20"/>
      <c r="D42" s="20"/>
      <c r="E42" s="20"/>
      <c r="F42" s="18"/>
      <c r="G42" s="18"/>
      <c r="H42" s="18"/>
      <c r="I42" s="25"/>
      <c r="J42" s="25"/>
    </row>
    <row r="43" spans="1:10" ht="18.45">
      <c r="A43" s="20"/>
      <c r="B43" s="20"/>
      <c r="C43" s="20"/>
      <c r="D43" s="20"/>
      <c r="E43" s="20"/>
      <c r="F43" s="18"/>
      <c r="G43" s="18"/>
      <c r="H43" s="18"/>
      <c r="I43" s="25"/>
      <c r="J43" s="25"/>
    </row>
    <row r="44" spans="1:10" ht="18.45">
      <c r="A44" s="20"/>
      <c r="B44" s="20"/>
      <c r="C44" s="20"/>
      <c r="D44" s="20"/>
      <c r="E44" s="20"/>
      <c r="F44" s="18"/>
      <c r="G44" s="18"/>
      <c r="H44" s="18"/>
      <c r="I44" s="25"/>
      <c r="J44" s="25"/>
    </row>
    <row r="45" spans="1:10" ht="18.45">
      <c r="A45" s="20"/>
      <c r="B45" s="20"/>
      <c r="C45" s="20"/>
      <c r="D45" s="20"/>
      <c r="E45" s="20"/>
      <c r="F45" s="18"/>
      <c r="G45" s="18"/>
      <c r="H45" s="18"/>
      <c r="I45" s="25"/>
      <c r="J45" s="25"/>
    </row>
    <row r="46" spans="1:10" ht="18.45">
      <c r="A46" s="20"/>
      <c r="B46" s="20"/>
      <c r="C46" s="20"/>
      <c r="D46" s="20"/>
      <c r="E46" s="20"/>
      <c r="F46" s="18"/>
      <c r="G46" s="18"/>
      <c r="H46" s="18"/>
      <c r="I46" s="25"/>
      <c r="J46" s="25"/>
    </row>
    <row r="47" spans="1:10" ht="18.45">
      <c r="A47" s="20"/>
      <c r="B47" s="20"/>
      <c r="C47" s="20"/>
      <c r="D47" s="20"/>
      <c r="E47" s="20"/>
      <c r="F47" s="18"/>
      <c r="G47" s="18"/>
      <c r="H47" s="18"/>
      <c r="I47" s="25"/>
      <c r="J47" s="25"/>
    </row>
    <row r="48" spans="1:10" ht="18.45">
      <c r="A48" s="20"/>
      <c r="B48" s="20"/>
      <c r="C48" s="20"/>
      <c r="D48" s="20"/>
      <c r="E48" s="20"/>
      <c r="F48" s="18"/>
      <c r="G48" s="18"/>
      <c r="H48" s="18"/>
      <c r="I48" s="25"/>
      <c r="J48" s="25"/>
    </row>
    <row r="49" spans="1:10" ht="18.45">
      <c r="A49" s="20"/>
      <c r="B49" s="20"/>
      <c r="C49" s="20"/>
      <c r="D49" s="20"/>
      <c r="E49" s="20"/>
      <c r="F49" s="18"/>
      <c r="G49" s="18"/>
      <c r="H49" s="18"/>
      <c r="I49" s="25"/>
      <c r="J49" s="25"/>
    </row>
    <row r="50" spans="1:10" ht="18.45">
      <c r="A50" s="20"/>
      <c r="B50" s="20"/>
      <c r="C50" s="20"/>
      <c r="D50" s="20"/>
      <c r="E50" s="20"/>
      <c r="F50" s="18"/>
      <c r="G50" s="18"/>
      <c r="H50" s="18"/>
      <c r="I50" s="25"/>
      <c r="J50" s="25"/>
    </row>
    <row r="51" spans="1:10" ht="18.45">
      <c r="A51" s="20"/>
      <c r="B51" s="20"/>
      <c r="C51" s="20"/>
      <c r="D51" s="20"/>
      <c r="E51" s="20"/>
      <c r="F51" s="18"/>
      <c r="G51" s="18"/>
      <c r="H51" s="18"/>
      <c r="I51" s="25"/>
      <c r="J51" s="25"/>
    </row>
    <row r="52" spans="1:10" ht="18.45">
      <c r="A52" s="20"/>
      <c r="B52" s="20"/>
      <c r="C52" s="20"/>
      <c r="D52" s="20"/>
      <c r="E52" s="20"/>
      <c r="F52" s="18"/>
      <c r="G52" s="18"/>
      <c r="H52" s="18"/>
      <c r="I52" s="25"/>
      <c r="J52" s="25"/>
    </row>
    <row r="53" spans="1:10" ht="18.45">
      <c r="A53" s="20"/>
      <c r="B53" s="20"/>
      <c r="C53" s="20"/>
      <c r="D53" s="20"/>
      <c r="E53" s="20"/>
      <c r="F53" s="18"/>
      <c r="G53" s="18"/>
      <c r="H53" s="18"/>
      <c r="I53" s="25"/>
      <c r="J53" s="25"/>
    </row>
    <row r="54" spans="1:10" ht="18.45">
      <c r="A54" s="20"/>
      <c r="B54" s="20"/>
      <c r="C54" s="20"/>
      <c r="D54" s="20"/>
      <c r="E54" s="20"/>
      <c r="F54" s="18"/>
      <c r="G54" s="18"/>
      <c r="H54" s="18"/>
      <c r="I54" s="25"/>
      <c r="J54" s="25"/>
    </row>
    <row r="55" spans="1:10" ht="18.45">
      <c r="A55" s="20"/>
      <c r="B55" s="20"/>
      <c r="C55" s="20"/>
      <c r="D55" s="20"/>
      <c r="E55" s="20"/>
      <c r="F55" s="18"/>
      <c r="G55" s="18"/>
      <c r="H55" s="18"/>
      <c r="I55" s="25"/>
      <c r="J55" s="25"/>
    </row>
    <row r="56" spans="1:10" ht="18.45">
      <c r="A56" s="20"/>
      <c r="B56" s="20"/>
      <c r="C56" s="20"/>
      <c r="D56" s="20"/>
      <c r="E56" s="20"/>
      <c r="F56" s="18"/>
      <c r="G56" s="18"/>
      <c r="H56" s="18"/>
      <c r="I56" s="25"/>
      <c r="J56" s="25"/>
    </row>
    <row r="57" spans="1:10" ht="18.45">
      <c r="A57" s="20"/>
      <c r="B57" s="20"/>
      <c r="C57" s="20"/>
      <c r="D57" s="20"/>
      <c r="E57" s="20"/>
      <c r="F57" s="18"/>
      <c r="G57" s="18"/>
      <c r="H57" s="18"/>
      <c r="I57" s="25"/>
      <c r="J57" s="25"/>
    </row>
  </sheetData>
  <autoFilter ref="A1:I34"/>
  <sortState ref="A1:P34">
    <sortCondition ref="A2"/>
  </sortState>
  <mergeCells count="2">
    <mergeCell ref="K2:K3"/>
    <mergeCell ref="N2:N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L5"/>
  <sheetViews>
    <sheetView tabSelected="1" zoomScaleNormal="100" workbookViewId="0">
      <selection activeCell="L3" sqref="L3"/>
    </sheetView>
  </sheetViews>
  <sheetFormatPr defaultColWidth="9.3046875" defaultRowHeight="14.6"/>
  <cols>
    <col min="1" max="1" width="13.4609375" style="24" bestFit="1" customWidth="1"/>
    <col min="2" max="2" width="13.07421875" style="24" customWidth="1"/>
    <col min="3" max="3" width="12.3046875" style="24" customWidth="1"/>
    <col min="4" max="7" width="9.3046875" style="24"/>
    <col min="8" max="8" width="12.53515625" style="24" bestFit="1" customWidth="1"/>
    <col min="9" max="9" width="14.4609375" style="24" bestFit="1" customWidth="1"/>
    <col min="10" max="10" width="9.3046875" style="24"/>
    <col min="11" max="11" width="11.3046875" style="24" bestFit="1" customWidth="1"/>
    <col min="12" max="12" width="9.69140625" style="24" bestFit="1" customWidth="1"/>
    <col min="13" max="16384" width="9.3046875" style="24"/>
  </cols>
  <sheetData>
    <row r="2" spans="1:12">
      <c r="B2" s="34" t="s">
        <v>230</v>
      </c>
      <c r="C2" s="34" t="s">
        <v>231</v>
      </c>
      <c r="D2" s="34" t="s">
        <v>68</v>
      </c>
      <c r="E2" s="34" t="s">
        <v>83</v>
      </c>
      <c r="F2" s="34" t="s">
        <v>70</v>
      </c>
      <c r="G2" s="34" t="s">
        <v>69</v>
      </c>
      <c r="H2" s="34" t="s">
        <v>253</v>
      </c>
      <c r="I2" s="34" t="s">
        <v>254</v>
      </c>
      <c r="J2" s="34" t="s">
        <v>71</v>
      </c>
      <c r="K2" s="34" t="s">
        <v>72</v>
      </c>
      <c r="L2" s="34" t="s">
        <v>73</v>
      </c>
    </row>
    <row r="3" spans="1:12">
      <c r="A3" s="41" t="s">
        <v>0</v>
      </c>
      <c r="B3" s="39">
        <f>GRAFO!J2</f>
        <v>29</v>
      </c>
      <c r="C3" s="47">
        <f>AVERAGE(MODELAGEM_1!N4,MODELAGEM_2!N4,MODELAGEM_3!N4,MODELAGEM_4!N4,MODELAGEM_5!N4,MODELAGEM_6!N4,MODELAGEM_7!N4,MODELAGEM_8!N4,MODELAGEM_9!N4,MODELAGEM_11!N4,MODELAGEM_12!N4,MODELAGEM_13!N4,MODELAGEM_15!N4,MODELAGEM_16!N4,MODELAGEM_17!N4,MODELAGEM_18!N4,MODELAGEM_19!N4,MODELAGEM_20!N4,MODELAGEM_21!N4,MODELAGEM_22!N4,MODELAGEM_23!N4,MODELAGEM_24!N4,MODELAGEM_25!N4,MODELAGEM_26!N4,MODELAGEM_27!N4)</f>
        <v>24.36</v>
      </c>
      <c r="D3" s="47">
        <f>AVERAGE(MODELAGEM_1!O4,MODELAGEM_2!O4,MODELAGEM_3!O4,MODELAGEM_4!O4,MODELAGEM_5!O4,MODELAGEM_6!O4,MODELAGEM_7!O4,MODELAGEM_8!O4,MODELAGEM_9!O4,MODELAGEM_11!O4,MODELAGEM_12!O4,MODELAGEM_13!O4,MODELAGEM_15!O4,MODELAGEM_16!O4,MODELAGEM_17!O4,MODELAGEM_18!O4,MODELAGEM_19!O4,MODELAGEM_20!O4,MODELAGEM_21!O4,MODELAGEM_22!O4,MODELAGEM_23!O4,MODELAGEM_24!O4,MODELAGEM_25!O4,MODELAGEM_26!O4,MODELAGEM_27!O4)</f>
        <v>12.88</v>
      </c>
      <c r="E3" s="44">
        <f>C3-G3</f>
        <v>12.88</v>
      </c>
      <c r="F3" s="44">
        <f>B3-D3</f>
        <v>16.119999999999997</v>
      </c>
      <c r="G3" s="44">
        <f>C3-D3</f>
        <v>11.479999999999999</v>
      </c>
      <c r="H3" s="44">
        <f>D3+E3</f>
        <v>25.76</v>
      </c>
      <c r="I3" s="44">
        <f>F3+G3</f>
        <v>27.599999999999994</v>
      </c>
      <c r="J3" s="45">
        <f>D3/(D3+G3)</f>
        <v>0.52873563218390807</v>
      </c>
      <c r="K3" s="45">
        <f>D3/(D3+F3)</f>
        <v>0.44413793103448279</v>
      </c>
      <c r="L3" s="45">
        <f>(D3+E3)/(D3+E3+F3+G3)</f>
        <v>0.48275862068965525</v>
      </c>
    </row>
    <row r="4" spans="1:12">
      <c r="A4" s="42" t="s">
        <v>100</v>
      </c>
      <c r="B4" s="40">
        <f>GRAFO!J3</f>
        <v>41</v>
      </c>
      <c r="C4" s="47">
        <f>AVERAGE(MODELAGEM_1!N5,MODELAGEM_2!N5,MODELAGEM_3!N5,MODELAGEM_4!N5,MODELAGEM_5!N5,MODELAGEM_6!N5,MODELAGEM_7!N5,MODELAGEM_8!N5,MODELAGEM_9!N5,MODELAGEM_11!N5,MODELAGEM_12!N5,MODELAGEM_13!N5,MODELAGEM_15!N5,MODELAGEM_16!N5,MODELAGEM_17!N5,MODELAGEM_18!N5,MODELAGEM_19!N5,MODELAGEM_20!N5,MODELAGEM_21!N5,MODELAGEM_22!N5,MODELAGEM_23!N5,MODELAGEM_24!N5,MODELAGEM_25!N5,MODELAGEM_26!N5,MODELAGEM_27!N5)</f>
        <v>25.36</v>
      </c>
      <c r="D4" s="47">
        <f>AVERAGE(MODELAGEM_1!O5,MODELAGEM_2!O5,MODELAGEM_3!O5,MODELAGEM_4!O5,MODELAGEM_5!O5,MODELAGEM_6!O5,MODELAGEM_7!O5,MODELAGEM_8!O5,MODELAGEM_9!O5,MODELAGEM_11!O5,MODELAGEM_12!O5,MODELAGEM_13!O5,MODELAGEM_15!O5,MODELAGEM_16!O5,MODELAGEM_17!O5,MODELAGEM_18!O5,MODELAGEM_19!O5,MODELAGEM_20!O5,MODELAGEM_21!O5,MODELAGEM_22!O5,MODELAGEM_23!O5,MODELAGEM_24!O5,MODELAGEM_25!O5,MODELAGEM_26!O5,MODELAGEM_27!O5)</f>
        <v>6.76</v>
      </c>
      <c r="E4" s="44">
        <f>C4-G4</f>
        <v>6.759999999999998</v>
      </c>
      <c r="F4" s="44">
        <f>B4-D4</f>
        <v>34.24</v>
      </c>
      <c r="G4" s="44">
        <f>C4-D4</f>
        <v>18.600000000000001</v>
      </c>
      <c r="H4" s="44">
        <f>D4+E4</f>
        <v>13.519999999999998</v>
      </c>
      <c r="I4" s="44">
        <f>F4+G4</f>
        <v>52.84</v>
      </c>
      <c r="J4" s="45">
        <f>D4/(D4+G4)</f>
        <v>0.2665615141955836</v>
      </c>
      <c r="K4" s="45">
        <f>D4/(D4+F4)</f>
        <v>0.16487804878048781</v>
      </c>
      <c r="L4" s="45">
        <f>(D4+E4)/(D4+E4+F4+G4)</f>
        <v>0.20373719107896321</v>
      </c>
    </row>
    <row r="5" spans="1:12">
      <c r="A5" s="43" t="s">
        <v>99</v>
      </c>
      <c r="B5" s="40">
        <f>GRAFO!J3</f>
        <v>41</v>
      </c>
      <c r="C5" s="47">
        <f>AVERAGE(MODELAGEM_1!N6,MODELAGEM_2!N6,MODELAGEM_3!N6,MODELAGEM_4!N6,MODELAGEM_5!N6,MODELAGEM_6!N6,MODELAGEM_7!N6,MODELAGEM_8!N6,MODELAGEM_9!N6,MODELAGEM_11!N6,MODELAGEM_12!N6,MODELAGEM_13!N6,MODELAGEM_15!N6,MODELAGEM_16!N6,MODELAGEM_17!N6,MODELAGEM_18!N6,MODELAGEM_19!N6,MODELAGEM_20!N6,MODELAGEM_21!N6,MODELAGEM_22!N6,MODELAGEM_23!N6,MODELAGEM_24!N6,MODELAGEM_25!N6,MODELAGEM_26!N6,MODELAGEM_27!N6)</f>
        <v>25.36</v>
      </c>
      <c r="D5" s="47">
        <f>AVERAGE(MODELAGEM_1!O6,MODELAGEM_2!O6,MODELAGEM_3!O6,MODELAGEM_4!O6,MODELAGEM_5!O6,MODELAGEM_6!O6,MODELAGEM_7!O6,MODELAGEM_8!O6,MODELAGEM_9!O6,MODELAGEM_11!O6,MODELAGEM_12!O6,MODELAGEM_13!O6,MODELAGEM_15!O6,MODELAGEM_16!O6,MODELAGEM_17!O6,MODELAGEM_18!O6,MODELAGEM_19!O6,MODELAGEM_20!O6,MODELAGEM_21!O6,MODELAGEM_22!O6,MODELAGEM_23!O6,MODELAGEM_24!O6,MODELAGEM_25!O6,MODELAGEM_26!O6,MODELAGEM_27!O6)</f>
        <v>6.24</v>
      </c>
      <c r="E5" s="44">
        <f>C5-G5</f>
        <v>6.240000000000002</v>
      </c>
      <c r="F5" s="44">
        <f>B5-D5</f>
        <v>34.76</v>
      </c>
      <c r="G5" s="44">
        <f>C5-D5</f>
        <v>19.119999999999997</v>
      </c>
      <c r="H5" s="44">
        <f>D5+E5</f>
        <v>12.480000000000002</v>
      </c>
      <c r="I5" s="44">
        <f>F5+G5</f>
        <v>53.879999999999995</v>
      </c>
      <c r="J5" s="45">
        <f>D5/(D5+G5)</f>
        <v>0.24605678233438488</v>
      </c>
      <c r="K5" s="45">
        <f>D5/(D5+F5)</f>
        <v>0.15219512195121951</v>
      </c>
      <c r="L5" s="45">
        <f>(D5+E5)/(D5+E5+F5+G5)</f>
        <v>0.18806509945750455</v>
      </c>
    </row>
  </sheetData>
  <dataValidations count="1">
    <dataValidation type="list" allowBlank="1" showInputMessage="1" showErrorMessage="1" sqref="C15">
      <formula1>#REF!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7"/>
  <sheetViews>
    <sheetView topLeftCell="F1" zoomScale="115" zoomScaleNormal="115" workbookViewId="0">
      <selection activeCell="L2" sqref="L2"/>
    </sheetView>
  </sheetViews>
  <sheetFormatPr defaultColWidth="9.3046875" defaultRowHeight="16.75"/>
  <cols>
    <col min="1" max="1" width="48.3046875" style="14" bestFit="1" customWidth="1"/>
    <col min="2" max="2" width="7.84375" style="14" customWidth="1"/>
    <col min="3" max="3" width="21.4609375" style="14" bestFit="1" customWidth="1"/>
    <col min="4" max="4" width="21.3046875" style="14" customWidth="1"/>
    <col min="5" max="5" width="41.53515625" style="14" bestFit="1" customWidth="1"/>
    <col min="6" max="6" width="3.3046875" style="14" customWidth="1"/>
    <col min="7" max="8" width="9.3046875" style="14"/>
    <col min="9" max="9" width="13.07421875" style="14" bestFit="1" customWidth="1"/>
    <col min="10" max="11" width="9.3046875" style="14"/>
    <col min="12" max="12" width="58.53515625" style="14" bestFit="1" customWidth="1"/>
    <col min="13" max="16384" width="9.3046875" style="14"/>
  </cols>
  <sheetData>
    <row r="1" spans="1:13">
      <c r="A1" s="13" t="s">
        <v>172</v>
      </c>
      <c r="C1" s="84" t="s">
        <v>1</v>
      </c>
      <c r="D1" s="84"/>
      <c r="E1" s="84"/>
      <c r="G1" s="14" t="s">
        <v>2</v>
      </c>
      <c r="I1" s="14" t="s">
        <v>41</v>
      </c>
      <c r="L1" s="15" t="s">
        <v>111</v>
      </c>
      <c r="M1" s="15" t="s">
        <v>112</v>
      </c>
    </row>
    <row r="2" spans="1:13">
      <c r="A2" s="16" t="s">
        <v>33</v>
      </c>
      <c r="C2" s="16" t="s">
        <v>9</v>
      </c>
      <c r="D2" s="16" t="s">
        <v>36</v>
      </c>
      <c r="E2" s="16" t="s">
        <v>37</v>
      </c>
      <c r="G2" s="14" t="s">
        <v>36</v>
      </c>
      <c r="I2" s="14" t="s">
        <v>42</v>
      </c>
      <c r="J2" s="14">
        <f>COUNTA(A2:A30)</f>
        <v>29</v>
      </c>
      <c r="L2" s="14" t="str">
        <f>C2 &amp; "-" &amp; E2</f>
        <v>nivel-entity</v>
      </c>
      <c r="M2" s="14" t="str">
        <f>C2 &amp; "-" &amp; D2 &amp; "-" &amp; E2</f>
        <v>nivel-rdf:type-entity</v>
      </c>
    </row>
    <row r="3" spans="1:13">
      <c r="A3" s="16" t="s">
        <v>21</v>
      </c>
      <c r="C3" s="16" t="s">
        <v>8</v>
      </c>
      <c r="D3" s="16" t="s">
        <v>3</v>
      </c>
      <c r="E3" s="16" t="s">
        <v>9</v>
      </c>
      <c r="G3" s="14" t="s">
        <v>38</v>
      </c>
      <c r="I3" s="14" t="s">
        <v>43</v>
      </c>
      <c r="J3" s="14">
        <f>COUNTA(C2:C42)</f>
        <v>41</v>
      </c>
      <c r="L3" s="14" t="str">
        <f t="shared" ref="L3:L41" si="0">C3 &amp; "-" &amp; E3</f>
        <v>politico-nivel</v>
      </c>
      <c r="M3" s="14" t="str">
        <f t="shared" ref="M3:M41" si="1">C3 &amp; "-" &amp; D3 &amp; "-" &amp; E3</f>
        <v>politico-rdfs:subClassOf-nivel</v>
      </c>
    </row>
    <row r="4" spans="1:13">
      <c r="A4" s="16" t="s">
        <v>17</v>
      </c>
      <c r="C4" s="16" t="s">
        <v>10</v>
      </c>
      <c r="D4" s="16" t="s">
        <v>3</v>
      </c>
      <c r="E4" s="16" t="s">
        <v>9</v>
      </c>
      <c r="G4" s="14" t="s">
        <v>3</v>
      </c>
      <c r="L4" s="14" t="str">
        <f t="shared" si="0"/>
        <v>estrategico-nivel</v>
      </c>
      <c r="M4" s="14" t="str">
        <f t="shared" si="1"/>
        <v>estrategico-rdfs:subClassOf-nivel</v>
      </c>
    </row>
    <row r="5" spans="1:13">
      <c r="A5" s="16" t="s">
        <v>40</v>
      </c>
      <c r="C5" s="16" t="s">
        <v>11</v>
      </c>
      <c r="D5" s="16" t="s">
        <v>3</v>
      </c>
      <c r="E5" s="16" t="s">
        <v>9</v>
      </c>
      <c r="G5" s="14" t="s">
        <v>4</v>
      </c>
      <c r="L5" s="14" t="str">
        <f t="shared" si="0"/>
        <v>tatico-nivel</v>
      </c>
      <c r="M5" s="14" t="str">
        <f t="shared" si="1"/>
        <v>tatico-rdfs:subClassOf-nivel</v>
      </c>
    </row>
    <row r="6" spans="1:13">
      <c r="A6" s="16" t="s">
        <v>13</v>
      </c>
      <c r="C6" s="16" t="s">
        <v>12</v>
      </c>
      <c r="D6" s="16" t="s">
        <v>3</v>
      </c>
      <c r="E6" s="16" t="s">
        <v>9</v>
      </c>
      <c r="G6" s="14" t="s">
        <v>6</v>
      </c>
      <c r="L6" s="14" t="str">
        <f t="shared" si="0"/>
        <v>operacional-nivel</v>
      </c>
      <c r="M6" s="14" t="str">
        <f t="shared" si="1"/>
        <v>operacional-rdfs:subClassOf-nivel</v>
      </c>
    </row>
    <row r="7" spans="1:13">
      <c r="A7" s="16" t="s">
        <v>39</v>
      </c>
      <c r="C7" s="16" t="s">
        <v>13</v>
      </c>
      <c r="D7" s="16" t="s">
        <v>7</v>
      </c>
      <c r="E7" s="16" t="s">
        <v>12</v>
      </c>
      <c r="G7" s="14" t="s">
        <v>35</v>
      </c>
      <c r="L7" s="14" t="str">
        <f t="shared" si="0"/>
        <v>comandos_operacionais-operacional</v>
      </c>
      <c r="M7" s="14" t="str">
        <f t="shared" si="1"/>
        <v>comandos_operacionais-c2rm:responsible_for-operacional</v>
      </c>
    </row>
    <row r="8" spans="1:13">
      <c r="A8" s="16" t="s">
        <v>19</v>
      </c>
      <c r="C8" s="16" t="s">
        <v>16</v>
      </c>
      <c r="D8" s="16" t="s">
        <v>3</v>
      </c>
      <c r="E8" s="16" t="s">
        <v>14</v>
      </c>
      <c r="G8" s="14" t="s">
        <v>5</v>
      </c>
      <c r="L8" s="14" t="str">
        <f t="shared" si="0"/>
        <v>logistica-estruturas</v>
      </c>
      <c r="M8" s="14" t="str">
        <f t="shared" si="1"/>
        <v>logistica-rdfs:subClassOf-estruturas</v>
      </c>
    </row>
    <row r="9" spans="1:13">
      <c r="A9" s="16" t="s">
        <v>37</v>
      </c>
      <c r="C9" s="16" t="s">
        <v>15</v>
      </c>
      <c r="D9" s="16" t="s">
        <v>3</v>
      </c>
      <c r="E9" s="16" t="s">
        <v>14</v>
      </c>
      <c r="G9" s="14" t="s">
        <v>7</v>
      </c>
      <c r="L9" s="14" t="str">
        <f t="shared" si="0"/>
        <v>inteligencia-estruturas</v>
      </c>
      <c r="M9" s="14" t="str">
        <f t="shared" si="1"/>
        <v>inteligencia-rdfs:subClassOf-estruturas</v>
      </c>
    </row>
    <row r="10" spans="1:13">
      <c r="A10" s="16" t="s">
        <v>10</v>
      </c>
      <c r="C10" s="16" t="s">
        <v>17</v>
      </c>
      <c r="D10" s="16" t="s">
        <v>3</v>
      </c>
      <c r="E10" s="16" t="s">
        <v>14</v>
      </c>
      <c r="L10" s="14" t="str">
        <f t="shared" si="0"/>
        <v>comando_e_controle-estruturas</v>
      </c>
      <c r="M10" s="14" t="str">
        <f t="shared" si="1"/>
        <v>comando_e_controle-rdfs:subClassOf-estruturas</v>
      </c>
    </row>
    <row r="11" spans="1:13">
      <c r="A11" s="16" t="s">
        <v>14</v>
      </c>
      <c r="C11" s="16" t="s">
        <v>12</v>
      </c>
      <c r="D11" s="16" t="s">
        <v>4</v>
      </c>
      <c r="E11" s="16" t="s">
        <v>15</v>
      </c>
      <c r="L11" s="14" t="str">
        <f t="shared" si="0"/>
        <v>operacional-inteligencia</v>
      </c>
      <c r="M11" s="14" t="str">
        <f t="shared" si="1"/>
        <v>operacional-rdfs:seeAlso-inteligencia</v>
      </c>
    </row>
    <row r="12" spans="1:13">
      <c r="A12" s="16" t="s">
        <v>34</v>
      </c>
      <c r="C12" s="16" t="s">
        <v>31</v>
      </c>
      <c r="D12" s="16" t="s">
        <v>36</v>
      </c>
      <c r="E12" s="16" t="s">
        <v>37</v>
      </c>
      <c r="L12" s="14" t="str">
        <f t="shared" si="0"/>
        <v>forcas_armadas-entity</v>
      </c>
      <c r="M12" s="14" t="str">
        <f t="shared" si="1"/>
        <v>forcas_armadas-rdf:type-entity</v>
      </c>
    </row>
    <row r="13" spans="1:13">
      <c r="A13" s="16" t="s">
        <v>27</v>
      </c>
      <c r="C13" s="16" t="s">
        <v>32</v>
      </c>
      <c r="D13" s="16" t="s">
        <v>3</v>
      </c>
      <c r="E13" s="16" t="s">
        <v>31</v>
      </c>
      <c r="L13" s="14" t="str">
        <f t="shared" si="0"/>
        <v>marinha-forcas_armadas</v>
      </c>
      <c r="M13" s="14" t="str">
        <f t="shared" si="1"/>
        <v>marinha-rdfs:subClassOf-forcas_armadas</v>
      </c>
    </row>
    <row r="14" spans="1:13">
      <c r="A14" s="16" t="s">
        <v>28</v>
      </c>
      <c r="C14" s="16" t="s">
        <v>34</v>
      </c>
      <c r="D14" s="16" t="s">
        <v>3</v>
      </c>
      <c r="E14" s="16" t="s">
        <v>31</v>
      </c>
      <c r="L14" s="14" t="str">
        <f t="shared" si="0"/>
        <v>exercito-forcas_armadas</v>
      </c>
      <c r="M14" s="14" t="str">
        <f t="shared" si="1"/>
        <v>exercito-rdfs:subClassOf-forcas_armadas</v>
      </c>
    </row>
    <row r="15" spans="1:13">
      <c r="A15" s="16" t="s">
        <v>30</v>
      </c>
      <c r="C15" s="16" t="s">
        <v>33</v>
      </c>
      <c r="D15" s="16" t="s">
        <v>3</v>
      </c>
      <c r="E15" s="16" t="s">
        <v>31</v>
      </c>
      <c r="L15" s="14" t="str">
        <f t="shared" si="0"/>
        <v>aeronautica-forcas_armadas</v>
      </c>
      <c r="M15" s="14" t="str">
        <f t="shared" si="1"/>
        <v>aeronautica-rdfs:subClassOf-forcas_armadas</v>
      </c>
    </row>
    <row r="16" spans="1:13">
      <c r="A16" s="16" t="s">
        <v>29</v>
      </c>
      <c r="C16" s="16" t="s">
        <v>31</v>
      </c>
      <c r="D16" s="16" t="s">
        <v>5</v>
      </c>
      <c r="E16" s="16" t="s">
        <v>39</v>
      </c>
      <c r="L16" s="14" t="str">
        <f t="shared" si="0"/>
        <v>forcas_armadas-defesa_da_patria</v>
      </c>
      <c r="M16" s="14" t="str">
        <f t="shared" si="1"/>
        <v>forcas_armadas-c2rm:applied_to-defesa_da_patria</v>
      </c>
    </row>
    <row r="17" spans="1:13">
      <c r="A17" s="16" t="s">
        <v>31</v>
      </c>
      <c r="C17" s="16" t="s">
        <v>26</v>
      </c>
      <c r="D17" s="16" t="s">
        <v>36</v>
      </c>
      <c r="E17" s="16" t="s">
        <v>37</v>
      </c>
      <c r="L17" s="14" t="str">
        <f t="shared" si="0"/>
        <v>forcas_componentes-entity</v>
      </c>
      <c r="M17" s="14" t="str">
        <f t="shared" si="1"/>
        <v>forcas_componentes-rdf:type-entity</v>
      </c>
    </row>
    <row r="18" spans="1:13">
      <c r="A18" s="16" t="s">
        <v>171</v>
      </c>
      <c r="C18" s="16" t="s">
        <v>30</v>
      </c>
      <c r="D18" s="16" t="s">
        <v>3</v>
      </c>
      <c r="E18" s="16" t="s">
        <v>26</v>
      </c>
      <c r="L18" s="14" t="str">
        <f t="shared" si="0"/>
        <v>forca_naval-forcas_componentes</v>
      </c>
      <c r="M18" s="14" t="str">
        <f t="shared" si="1"/>
        <v>forca_naval-rdfs:subClassOf-forcas_componentes</v>
      </c>
    </row>
    <row r="19" spans="1:13">
      <c r="A19" s="16" t="s">
        <v>15</v>
      </c>
      <c r="C19" s="16" t="s">
        <v>29</v>
      </c>
      <c r="D19" s="16" t="s">
        <v>3</v>
      </c>
      <c r="E19" s="16" t="s">
        <v>26</v>
      </c>
      <c r="L19" s="14" t="str">
        <f t="shared" si="0"/>
        <v>forca_terrestre-forcas_componentes</v>
      </c>
      <c r="M19" s="14" t="str">
        <f t="shared" si="1"/>
        <v>forca_terrestre-rdfs:subClassOf-forcas_componentes</v>
      </c>
    </row>
    <row r="20" spans="1:13">
      <c r="A20" s="16" t="s">
        <v>16</v>
      </c>
      <c r="C20" s="16" t="s">
        <v>27</v>
      </c>
      <c r="D20" s="16" t="s">
        <v>3</v>
      </c>
      <c r="E20" s="16" t="s">
        <v>26</v>
      </c>
      <c r="L20" s="14" t="str">
        <f t="shared" si="0"/>
        <v>forca_aerea-forcas_componentes</v>
      </c>
      <c r="M20" s="14" t="str">
        <f t="shared" si="1"/>
        <v>forca_aerea-rdfs:subClassOf-forcas_componentes</v>
      </c>
    </row>
    <row r="21" spans="1:13">
      <c r="A21" s="16" t="s">
        <v>32</v>
      </c>
      <c r="C21" s="16" t="s">
        <v>27</v>
      </c>
      <c r="D21" s="16" t="s">
        <v>4</v>
      </c>
      <c r="E21" s="16" t="s">
        <v>23</v>
      </c>
      <c r="L21" s="14" t="str">
        <f t="shared" si="0"/>
        <v>forca_aerea-operacao</v>
      </c>
      <c r="M21" s="14" t="str">
        <f t="shared" si="1"/>
        <v>forca_aerea-rdfs:seeAlso-operacao</v>
      </c>
    </row>
    <row r="22" spans="1:13">
      <c r="A22" s="16" t="s">
        <v>9</v>
      </c>
      <c r="C22" s="16" t="s">
        <v>23</v>
      </c>
      <c r="D22" s="16" t="s">
        <v>36</v>
      </c>
      <c r="E22" s="16" t="s">
        <v>37</v>
      </c>
      <c r="L22" s="14" t="str">
        <f t="shared" si="0"/>
        <v>operacao-entity</v>
      </c>
      <c r="M22" s="14" t="str">
        <f t="shared" si="1"/>
        <v>operacao-rdf:type-entity</v>
      </c>
    </row>
    <row r="23" spans="1:13">
      <c r="A23" s="16" t="s">
        <v>18</v>
      </c>
      <c r="C23" s="16" t="s">
        <v>22</v>
      </c>
      <c r="D23" s="16" t="s">
        <v>3</v>
      </c>
      <c r="E23" s="16" t="s">
        <v>23</v>
      </c>
      <c r="L23" s="14" t="str">
        <f t="shared" si="0"/>
        <v>operacao_conjunta-operacao</v>
      </c>
      <c r="M23" s="14" t="str">
        <f t="shared" si="1"/>
        <v>operacao_conjunta-rdfs:subClassOf-operacao</v>
      </c>
    </row>
    <row r="24" spans="1:13">
      <c r="A24" s="16" t="s">
        <v>23</v>
      </c>
      <c r="C24" s="16" t="s">
        <v>22</v>
      </c>
      <c r="D24" s="16" t="s">
        <v>6</v>
      </c>
      <c r="E24" s="16" t="s">
        <v>24</v>
      </c>
      <c r="L24" s="14" t="str">
        <f t="shared" si="0"/>
        <v>operacao_conjunta-peculiaridades_tecnico_profissional</v>
      </c>
      <c r="M24" s="14" t="str">
        <f t="shared" si="1"/>
        <v>operacao_conjunta-rdfs:comment-peculiaridades_tecnico_profissional</v>
      </c>
    </row>
    <row r="25" spans="1:13">
      <c r="A25" s="16" t="s">
        <v>22</v>
      </c>
      <c r="C25" s="16" t="s">
        <v>22</v>
      </c>
      <c r="D25" s="16" t="s">
        <v>5</v>
      </c>
      <c r="E25" s="16" t="s">
        <v>12</v>
      </c>
      <c r="L25" s="14" t="str">
        <f t="shared" si="0"/>
        <v>operacao_conjunta-operacional</v>
      </c>
      <c r="M25" s="14" t="str">
        <f t="shared" si="1"/>
        <v>operacao_conjunta-c2rm:applied_to-operacional</v>
      </c>
    </row>
    <row r="26" spans="1:13">
      <c r="A26" s="16" t="s">
        <v>12</v>
      </c>
      <c r="C26" s="16" t="s">
        <v>22</v>
      </c>
      <c r="D26" s="16" t="s">
        <v>5</v>
      </c>
      <c r="E26" s="16" t="s">
        <v>11</v>
      </c>
      <c r="L26" s="14" t="str">
        <f t="shared" si="0"/>
        <v>operacao_conjunta-tatico</v>
      </c>
      <c r="M26" s="14" t="str">
        <f t="shared" si="1"/>
        <v>operacao_conjunta-c2rm:applied_to-tatico</v>
      </c>
    </row>
    <row r="27" spans="1:13">
      <c r="A27" s="16" t="s">
        <v>24</v>
      </c>
      <c r="C27" s="16" t="s">
        <v>22</v>
      </c>
      <c r="D27" s="16" t="s">
        <v>5</v>
      </c>
      <c r="E27" s="16" t="s">
        <v>10</v>
      </c>
      <c r="L27" s="14" t="str">
        <f t="shared" si="0"/>
        <v>operacao_conjunta-estrategico</v>
      </c>
      <c r="M27" s="14" t="str">
        <f t="shared" si="1"/>
        <v>operacao_conjunta-c2rm:applied_to-estrategico</v>
      </c>
    </row>
    <row r="28" spans="1:13">
      <c r="A28" s="16" t="s">
        <v>8</v>
      </c>
      <c r="C28" s="16" t="s">
        <v>28</v>
      </c>
      <c r="D28" s="16" t="s">
        <v>7</v>
      </c>
      <c r="E28" s="16" t="s">
        <v>11</v>
      </c>
      <c r="L28" s="14" t="str">
        <f t="shared" si="0"/>
        <v>forca_componente-tatico</v>
      </c>
      <c r="M28" s="14" t="str">
        <f t="shared" si="1"/>
        <v>forca_componente-c2rm:responsible_for-tatico</v>
      </c>
    </row>
    <row r="29" spans="1:13">
      <c r="A29" s="16" t="s">
        <v>20</v>
      </c>
      <c r="C29" s="16" t="s">
        <v>8</v>
      </c>
      <c r="D29" s="16" t="s">
        <v>5</v>
      </c>
      <c r="E29" s="16" t="s">
        <v>18</v>
      </c>
      <c r="L29" s="14" t="str">
        <f t="shared" si="0"/>
        <v>politico-objetivos_politicos</v>
      </c>
      <c r="M29" s="14" t="str">
        <f t="shared" si="1"/>
        <v>politico-c2rm:applied_to-objetivos_politicos</v>
      </c>
    </row>
    <row r="30" spans="1:13">
      <c r="A30" s="16" t="s">
        <v>11</v>
      </c>
      <c r="C30" s="16" t="s">
        <v>20</v>
      </c>
      <c r="D30" s="16" t="s">
        <v>7</v>
      </c>
      <c r="E30" s="16" t="s">
        <v>31</v>
      </c>
      <c r="L30" s="14" t="str">
        <f t="shared" si="0"/>
        <v>presidente_da_republica-forcas_armadas</v>
      </c>
      <c r="M30" s="14" t="str">
        <f t="shared" si="1"/>
        <v>presidente_da_republica-c2rm:responsible_for-forcas_armadas</v>
      </c>
    </row>
    <row r="31" spans="1:13">
      <c r="C31" s="16" t="s">
        <v>20</v>
      </c>
      <c r="D31" s="16" t="s">
        <v>7</v>
      </c>
      <c r="E31" s="16" t="s">
        <v>8</v>
      </c>
      <c r="L31" s="14" t="str">
        <f t="shared" si="0"/>
        <v>presidente_da_republica-politico</v>
      </c>
      <c r="M31" s="14" t="str">
        <f t="shared" si="1"/>
        <v>presidente_da_republica-c2rm:responsible_for-politico</v>
      </c>
    </row>
    <row r="32" spans="1:13">
      <c r="C32" s="16" t="s">
        <v>20</v>
      </c>
      <c r="D32" s="16" t="s">
        <v>7</v>
      </c>
      <c r="E32" s="16" t="s">
        <v>18</v>
      </c>
      <c r="L32" s="14" t="str">
        <f t="shared" si="0"/>
        <v>presidente_da_republica-objetivos_politicos</v>
      </c>
      <c r="M32" s="14" t="str">
        <f t="shared" si="1"/>
        <v>presidente_da_republica-c2rm:responsible_for-objetivos_politicos</v>
      </c>
    </row>
    <row r="33" spans="3:13">
      <c r="C33" s="16" t="s">
        <v>20</v>
      </c>
      <c r="D33" s="16" t="s">
        <v>7</v>
      </c>
      <c r="E33" s="16" t="s">
        <v>40</v>
      </c>
      <c r="L33" s="14" t="str">
        <f t="shared" si="0"/>
        <v>presidente_da_republica-comando_supremo</v>
      </c>
      <c r="M33" s="14" t="str">
        <f t="shared" si="1"/>
        <v>presidente_da_republica-c2rm:responsible_for-comando_supremo</v>
      </c>
    </row>
    <row r="34" spans="3:13">
      <c r="C34" s="16" t="s">
        <v>40</v>
      </c>
      <c r="D34" s="16" t="s">
        <v>7</v>
      </c>
      <c r="E34" s="16" t="s">
        <v>19</v>
      </c>
      <c r="L34" s="14" t="str">
        <f t="shared" si="0"/>
        <v>comando_supremo-emprego</v>
      </c>
      <c r="M34" s="14" t="str">
        <f t="shared" si="1"/>
        <v>comando_supremo-c2rm:responsible_for-emprego</v>
      </c>
    </row>
    <row r="35" spans="3:13">
      <c r="C35" s="17" t="s">
        <v>8</v>
      </c>
      <c r="D35" s="17" t="s">
        <v>4</v>
      </c>
      <c r="E35" s="17" t="s">
        <v>19</v>
      </c>
      <c r="L35" s="14" t="str">
        <f t="shared" si="0"/>
        <v>politico-emprego</v>
      </c>
      <c r="M35" s="14" t="str">
        <f t="shared" si="1"/>
        <v>politico-rdfs:seeAlso-emprego</v>
      </c>
    </row>
    <row r="36" spans="3:13">
      <c r="C36" s="16" t="s">
        <v>21</v>
      </c>
      <c r="D36" s="16" t="s">
        <v>7</v>
      </c>
      <c r="E36" s="16" t="s">
        <v>8</v>
      </c>
      <c r="L36" s="14" t="str">
        <f t="shared" si="0"/>
        <v>comandante_supremo-politico</v>
      </c>
      <c r="M36" s="14" t="str">
        <f t="shared" si="1"/>
        <v>comandante_supremo-c2rm:responsible_for-politico</v>
      </c>
    </row>
    <row r="37" spans="3:13">
      <c r="C37" s="16" t="s">
        <v>21</v>
      </c>
      <c r="D37" s="16" t="s">
        <v>35</v>
      </c>
      <c r="E37" s="16" t="s">
        <v>40</v>
      </c>
      <c r="L37" s="14" t="str">
        <f t="shared" si="0"/>
        <v>comandante_supremo-comando_supremo</v>
      </c>
      <c r="M37" s="14" t="str">
        <f t="shared" si="1"/>
        <v>comandante_supremo-owl:equivalentClass-comando_supremo</v>
      </c>
    </row>
    <row r="38" spans="3:13">
      <c r="C38" s="16" t="s">
        <v>28</v>
      </c>
      <c r="D38" s="16" t="s">
        <v>7</v>
      </c>
      <c r="E38" s="16" t="s">
        <v>22</v>
      </c>
      <c r="L38" s="14" t="str">
        <f t="shared" si="0"/>
        <v>forca_componente-operacao_conjunta</v>
      </c>
      <c r="M38" s="14" t="str">
        <f t="shared" si="1"/>
        <v>forca_componente-c2rm:responsible_for-operacao_conjunta</v>
      </c>
    </row>
    <row r="39" spans="3:13">
      <c r="C39" s="16" t="s">
        <v>31</v>
      </c>
      <c r="D39" s="16" t="s">
        <v>4</v>
      </c>
      <c r="E39" s="16" t="s">
        <v>22</v>
      </c>
      <c r="L39" s="14" t="str">
        <f t="shared" si="0"/>
        <v>forcas_armadas-operacao_conjunta</v>
      </c>
      <c r="M39" s="14" t="str">
        <f t="shared" si="1"/>
        <v>forcas_armadas-rdfs:seeAlso-operacao_conjunta</v>
      </c>
    </row>
    <row r="40" spans="3:13">
      <c r="C40" s="16" t="s">
        <v>22</v>
      </c>
      <c r="D40" s="16" t="s">
        <v>6</v>
      </c>
      <c r="E40" s="16" t="s">
        <v>25</v>
      </c>
      <c r="L40" s="14" t="str">
        <f t="shared" si="0"/>
        <v>operacao_conjunta-heterogeneidade_dos_processos_de_emeprego</v>
      </c>
      <c r="M40" s="14" t="str">
        <f t="shared" si="1"/>
        <v>operacao_conjunta-rdfs:comment-heterogeneidade_dos_processos_de_emeprego</v>
      </c>
    </row>
    <row r="41" spans="3:13">
      <c r="C41" s="16" t="s">
        <v>27</v>
      </c>
      <c r="D41" s="16" t="s">
        <v>4</v>
      </c>
      <c r="E41" s="16" t="s">
        <v>19</v>
      </c>
      <c r="L41" s="14" t="str">
        <f t="shared" si="0"/>
        <v>forca_aerea-emprego</v>
      </c>
      <c r="M41" s="14" t="str">
        <f t="shared" si="1"/>
        <v>forca_aerea-rdfs:seeAlso-emprego</v>
      </c>
    </row>
    <row r="42" spans="3:13">
      <c r="C42" s="16" t="s">
        <v>11</v>
      </c>
      <c r="D42" s="16" t="s">
        <v>4</v>
      </c>
      <c r="E42" s="16" t="s">
        <v>15</v>
      </c>
    </row>
    <row r="43" spans="3:13">
      <c r="C43" s="16" t="s">
        <v>21</v>
      </c>
      <c r="D43" s="16" t="s">
        <v>7</v>
      </c>
      <c r="E43" s="16" t="s">
        <v>31</v>
      </c>
    </row>
    <row r="44" spans="3:13">
      <c r="C44" s="16" t="s">
        <v>21</v>
      </c>
      <c r="D44" s="16" t="s">
        <v>7</v>
      </c>
      <c r="E44" s="16" t="s">
        <v>8</v>
      </c>
    </row>
    <row r="45" spans="3:13">
      <c r="C45" s="16" t="s">
        <v>21</v>
      </c>
      <c r="D45" s="16" t="s">
        <v>7</v>
      </c>
      <c r="E45" s="16" t="s">
        <v>18</v>
      </c>
    </row>
    <row r="46" spans="3:13">
      <c r="C46" s="16" t="s">
        <v>21</v>
      </c>
      <c r="D46" s="16" t="s">
        <v>7</v>
      </c>
      <c r="E46" s="16" t="s">
        <v>40</v>
      </c>
    </row>
    <row r="47" spans="3:13">
      <c r="C47" s="16"/>
      <c r="D47" s="16"/>
      <c r="E47" s="16"/>
    </row>
  </sheetData>
  <sortState ref="A2:A31">
    <sortCondition ref="A2"/>
  </sortState>
  <mergeCells count="1">
    <mergeCell ref="C1:E1"/>
  </mergeCells>
  <dataValidations count="3">
    <dataValidation type="list" allowBlank="1" showInputMessage="1" showErrorMessage="1" sqref="E2:E15 E36 E30:E31 C29 C2:C16 E43:E44">
      <formula1>$A$2:$A$29</formula1>
    </dataValidation>
    <dataValidation type="list" allowBlank="1" showInputMessage="1" showErrorMessage="1" sqref="D2:D47">
      <formula1>$G$2:$G$9</formula1>
    </dataValidation>
    <dataValidation type="list" allowBlank="1" showInputMessage="1" showErrorMessage="1" sqref="E37:E42 E45:E47 E32:E35 C17:C28 E16:E29 C30:C47">
      <formula1>$A$2:$A$30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Y64"/>
  <sheetViews>
    <sheetView topLeftCell="H1" zoomScale="115" zoomScaleNormal="115" workbookViewId="0">
      <selection activeCell="W4" sqref="W4"/>
    </sheetView>
  </sheetViews>
  <sheetFormatPr defaultRowHeight="14.6"/>
  <cols>
    <col min="1" max="1" width="19.53515625" bestFit="1" customWidth="1"/>
    <col min="2" max="2" width="21.84375" bestFit="1" customWidth="1"/>
    <col min="3" max="3" width="21.84375" customWidth="1"/>
    <col min="4" max="4" width="19.53515625" bestFit="1" customWidth="1"/>
    <col min="5" max="5" width="13.53515625" bestFit="1" customWidth="1"/>
    <col min="6" max="8" width="15.69140625" customWidth="1"/>
    <col min="9" max="9" width="15.53515625" customWidth="1"/>
    <col min="12" max="12" width="13.07421875" bestFit="1" customWidth="1"/>
    <col min="13" max="13" width="13.07421875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21" max="21" width="9.3046875" customWidth="1"/>
    <col min="22" max="22" width="11" bestFit="1" customWidth="1"/>
    <col min="23" max="23" width="9.69140625" customWidth="1"/>
  </cols>
  <sheetData>
    <row r="1" spans="1:25">
      <c r="A1" s="86" t="s">
        <v>181</v>
      </c>
      <c r="B1" s="86"/>
      <c r="D1" s="87" t="s">
        <v>183</v>
      </c>
      <c r="E1" s="87"/>
      <c r="F1" s="87"/>
    </row>
    <row r="2" spans="1:25">
      <c r="A2" s="32" t="s">
        <v>210</v>
      </c>
      <c r="B2" s="32" t="s">
        <v>211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</row>
    <row r="3" spans="1:25">
      <c r="A3" t="s">
        <v>62</v>
      </c>
      <c r="B3" t="s">
        <v>33</v>
      </c>
      <c r="D3" t="s">
        <v>8</v>
      </c>
      <c r="E3" t="s">
        <v>101</v>
      </c>
      <c r="F3" t="s">
        <v>9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84</v>
      </c>
      <c r="T3" s="7" t="s">
        <v>85</v>
      </c>
      <c r="U3" s="7" t="s">
        <v>71</v>
      </c>
      <c r="V3" s="7" t="s">
        <v>72</v>
      </c>
      <c r="W3" s="7" t="s">
        <v>73</v>
      </c>
      <c r="Y3" t="s">
        <v>33</v>
      </c>
    </row>
    <row r="4" spans="1:25">
      <c r="A4" t="s">
        <v>59</v>
      </c>
      <c r="D4" t="s">
        <v>102</v>
      </c>
      <c r="E4" t="s">
        <v>101</v>
      </c>
      <c r="F4" t="s">
        <v>9</v>
      </c>
      <c r="K4" s="85" t="s">
        <v>80</v>
      </c>
      <c r="L4" s="8" t="s">
        <v>0</v>
      </c>
      <c r="M4" s="4">
        <f>GRAFO!J2</f>
        <v>29</v>
      </c>
      <c r="N4" s="2">
        <f>COUNTA(A3:A30)</f>
        <v>28</v>
      </c>
      <c r="O4" s="2">
        <f>COUNTIF(B3:B29,"&lt;&gt;"&amp;"")</f>
        <v>16</v>
      </c>
      <c r="P4" s="2">
        <f>N4-R4</f>
        <v>16</v>
      </c>
      <c r="Q4" s="2">
        <f>M4-O4</f>
        <v>13</v>
      </c>
      <c r="R4" s="2">
        <f>N4-O4</f>
        <v>12</v>
      </c>
      <c r="S4" s="2">
        <f>O4+P4</f>
        <v>32</v>
      </c>
      <c r="T4" s="2">
        <f>Q4+R4</f>
        <v>25</v>
      </c>
      <c r="U4" s="6">
        <f>O4/(O4+R4)</f>
        <v>0.5714285714285714</v>
      </c>
      <c r="V4" s="6">
        <f>O4/(O4+Q4)</f>
        <v>0.55172413793103448</v>
      </c>
      <c r="W4" s="6">
        <f>(O4+P4)/(O4+P4+Q4+R4)</f>
        <v>0.56140350877192979</v>
      </c>
      <c r="X4" s="62">
        <f>AVERAGE(U4:W4)</f>
        <v>0.56151873937717856</v>
      </c>
      <c r="Y4" t="s">
        <v>21</v>
      </c>
    </row>
    <row r="5" spans="1:25">
      <c r="A5" t="s">
        <v>60</v>
      </c>
      <c r="D5" t="s">
        <v>44</v>
      </c>
      <c r="E5" t="s">
        <v>101</v>
      </c>
      <c r="F5" t="s">
        <v>9</v>
      </c>
      <c r="K5" s="85"/>
      <c r="L5" s="8" t="s">
        <v>100</v>
      </c>
      <c r="M5" s="5">
        <f>GRAFO!J3</f>
        <v>41</v>
      </c>
      <c r="N5" s="3">
        <f>COUNTA(D35:D64)</f>
        <v>30</v>
      </c>
      <c r="O5" s="3">
        <f>COUNTIF(M35:M64,"=1")</f>
        <v>9</v>
      </c>
      <c r="P5" s="2">
        <f>N5-R5</f>
        <v>9</v>
      </c>
      <c r="Q5" s="2">
        <f>M5-O5</f>
        <v>32</v>
      </c>
      <c r="R5" s="2">
        <f>N5-O5</f>
        <v>21</v>
      </c>
      <c r="S5" s="2">
        <f>O5+P5</f>
        <v>18</v>
      </c>
      <c r="T5" s="2">
        <f>Q5+R5</f>
        <v>53</v>
      </c>
      <c r="U5" s="6">
        <f>O5/(O5+R5)</f>
        <v>0.3</v>
      </c>
      <c r="V5" s="6">
        <f>O5/(O5+Q5)</f>
        <v>0.21951219512195122</v>
      </c>
      <c r="W5" s="6">
        <f>(O5+P5)/(O5+P5+Q5+R5)</f>
        <v>0.25352112676056338</v>
      </c>
      <c r="X5" s="62">
        <f t="shared" ref="X5:X6" si="0">AVERAGE(U5:W5)</f>
        <v>0.25767777396083819</v>
      </c>
      <c r="Y5" t="s">
        <v>17</v>
      </c>
    </row>
    <row r="6" spans="1:25">
      <c r="A6" t="s">
        <v>50</v>
      </c>
      <c r="D6" t="s">
        <v>11</v>
      </c>
      <c r="E6" t="s">
        <v>101</v>
      </c>
      <c r="F6" t="s">
        <v>9</v>
      </c>
      <c r="L6" s="8" t="s">
        <v>99</v>
      </c>
      <c r="M6" s="5">
        <v>41</v>
      </c>
      <c r="N6" s="3">
        <f>COUNTA(D35:D64)</f>
        <v>30</v>
      </c>
      <c r="O6" s="3">
        <f>COUNTIF(U35:U64,"=1")</f>
        <v>8</v>
      </c>
      <c r="P6" s="2">
        <f>N6-R6</f>
        <v>8</v>
      </c>
      <c r="Q6" s="2">
        <f>M6-O6</f>
        <v>33</v>
      </c>
      <c r="R6" s="2">
        <f>N6-O6</f>
        <v>22</v>
      </c>
      <c r="S6" s="2">
        <f>O6+P6</f>
        <v>16</v>
      </c>
      <c r="T6" s="2">
        <f>Q6+R6</f>
        <v>55</v>
      </c>
      <c r="U6" s="6">
        <f>O6/(O6+R6)</f>
        <v>0.26666666666666666</v>
      </c>
      <c r="V6" s="6">
        <f>O6/(O6+Q6)</f>
        <v>0.1951219512195122</v>
      </c>
      <c r="W6" s="6">
        <f>(O6+P6)/(O6+P6+Q6+R6)</f>
        <v>0.22535211267605634</v>
      </c>
      <c r="X6" s="62">
        <f t="shared" si="0"/>
        <v>0.22904691018741175</v>
      </c>
      <c r="Y6" t="s">
        <v>40</v>
      </c>
    </row>
    <row r="7" spans="1:25">
      <c r="A7" t="s">
        <v>58</v>
      </c>
      <c r="B7" t="s">
        <v>13</v>
      </c>
      <c r="D7" t="s">
        <v>46</v>
      </c>
      <c r="E7" t="s">
        <v>101</v>
      </c>
      <c r="F7" t="s">
        <v>45</v>
      </c>
      <c r="X7" s="62">
        <f>AVERAGE(X4:X6)</f>
        <v>0.34941447450847618</v>
      </c>
      <c r="Y7" t="s">
        <v>13</v>
      </c>
    </row>
    <row r="8" spans="1:25">
      <c r="A8" t="s">
        <v>61</v>
      </c>
      <c r="D8" t="s">
        <v>47</v>
      </c>
      <c r="E8" t="s">
        <v>101</v>
      </c>
      <c r="F8" t="s">
        <v>45</v>
      </c>
      <c r="Y8" t="s">
        <v>39</v>
      </c>
    </row>
    <row r="9" spans="1:25">
      <c r="A9" t="s">
        <v>47</v>
      </c>
      <c r="D9" t="s">
        <v>49</v>
      </c>
      <c r="E9" t="s">
        <v>101</v>
      </c>
      <c r="F9" t="s">
        <v>45</v>
      </c>
      <c r="K9" t="s">
        <v>74</v>
      </c>
      <c r="L9" t="s">
        <v>75</v>
      </c>
      <c r="N9">
        <f>GRAFO!J2</f>
        <v>29</v>
      </c>
      <c r="Y9" t="s">
        <v>19</v>
      </c>
    </row>
    <row r="10" spans="1:25">
      <c r="A10" t="s">
        <v>45</v>
      </c>
      <c r="D10" t="s">
        <v>48</v>
      </c>
      <c r="E10" t="s">
        <v>101</v>
      </c>
      <c r="F10" t="s">
        <v>45</v>
      </c>
      <c r="K10" t="s">
        <v>80</v>
      </c>
      <c r="L10" t="s">
        <v>76</v>
      </c>
      <c r="N10">
        <f>N4</f>
        <v>28</v>
      </c>
      <c r="Y10" t="s">
        <v>37</v>
      </c>
    </row>
    <row r="11" spans="1:25">
      <c r="A11" t="s">
        <v>56</v>
      </c>
      <c r="B11" t="s">
        <v>34</v>
      </c>
      <c r="D11" t="s">
        <v>66</v>
      </c>
      <c r="E11" t="s">
        <v>101</v>
      </c>
      <c r="F11" t="s">
        <v>65</v>
      </c>
      <c r="K11" t="s">
        <v>68</v>
      </c>
      <c r="L11" t="s">
        <v>77</v>
      </c>
      <c r="N11">
        <v>16</v>
      </c>
      <c r="Y11" t="s">
        <v>10</v>
      </c>
    </row>
    <row r="12" spans="1:25">
      <c r="A12" t="s">
        <v>102</v>
      </c>
      <c r="B12" t="s">
        <v>10</v>
      </c>
      <c r="D12" t="s">
        <v>55</v>
      </c>
      <c r="E12" t="s">
        <v>101</v>
      </c>
      <c r="F12" t="s">
        <v>54</v>
      </c>
      <c r="K12" t="s">
        <v>70</v>
      </c>
      <c r="L12" t="s">
        <v>78</v>
      </c>
      <c r="M12" t="s">
        <v>86</v>
      </c>
      <c r="N12">
        <f>N9-N11</f>
        <v>13</v>
      </c>
      <c r="Y12" t="s">
        <v>14</v>
      </c>
    </row>
    <row r="13" spans="1:25">
      <c r="A13" t="s">
        <v>51</v>
      </c>
      <c r="D13" t="s">
        <v>56</v>
      </c>
      <c r="E13" t="s">
        <v>101</v>
      </c>
      <c r="F13" t="s">
        <v>54</v>
      </c>
      <c r="K13" t="s">
        <v>69</v>
      </c>
      <c r="L13" t="s">
        <v>79</v>
      </c>
      <c r="M13" t="s">
        <v>87</v>
      </c>
      <c r="Y13" t="s">
        <v>34</v>
      </c>
    </row>
    <row r="14" spans="1:25">
      <c r="A14" t="s">
        <v>54</v>
      </c>
      <c r="B14" t="s">
        <v>31</v>
      </c>
      <c r="D14" t="s">
        <v>57</v>
      </c>
      <c r="E14" t="s">
        <v>101</v>
      </c>
      <c r="F14" t="s">
        <v>54</v>
      </c>
      <c r="K14" t="s">
        <v>83</v>
      </c>
      <c r="M14" t="s">
        <v>88</v>
      </c>
      <c r="Y14" t="s">
        <v>27</v>
      </c>
    </row>
    <row r="15" spans="1:25">
      <c r="A15" t="s">
        <v>57</v>
      </c>
      <c r="B15" t="s">
        <v>33</v>
      </c>
      <c r="D15" t="s">
        <v>61</v>
      </c>
      <c r="E15" t="s">
        <v>101</v>
      </c>
      <c r="F15" t="s">
        <v>58</v>
      </c>
      <c r="K15" t="s">
        <v>89</v>
      </c>
      <c r="M15" t="s">
        <v>92</v>
      </c>
      <c r="Y15" t="s">
        <v>28</v>
      </c>
    </row>
    <row r="16" spans="1:25">
      <c r="A16" t="s">
        <v>64</v>
      </c>
      <c r="B16" t="s">
        <v>28</v>
      </c>
      <c r="D16" t="s">
        <v>15</v>
      </c>
      <c r="E16" t="s">
        <v>101</v>
      </c>
      <c r="F16" t="s">
        <v>58</v>
      </c>
      <c r="K16" t="s">
        <v>90</v>
      </c>
      <c r="M16" t="s">
        <v>93</v>
      </c>
      <c r="Y16" t="s">
        <v>30</v>
      </c>
    </row>
    <row r="17" spans="1:25">
      <c r="A17" t="s">
        <v>15</v>
      </c>
      <c r="B17" t="s">
        <v>15</v>
      </c>
      <c r="D17" t="s">
        <v>60</v>
      </c>
      <c r="E17" t="s">
        <v>101</v>
      </c>
      <c r="F17" t="s">
        <v>58</v>
      </c>
      <c r="K17" t="s">
        <v>91</v>
      </c>
      <c r="M17" t="s">
        <v>94</v>
      </c>
      <c r="Y17" t="s">
        <v>29</v>
      </c>
    </row>
    <row r="18" spans="1:25">
      <c r="A18" t="s">
        <v>55</v>
      </c>
      <c r="B18" t="s">
        <v>32</v>
      </c>
      <c r="D18" t="s">
        <v>59</v>
      </c>
      <c r="E18" t="s">
        <v>101</v>
      </c>
      <c r="F18" t="s">
        <v>58</v>
      </c>
      <c r="K18" t="s">
        <v>84</v>
      </c>
      <c r="M18" t="s">
        <v>95</v>
      </c>
      <c r="Y18" t="s">
        <v>31</v>
      </c>
    </row>
    <row r="19" spans="1:25">
      <c r="A19" t="s">
        <v>53</v>
      </c>
      <c r="D19" t="s">
        <v>62</v>
      </c>
      <c r="E19" t="s">
        <v>103</v>
      </c>
      <c r="F19" t="s">
        <v>58</v>
      </c>
      <c r="K19" t="s">
        <v>85</v>
      </c>
      <c r="M19" t="s">
        <v>96</v>
      </c>
      <c r="Y19" t="s">
        <v>25</v>
      </c>
    </row>
    <row r="20" spans="1:25">
      <c r="A20" t="s">
        <v>63</v>
      </c>
      <c r="D20" t="s">
        <v>54</v>
      </c>
      <c r="E20" t="s">
        <v>101</v>
      </c>
      <c r="F20" t="s">
        <v>51</v>
      </c>
      <c r="K20" t="s">
        <v>97</v>
      </c>
      <c r="M20" t="s">
        <v>98</v>
      </c>
      <c r="Y20" t="s">
        <v>15</v>
      </c>
    </row>
    <row r="21" spans="1:25">
      <c r="A21" t="s">
        <v>9</v>
      </c>
      <c r="B21" t="s">
        <v>9</v>
      </c>
      <c r="D21" t="s">
        <v>53</v>
      </c>
      <c r="E21" t="s">
        <v>101</v>
      </c>
      <c r="F21" t="s">
        <v>51</v>
      </c>
      <c r="Y21" t="s">
        <v>16</v>
      </c>
    </row>
    <row r="22" spans="1:25">
      <c r="A22" t="s">
        <v>49</v>
      </c>
      <c r="B22" t="s">
        <v>18</v>
      </c>
      <c r="D22" t="s">
        <v>52</v>
      </c>
      <c r="E22" t="s">
        <v>101</v>
      </c>
      <c r="F22" t="s">
        <v>51</v>
      </c>
      <c r="Y22" t="s">
        <v>32</v>
      </c>
    </row>
    <row r="23" spans="1:25">
      <c r="A23" t="s">
        <v>44</v>
      </c>
      <c r="B23" t="s">
        <v>12</v>
      </c>
      <c r="D23" t="s">
        <v>64</v>
      </c>
      <c r="E23" t="s">
        <v>103</v>
      </c>
      <c r="F23" t="s">
        <v>66</v>
      </c>
      <c r="Y23" t="s">
        <v>9</v>
      </c>
    </row>
    <row r="24" spans="1:25">
      <c r="A24" t="s">
        <v>66</v>
      </c>
      <c r="B24" t="s">
        <v>22</v>
      </c>
      <c r="D24" t="s">
        <v>50</v>
      </c>
      <c r="E24" t="s">
        <v>104</v>
      </c>
      <c r="F24" t="s">
        <v>51</v>
      </c>
      <c r="Y24" t="s">
        <v>18</v>
      </c>
    </row>
    <row r="25" spans="1:25">
      <c r="A25" t="s">
        <v>65</v>
      </c>
      <c r="B25" t="s">
        <v>23</v>
      </c>
      <c r="D25" t="s">
        <v>63</v>
      </c>
      <c r="E25" t="s">
        <v>105</v>
      </c>
      <c r="F25" t="s">
        <v>58</v>
      </c>
      <c r="Y25" t="s">
        <v>23</v>
      </c>
    </row>
    <row r="26" spans="1:25">
      <c r="A26" t="s">
        <v>48</v>
      </c>
      <c r="D26" t="s">
        <v>64</v>
      </c>
      <c r="E26" t="s">
        <v>106</v>
      </c>
      <c r="F26" t="s">
        <v>54</v>
      </c>
      <c r="Y26" t="s">
        <v>22</v>
      </c>
    </row>
    <row r="27" spans="1:25">
      <c r="A27" t="s">
        <v>46</v>
      </c>
      <c r="D27" t="s">
        <v>58</v>
      </c>
      <c r="E27" t="s">
        <v>106</v>
      </c>
      <c r="F27" t="s">
        <v>64</v>
      </c>
      <c r="Y27" t="s">
        <v>12</v>
      </c>
    </row>
    <row r="28" spans="1:25">
      <c r="A28" t="s">
        <v>8</v>
      </c>
      <c r="B28" t="s">
        <v>8</v>
      </c>
      <c r="D28" t="s">
        <v>51</v>
      </c>
      <c r="E28" t="s">
        <v>107</v>
      </c>
      <c r="F28" t="s">
        <v>45</v>
      </c>
      <c r="Y28" t="s">
        <v>24</v>
      </c>
    </row>
    <row r="29" spans="1:25">
      <c r="A29" t="s">
        <v>52</v>
      </c>
      <c r="B29" t="s">
        <v>20</v>
      </c>
      <c r="D29" t="s">
        <v>51</v>
      </c>
      <c r="E29" t="s">
        <v>108</v>
      </c>
      <c r="F29" t="s">
        <v>9</v>
      </c>
      <c r="Y29" t="s">
        <v>8</v>
      </c>
    </row>
    <row r="30" spans="1:25">
      <c r="A30" t="s">
        <v>11</v>
      </c>
      <c r="B30" t="s">
        <v>11</v>
      </c>
      <c r="D30" t="s">
        <v>53</v>
      </c>
      <c r="E30" t="s">
        <v>109</v>
      </c>
      <c r="F30" t="s">
        <v>63</v>
      </c>
      <c r="Y30" t="s">
        <v>20</v>
      </c>
    </row>
    <row r="31" spans="1:25">
      <c r="D31" t="s">
        <v>53</v>
      </c>
      <c r="E31" t="s">
        <v>109</v>
      </c>
      <c r="F31" t="s">
        <v>62</v>
      </c>
      <c r="Y31" t="s">
        <v>11</v>
      </c>
    </row>
    <row r="32" spans="1:25">
      <c r="D32" t="s">
        <v>58</v>
      </c>
      <c r="E32" t="s">
        <v>103</v>
      </c>
      <c r="F32" t="s">
        <v>62</v>
      </c>
    </row>
    <row r="33" spans="1:21">
      <c r="A33" s="88" t="s">
        <v>182</v>
      </c>
      <c r="B33" s="88"/>
      <c r="D33" s="89" t="s">
        <v>222</v>
      </c>
      <c r="E33" s="89"/>
      <c r="F33" s="89"/>
      <c r="G33" s="89"/>
      <c r="I33" s="90" t="s">
        <v>224</v>
      </c>
      <c r="J33" s="90"/>
      <c r="K33" s="90"/>
      <c r="L33" s="90"/>
      <c r="M33" s="90"/>
      <c r="O33" s="92" t="s">
        <v>229</v>
      </c>
      <c r="P33" s="92"/>
      <c r="Q33" s="92"/>
      <c r="R33" s="92"/>
      <c r="S33" s="92"/>
      <c r="T33" s="92"/>
      <c r="U33" s="92"/>
    </row>
    <row r="34" spans="1:21">
      <c r="A34" s="32" t="s">
        <v>212</v>
      </c>
      <c r="B34" s="33" t="s">
        <v>213</v>
      </c>
      <c r="D34" s="34" t="s">
        <v>220</v>
      </c>
      <c r="E34" s="34" t="s">
        <v>219</v>
      </c>
      <c r="F34" s="34" t="s">
        <v>221</v>
      </c>
      <c r="G34" s="34" t="s">
        <v>223</v>
      </c>
      <c r="I34" s="91" t="s">
        <v>225</v>
      </c>
      <c r="J34" s="91"/>
      <c r="K34" s="91"/>
      <c r="L34" s="91" t="s">
        <v>226</v>
      </c>
      <c r="M34" s="91"/>
      <c r="O34" s="93" t="s">
        <v>227</v>
      </c>
      <c r="P34" s="93"/>
      <c r="Q34" s="93"/>
      <c r="R34" s="93"/>
      <c r="S34" s="93"/>
      <c r="T34" s="93" t="s">
        <v>228</v>
      </c>
      <c r="U34" s="93"/>
    </row>
    <row r="35" spans="1:21">
      <c r="A35" t="str">
        <f>E18</f>
        <v>especialization</v>
      </c>
      <c r="B35" t="s">
        <v>3</v>
      </c>
      <c r="C35" t="str">
        <f>IF(INDEX($A$3:$B$30,MATCH(D3,$A$3:$A$30,0),2)&lt;&gt;0,"OK","NOK")</f>
        <v>OK</v>
      </c>
      <c r="D35" t="str">
        <f>IF(INDEX($A$3:$B$30,MATCH(D3,$A$3:$A$30,0),2)&lt;&gt;0,INDEX($A$3:$B$30,MATCH(D3,$A$3:$A$30,0),2),D3)</f>
        <v>politico</v>
      </c>
      <c r="E35" t="str">
        <f>IF(INDEX($A$35:$B$42,MATCH(E3,$A$35:$A$42,0),2)&lt;&gt;0,INDEX($A$35:$B$42,MATCH(E3,$A$35:$A$42,0),2),E3)</f>
        <v>rdfs:subClassOf</v>
      </c>
      <c r="F35" t="str">
        <f>IF(INDEX($A$3:$B$30,MATCH(F3,$A$3:$A$30,0),2)&lt;&gt;0,INDEX($A$3:$B$30,MATCH(F3,$A$3:$A$30,0),2),F3)</f>
        <v>nivel</v>
      </c>
      <c r="G35" t="str">
        <f>IF(INDEX($A$3:$B$30,MATCH(F3,$A$3:$A$30,0),2)&lt;&gt;0,"OK","NOK")</f>
        <v>OK</v>
      </c>
      <c r="H35">
        <f>COUNTIFS(GRAFO!C2:C42,"=D34",GRAFO!E2:E42,"=F34")</f>
        <v>0</v>
      </c>
      <c r="I35" s="10" t="str">
        <f>D35 &amp;"-"&amp;F35</f>
        <v>politico-nivel</v>
      </c>
      <c r="J35" s="10"/>
      <c r="K35" s="10"/>
      <c r="L35" s="10">
        <f>IF(INDEX(GRAFO!$L$2:'GRAFO'!$L$41,MATCH(I35,GRAFO!$L$2:'GRAFO'!$L$41,0),1)&lt;&gt;0,1,0)</f>
        <v>1</v>
      </c>
      <c r="M35" s="10">
        <f>IFERROR(L35,0)</f>
        <v>1</v>
      </c>
      <c r="O35" s="10" t="str">
        <f>D35 &amp; "-" &amp; E35 &amp; "-" &amp; F35</f>
        <v>politico-rdfs:subClassOf-nivel</v>
      </c>
      <c r="P35" s="10"/>
      <c r="Q35" s="10"/>
      <c r="R35" s="10"/>
      <c r="S35" s="10"/>
      <c r="T35" s="10">
        <f>IF(INDEX(GRAFO!$M$2:'GRAFO'!$M$41,MATCH(O35,GRAFO!$M$2:'GRAFO'!$M$41,0),1)&lt;&gt;0,1,0)</f>
        <v>1</v>
      </c>
      <c r="U35" s="10">
        <f>IFERROR(T35,0)</f>
        <v>1</v>
      </c>
    </row>
    <row r="36" spans="1:21">
      <c r="A36" t="str">
        <f>E23</f>
        <v>associado_com</v>
      </c>
      <c r="B36" t="s">
        <v>4</v>
      </c>
      <c r="C36" t="str">
        <f t="shared" ref="C36:C64" si="1">IF(INDEX($A$3:$B$30,MATCH(D4,$A$3:$A$30,0),2)&lt;&gt;0,"OK","NOK")</f>
        <v>OK</v>
      </c>
      <c r="D36" t="str">
        <f t="shared" ref="D36:D64" si="2">IF(INDEX($A$3:$B$30,MATCH(D4,$A$3:$A$30,0),2)&lt;&gt;0,INDEX($A$3:$B$30,MATCH(D4,$A$3:$A$30,0),2),D4)</f>
        <v>estrategico</v>
      </c>
      <c r="E36" t="str">
        <f t="shared" ref="E36:E64" si="3">IF(INDEX($A$35:$B$42,MATCH(E4,$A$35:$A$42,0),2)&lt;&gt;0,INDEX($A$35:$B$42,MATCH(E4,$A$35:$A$42,0),2),E4)</f>
        <v>rdfs:subClassOf</v>
      </c>
      <c r="F36" t="str">
        <f t="shared" ref="F36:F64" si="4">IF(INDEX($A$3:$B$30,MATCH(F4,$A$3:$A$30,0),2)&lt;&gt;0,INDEX($A$3:$B$30,MATCH(F4,$A$3:$A$30,0),2),F4)</f>
        <v>nivel</v>
      </c>
      <c r="G36" t="str">
        <f t="shared" ref="G36:G64" si="5">IF(INDEX($A$3:$B$30,MATCH(F4,$A$3:$A$30,0),2)&lt;&gt;0,"OK","NOK")</f>
        <v>OK</v>
      </c>
      <c r="I36" s="10" t="str">
        <f t="shared" ref="I36:I64" si="6">D36 &amp;"-"&amp;F36</f>
        <v>estrategico-nivel</v>
      </c>
      <c r="J36" s="10"/>
      <c r="K36" s="10"/>
      <c r="L36" s="10">
        <f>IF(INDEX(GRAFO!$L$2:'GRAFO'!$L$41,MATCH(I36,GRAFO!$L$2:'GRAFO'!$L$41,0),1)&lt;&gt;0,1,0)</f>
        <v>1</v>
      </c>
      <c r="M36" s="10">
        <f t="shared" ref="M36:M64" si="7">IFERROR(L36,0)</f>
        <v>1</v>
      </c>
      <c r="O36" s="10" t="str">
        <f t="shared" ref="O36:O64" si="8">D36 &amp; "-" &amp; E36 &amp; "-" &amp; F36</f>
        <v>estrategico-rdfs:subClassOf-nivel</v>
      </c>
      <c r="P36" s="10"/>
      <c r="Q36" s="10"/>
      <c r="R36" s="10"/>
      <c r="S36" s="10"/>
      <c r="T36" s="10">
        <f>IF(INDEX(GRAFO!$M$2:'GRAFO'!$M$41,MATCH(O36,GRAFO!$M$2:'GRAFO'!$M$41,0),1)&lt;&gt;0,1,0)</f>
        <v>1</v>
      </c>
      <c r="U36" s="10">
        <f t="shared" ref="U36:U64" si="9">IFERROR(T36,0)</f>
        <v>1</v>
      </c>
    </row>
    <row r="37" spans="1:21">
      <c r="A37" t="str">
        <f>E24</f>
        <v>comanda</v>
      </c>
      <c r="B37" t="s">
        <v>7</v>
      </c>
      <c r="C37" t="str">
        <f t="shared" si="1"/>
        <v>OK</v>
      </c>
      <c r="D37" t="str">
        <f t="shared" si="2"/>
        <v>operacional</v>
      </c>
      <c r="E37" t="str">
        <f t="shared" si="3"/>
        <v>rdfs:subClassOf</v>
      </c>
      <c r="F37" t="str">
        <f t="shared" si="4"/>
        <v>nivel</v>
      </c>
      <c r="G37" t="str">
        <f t="shared" si="5"/>
        <v>OK</v>
      </c>
      <c r="I37" s="10" t="str">
        <f t="shared" si="6"/>
        <v>operacional-nivel</v>
      </c>
      <c r="J37" s="10"/>
      <c r="K37" s="10"/>
      <c r="L37" s="10">
        <f>IF(INDEX(GRAFO!$L$2:'GRAFO'!$L$41,MATCH(I37,GRAFO!$L$2:'GRAFO'!$L$41,0),1)&lt;&gt;0,1,0)</f>
        <v>1</v>
      </c>
      <c r="M37" s="10">
        <f t="shared" si="7"/>
        <v>1</v>
      </c>
      <c r="O37" s="10" t="str">
        <f t="shared" si="8"/>
        <v>operacional-rdfs:subClassOf-nivel</v>
      </c>
      <c r="P37" s="10"/>
      <c r="Q37" s="10"/>
      <c r="R37" s="10"/>
      <c r="S37" s="10"/>
      <c r="T37" s="10">
        <f>IF(INDEX(GRAFO!$M$2:'GRAFO'!$M$41,MATCH(O37,GRAFO!$M$2:'GRAFO'!$M$41,0),1)&lt;&gt;0,1,0)</f>
        <v>1</v>
      </c>
      <c r="U37" s="10">
        <f t="shared" si="9"/>
        <v>1</v>
      </c>
    </row>
    <row r="38" spans="1:21">
      <c r="A38" t="str">
        <f>E26</f>
        <v>composta_por</v>
      </c>
      <c r="B38" t="s">
        <v>110</v>
      </c>
      <c r="C38" t="str">
        <f t="shared" si="1"/>
        <v>OK</v>
      </c>
      <c r="D38" t="str">
        <f t="shared" si="2"/>
        <v>tatico</v>
      </c>
      <c r="E38" t="str">
        <f t="shared" si="3"/>
        <v>rdfs:subClassOf</v>
      </c>
      <c r="F38" t="str">
        <f t="shared" si="4"/>
        <v>nivel</v>
      </c>
      <c r="G38" t="str">
        <f t="shared" si="5"/>
        <v>OK</v>
      </c>
      <c r="I38" s="10" t="str">
        <f t="shared" si="6"/>
        <v>tatico-nivel</v>
      </c>
      <c r="J38" s="10"/>
      <c r="K38" s="10"/>
      <c r="L38" s="10">
        <f>IF(INDEX(GRAFO!$L$2:'GRAFO'!$L$41,MATCH(I38,GRAFO!$L$2:'GRAFO'!$L$41,0),1)&lt;&gt;0,1,0)</f>
        <v>1</v>
      </c>
      <c r="M38" s="10">
        <f t="shared" si="7"/>
        <v>1</v>
      </c>
      <c r="O38" s="10" t="str">
        <f t="shared" si="8"/>
        <v>tatico-rdfs:subClassOf-nivel</v>
      </c>
      <c r="P38" s="10"/>
      <c r="Q38" s="10"/>
      <c r="R38" s="10"/>
      <c r="S38" s="10"/>
      <c r="T38" s="10">
        <f>IF(INDEX(GRAFO!$M$2:'GRAFO'!$M$41,MATCH(O38,GRAFO!$M$2:'GRAFO'!$M$41,0),1)&lt;&gt;0,1,0)</f>
        <v>1</v>
      </c>
      <c r="U38" s="10">
        <f t="shared" si="9"/>
        <v>1</v>
      </c>
    </row>
    <row r="39" spans="1:21">
      <c r="A39" t="str">
        <f>E28</f>
        <v>elabora</v>
      </c>
      <c r="B39" t="s">
        <v>7</v>
      </c>
      <c r="C39" t="str">
        <f t="shared" si="1"/>
        <v>NOK</v>
      </c>
      <c r="D39" t="str">
        <f t="shared" si="2"/>
        <v>plano</v>
      </c>
      <c r="E39" t="str">
        <f t="shared" si="3"/>
        <v>rdfs:subClassOf</v>
      </c>
      <c r="F39" t="str">
        <f t="shared" si="4"/>
        <v>documento</v>
      </c>
      <c r="G39" t="str">
        <f t="shared" si="5"/>
        <v>NOK</v>
      </c>
      <c r="I39" s="10" t="str">
        <f t="shared" si="6"/>
        <v>plano-documento</v>
      </c>
      <c r="J39" s="10"/>
      <c r="K39" s="10"/>
      <c r="L39" s="10" t="e">
        <f>IF(INDEX(GRAFO!$L$2:'GRAFO'!$L$41,MATCH(I39,GRAFO!$L$2:'GRAFO'!$L$41,0),1)&lt;&gt;0,1,0)</f>
        <v>#N/A</v>
      </c>
      <c r="M39" s="10">
        <f t="shared" si="7"/>
        <v>0</v>
      </c>
      <c r="O39" s="10" t="str">
        <f t="shared" si="8"/>
        <v>plano-rdfs:subClassOf-documento</v>
      </c>
      <c r="P39" s="10"/>
      <c r="Q39" s="10"/>
      <c r="R39" s="10"/>
      <c r="S39" s="10"/>
      <c r="T39" s="10" t="e">
        <f>IF(INDEX(GRAFO!$M$2:'GRAFO'!$M$41,MATCH(O39,GRAFO!$M$2:'GRAFO'!$M$41,0),1)&lt;&gt;0,1,0)</f>
        <v>#N/A</v>
      </c>
      <c r="U39" s="10">
        <f t="shared" si="9"/>
        <v>0</v>
      </c>
    </row>
    <row r="40" spans="1:21">
      <c r="A40" t="str">
        <f>E25</f>
        <v>emprega</v>
      </c>
      <c r="B40" t="s">
        <v>5</v>
      </c>
      <c r="C40" t="str">
        <f t="shared" si="1"/>
        <v>NOK</v>
      </c>
      <c r="D40" t="str">
        <f t="shared" si="2"/>
        <v>diretriz</v>
      </c>
      <c r="E40" t="str">
        <f t="shared" si="3"/>
        <v>rdfs:subClassOf</v>
      </c>
      <c r="F40" t="str">
        <f t="shared" si="4"/>
        <v>documento</v>
      </c>
      <c r="G40" t="str">
        <f t="shared" si="5"/>
        <v>NOK</v>
      </c>
      <c r="I40" s="10" t="str">
        <f t="shared" si="6"/>
        <v>diretriz-documento</v>
      </c>
      <c r="J40" s="10"/>
      <c r="K40" s="10"/>
      <c r="L40" s="10" t="e">
        <f>IF(INDEX(GRAFO!$L$2:'GRAFO'!$L$41,MATCH(I40,GRAFO!$L$2:'GRAFO'!$L$41,0),1)&lt;&gt;0,1,0)</f>
        <v>#N/A</v>
      </c>
      <c r="M40" s="10">
        <f t="shared" si="7"/>
        <v>0</v>
      </c>
      <c r="O40" s="10" t="str">
        <f t="shared" si="8"/>
        <v>diretriz-rdfs:subClassOf-documento</v>
      </c>
      <c r="P40" s="10"/>
      <c r="Q40" s="10"/>
      <c r="R40" s="10"/>
      <c r="S40" s="10"/>
      <c r="T40" s="10" t="e">
        <f>IF(INDEX(GRAFO!$M$2:'GRAFO'!$M$41,MATCH(O40,GRAFO!$M$2:'GRAFO'!$M$41,0),1)&lt;&gt;0,1,0)</f>
        <v>#N/A</v>
      </c>
      <c r="U40" s="10">
        <f t="shared" si="9"/>
        <v>0</v>
      </c>
    </row>
    <row r="41" spans="1:21">
      <c r="A41" t="str">
        <f>E29</f>
        <v>pertence</v>
      </c>
      <c r="B41" t="s">
        <v>4</v>
      </c>
      <c r="C41" t="str">
        <f t="shared" si="1"/>
        <v>OK</v>
      </c>
      <c r="D41" t="str">
        <f t="shared" si="2"/>
        <v>objetivos_politicos</v>
      </c>
      <c r="E41" t="str">
        <f t="shared" si="3"/>
        <v>rdfs:subClassOf</v>
      </c>
      <c r="F41" t="str">
        <f t="shared" si="4"/>
        <v>documento</v>
      </c>
      <c r="G41" t="str">
        <f t="shared" si="5"/>
        <v>NOK</v>
      </c>
      <c r="I41" s="10" t="str">
        <f t="shared" si="6"/>
        <v>objetivos_politicos-documento</v>
      </c>
      <c r="J41" s="10"/>
      <c r="K41" s="10"/>
      <c r="L41" s="10" t="e">
        <f>IF(INDEX(GRAFO!$L$2:'GRAFO'!$L$41,MATCH(I41,GRAFO!$L$2:'GRAFO'!$L$41,0),1)&lt;&gt;0,1,0)</f>
        <v>#N/A</v>
      </c>
      <c r="M41" s="10">
        <f t="shared" si="7"/>
        <v>0</v>
      </c>
      <c r="O41" s="10" t="str">
        <f t="shared" si="8"/>
        <v>objetivos_politicos-rdfs:subClassOf-documento</v>
      </c>
      <c r="P41" s="10"/>
      <c r="Q41" s="10"/>
      <c r="R41" s="10"/>
      <c r="S41" s="10"/>
      <c r="T41" s="10" t="e">
        <f>IF(INDEX(GRAFO!$M$2:'GRAFO'!$M$41,MATCH(O41,GRAFO!$M$2:'GRAFO'!$M$41,0),1)&lt;&gt;0,1,0)</f>
        <v>#N/A</v>
      </c>
      <c r="U41" s="10">
        <f t="shared" si="9"/>
        <v>0</v>
      </c>
    </row>
    <row r="42" spans="1:21">
      <c r="A42" t="str">
        <f>E30</f>
        <v>identifica</v>
      </c>
      <c r="B42" t="s">
        <v>7</v>
      </c>
      <c r="C42" t="str">
        <f t="shared" si="1"/>
        <v>NOK</v>
      </c>
      <c r="D42" t="str">
        <f t="shared" si="2"/>
        <v>ordens</v>
      </c>
      <c r="E42" t="str">
        <f t="shared" si="3"/>
        <v>rdfs:subClassOf</v>
      </c>
      <c r="F42" t="str">
        <f t="shared" si="4"/>
        <v>documento</v>
      </c>
      <c r="G42" t="str">
        <f t="shared" si="5"/>
        <v>NOK</v>
      </c>
      <c r="I42" s="10" t="str">
        <f t="shared" si="6"/>
        <v>ordens-documento</v>
      </c>
      <c r="J42" s="10"/>
      <c r="K42" s="10"/>
      <c r="L42" s="10" t="e">
        <f>IF(INDEX(GRAFO!$L$2:'GRAFO'!$L$41,MATCH(I42,GRAFO!$L$2:'GRAFO'!$L$41,0),1)&lt;&gt;0,1,0)</f>
        <v>#N/A</v>
      </c>
      <c r="M42" s="10">
        <f t="shared" si="7"/>
        <v>0</v>
      </c>
      <c r="O42" s="10" t="str">
        <f t="shared" si="8"/>
        <v>ordens-rdfs:subClassOf-documento</v>
      </c>
      <c r="P42" s="10"/>
      <c r="Q42" s="10"/>
      <c r="R42" s="10"/>
      <c r="S42" s="10"/>
      <c r="T42" s="10" t="e">
        <f>IF(INDEX(GRAFO!$M$2:'GRAFO'!$M$41,MATCH(O42,GRAFO!$M$2:'GRAFO'!$M$41,0),1)&lt;&gt;0,1,0)</f>
        <v>#N/A</v>
      </c>
      <c r="U42" s="10">
        <f t="shared" si="9"/>
        <v>0</v>
      </c>
    </row>
    <row r="43" spans="1:21">
      <c r="C43" t="str">
        <f t="shared" si="1"/>
        <v>OK</v>
      </c>
      <c r="D43" t="str">
        <f t="shared" si="2"/>
        <v>operacao_conjunta</v>
      </c>
      <c r="E43" t="str">
        <f t="shared" si="3"/>
        <v>rdfs:subClassOf</v>
      </c>
      <c r="F43" t="str">
        <f t="shared" si="4"/>
        <v>operacao</v>
      </c>
      <c r="G43" t="str">
        <f t="shared" si="5"/>
        <v>OK</v>
      </c>
      <c r="I43" s="10" t="str">
        <f t="shared" si="6"/>
        <v>operacao_conjunta-operacao</v>
      </c>
      <c r="J43" s="10"/>
      <c r="K43" s="10"/>
      <c r="L43" s="10">
        <f>IF(INDEX(GRAFO!$L$2:'GRAFO'!$L$41,MATCH(I43,GRAFO!$L$2:'GRAFO'!$L$41,0),1)&lt;&gt;0,1,0)</f>
        <v>1</v>
      </c>
      <c r="M43" s="10">
        <f t="shared" si="7"/>
        <v>1</v>
      </c>
      <c r="O43" s="10" t="str">
        <f t="shared" si="8"/>
        <v>operacao_conjunta-rdfs:subClassOf-operacao</v>
      </c>
      <c r="P43" s="10"/>
      <c r="Q43" s="10"/>
      <c r="R43" s="10"/>
      <c r="S43" s="10"/>
      <c r="T43" s="10">
        <f>IF(INDEX(GRAFO!$M$2:'GRAFO'!$M$41,MATCH(O43,GRAFO!$M$2:'GRAFO'!$M$41,0),1)&lt;&gt;0,1,0)</f>
        <v>1</v>
      </c>
      <c r="U43" s="10">
        <f t="shared" si="9"/>
        <v>1</v>
      </c>
    </row>
    <row r="44" spans="1:21">
      <c r="C44" t="str">
        <f t="shared" si="1"/>
        <v>OK</v>
      </c>
      <c r="D44" t="str">
        <f t="shared" si="2"/>
        <v>marinha</v>
      </c>
      <c r="E44" t="str">
        <f t="shared" si="3"/>
        <v>rdfs:subClassOf</v>
      </c>
      <c r="F44" t="str">
        <f t="shared" si="4"/>
        <v>forcas_armadas</v>
      </c>
      <c r="G44" t="str">
        <f t="shared" si="5"/>
        <v>OK</v>
      </c>
      <c r="I44" s="10" t="str">
        <f t="shared" si="6"/>
        <v>marinha-forcas_armadas</v>
      </c>
      <c r="J44" s="10"/>
      <c r="K44" s="10"/>
      <c r="L44" s="10">
        <f>IF(INDEX(GRAFO!$L$2:'GRAFO'!$L$41,MATCH(I44,GRAFO!$L$2:'GRAFO'!$L$41,0),1)&lt;&gt;0,1,0)</f>
        <v>1</v>
      </c>
      <c r="M44" s="10">
        <f t="shared" si="7"/>
        <v>1</v>
      </c>
      <c r="O44" s="10" t="str">
        <f t="shared" si="8"/>
        <v>marinha-rdfs:subClassOf-forcas_armadas</v>
      </c>
      <c r="P44" s="10"/>
      <c r="Q44" s="10"/>
      <c r="R44" s="10"/>
      <c r="S44" s="10"/>
      <c r="T44" s="10">
        <f>IF(INDEX(GRAFO!$M$2:'GRAFO'!$M$41,MATCH(O44,GRAFO!$M$2:'GRAFO'!$M$41,0),1)&lt;&gt;0,1,0)</f>
        <v>1</v>
      </c>
      <c r="U44" s="10">
        <f t="shared" si="9"/>
        <v>1</v>
      </c>
    </row>
    <row r="45" spans="1:21">
      <c r="C45" t="str">
        <f t="shared" si="1"/>
        <v>OK</v>
      </c>
      <c r="D45" t="str">
        <f t="shared" si="2"/>
        <v>exercito</v>
      </c>
      <c r="E45" t="str">
        <f t="shared" si="3"/>
        <v>rdfs:subClassOf</v>
      </c>
      <c r="F45" t="str">
        <f t="shared" si="4"/>
        <v>forcas_armadas</v>
      </c>
      <c r="G45" t="str">
        <f t="shared" si="5"/>
        <v>OK</v>
      </c>
      <c r="I45" s="10" t="str">
        <f t="shared" si="6"/>
        <v>exercito-forcas_armadas</v>
      </c>
      <c r="J45" s="10"/>
      <c r="K45" s="10"/>
      <c r="L45" s="10">
        <f>IF(INDEX(GRAFO!$L$2:'GRAFO'!$L$41,MATCH(I45,GRAFO!$L$2:'GRAFO'!$L$41,0),1)&lt;&gt;0,1,0)</f>
        <v>1</v>
      </c>
      <c r="M45" s="10">
        <f t="shared" si="7"/>
        <v>1</v>
      </c>
      <c r="O45" s="10" t="str">
        <f t="shared" si="8"/>
        <v>exercito-rdfs:subClassOf-forcas_armadas</v>
      </c>
      <c r="P45" s="10"/>
      <c r="Q45" s="10"/>
      <c r="R45" s="10"/>
      <c r="S45" s="10"/>
      <c r="T45" s="10">
        <f>IF(INDEX(GRAFO!$M$2:'GRAFO'!$M$41,MATCH(O45,GRAFO!$M$2:'GRAFO'!$M$41,0),1)&lt;&gt;0,1,0)</f>
        <v>1</v>
      </c>
      <c r="U45" s="10">
        <f t="shared" si="9"/>
        <v>1</v>
      </c>
    </row>
    <row r="46" spans="1:21">
      <c r="C46" t="str">
        <f t="shared" si="1"/>
        <v>OK</v>
      </c>
      <c r="D46" t="str">
        <f t="shared" si="2"/>
        <v>aeronautica</v>
      </c>
      <c r="E46" t="str">
        <f t="shared" si="3"/>
        <v>rdfs:subClassOf</v>
      </c>
      <c r="F46" t="str">
        <f t="shared" si="4"/>
        <v>forcas_armadas</v>
      </c>
      <c r="G46" t="str">
        <f t="shared" si="5"/>
        <v>OK</v>
      </c>
      <c r="I46" s="10" t="str">
        <f t="shared" si="6"/>
        <v>aeronautica-forcas_armadas</v>
      </c>
      <c r="J46" s="10"/>
      <c r="K46" s="10"/>
      <c r="L46" s="10">
        <f>IF(INDEX(GRAFO!$L$2:'GRAFO'!$L$41,MATCH(I46,GRAFO!$L$2:'GRAFO'!$L$41,0),1)&lt;&gt;0,1,0)</f>
        <v>1</v>
      </c>
      <c r="M46" s="10">
        <f t="shared" si="7"/>
        <v>1</v>
      </c>
      <c r="O46" s="10" t="str">
        <f t="shared" si="8"/>
        <v>aeronautica-rdfs:subClassOf-forcas_armadas</v>
      </c>
      <c r="P46" s="10"/>
      <c r="Q46" s="10"/>
      <c r="R46" s="10"/>
      <c r="S46" s="10"/>
      <c r="T46" s="10">
        <f>IF(INDEX(GRAFO!$M$2:'GRAFO'!$M$41,MATCH(O46,GRAFO!$M$2:'GRAFO'!$M$41,0),1)&lt;&gt;0,1,0)</f>
        <v>1</v>
      </c>
      <c r="U46" s="10">
        <f t="shared" si="9"/>
        <v>1</v>
      </c>
    </row>
    <row r="47" spans="1:21">
      <c r="C47" t="str">
        <f t="shared" si="1"/>
        <v>NOK</v>
      </c>
      <c r="D47" t="str">
        <f t="shared" si="2"/>
        <v>defesa_antiaerea</v>
      </c>
      <c r="E47" t="str">
        <f t="shared" si="3"/>
        <v>rdfs:subClassOf</v>
      </c>
      <c r="F47" t="str">
        <f t="shared" si="4"/>
        <v>comandos_operacionais</v>
      </c>
      <c r="G47" t="str">
        <f t="shared" si="5"/>
        <v>OK</v>
      </c>
      <c r="I47" s="10" t="str">
        <f t="shared" si="6"/>
        <v>defesa_antiaerea-comandos_operacionais</v>
      </c>
      <c r="J47" s="10"/>
      <c r="K47" s="10"/>
      <c r="L47" s="10" t="e">
        <f>IF(INDEX(GRAFO!$L$2:'GRAFO'!$L$41,MATCH(I47,GRAFO!$L$2:'GRAFO'!$L$41,0),1)&lt;&gt;0,1,0)</f>
        <v>#N/A</v>
      </c>
      <c r="M47" s="10">
        <f t="shared" si="7"/>
        <v>0</v>
      </c>
      <c r="O47" s="10" t="str">
        <f t="shared" si="8"/>
        <v>defesa_antiaerea-rdfs:subClassOf-comandos_operacionais</v>
      </c>
      <c r="P47" s="10"/>
      <c r="Q47" s="10"/>
      <c r="R47" s="10"/>
      <c r="S47" s="10"/>
      <c r="T47" s="10" t="e">
        <f>IF(INDEX(GRAFO!$M$2:'GRAFO'!$M$41,MATCH(O47,GRAFO!$M$2:'GRAFO'!$M$41,0),1)&lt;&gt;0,1,0)</f>
        <v>#N/A</v>
      </c>
      <c r="U47" s="10">
        <f t="shared" si="9"/>
        <v>0</v>
      </c>
    </row>
    <row r="48" spans="1:21">
      <c r="C48" t="str">
        <f t="shared" si="1"/>
        <v>OK</v>
      </c>
      <c r="D48" t="str">
        <f t="shared" si="2"/>
        <v>inteligencia</v>
      </c>
      <c r="E48" t="str">
        <f t="shared" si="3"/>
        <v>rdfs:subClassOf</v>
      </c>
      <c r="F48" t="str">
        <f t="shared" si="4"/>
        <v>comandos_operacionais</v>
      </c>
      <c r="G48" t="str">
        <f t="shared" si="5"/>
        <v>OK</v>
      </c>
      <c r="I48" s="10" t="str">
        <f t="shared" si="6"/>
        <v>inteligencia-comandos_operacionais</v>
      </c>
      <c r="J48" s="10"/>
      <c r="K48" s="10"/>
      <c r="L48" s="10" t="e">
        <f>IF(INDEX(GRAFO!$L$2:'GRAFO'!$L$41,MATCH(I48,GRAFO!$L$2:'GRAFO'!$L$41,0),1)&lt;&gt;0,1,0)</f>
        <v>#N/A</v>
      </c>
      <c r="M48" s="10">
        <f t="shared" si="7"/>
        <v>0</v>
      </c>
      <c r="O48" s="10" t="str">
        <f t="shared" si="8"/>
        <v>inteligencia-rdfs:subClassOf-comandos_operacionais</v>
      </c>
      <c r="P48" s="10"/>
      <c r="Q48" s="10"/>
      <c r="R48" s="10"/>
      <c r="S48" s="10"/>
      <c r="T48" s="10" t="e">
        <f>IF(INDEX(GRAFO!$M$2:'GRAFO'!$M$41,MATCH(O48,GRAFO!$M$2:'GRAFO'!$M$41,0),1)&lt;&gt;0,1,0)</f>
        <v>#N/A</v>
      </c>
      <c r="U48" s="10">
        <f t="shared" si="9"/>
        <v>0</v>
      </c>
    </row>
    <row r="49" spans="3:21">
      <c r="C49" t="str">
        <f t="shared" si="1"/>
        <v>NOK</v>
      </c>
      <c r="D49" t="str">
        <f t="shared" si="2"/>
        <v>c2</v>
      </c>
      <c r="E49" t="str">
        <f t="shared" si="3"/>
        <v>rdfs:subClassOf</v>
      </c>
      <c r="F49" t="str">
        <f t="shared" si="4"/>
        <v>comandos_operacionais</v>
      </c>
      <c r="G49" t="str">
        <f t="shared" si="5"/>
        <v>OK</v>
      </c>
      <c r="I49" s="10" t="str">
        <f t="shared" si="6"/>
        <v>c2-comandos_operacionais</v>
      </c>
      <c r="J49" s="10"/>
      <c r="K49" s="10"/>
      <c r="L49" s="10" t="e">
        <f>IF(INDEX(GRAFO!$L$2:'GRAFO'!$L$41,MATCH(I49,GRAFO!$L$2:'GRAFO'!$L$41,0),1)&lt;&gt;0,1,0)</f>
        <v>#N/A</v>
      </c>
      <c r="M49" s="10">
        <f t="shared" si="7"/>
        <v>0</v>
      </c>
      <c r="O49" s="10" t="str">
        <f t="shared" si="8"/>
        <v>c2-rdfs:subClassOf-comandos_operacionais</v>
      </c>
      <c r="P49" s="10"/>
      <c r="Q49" s="10"/>
      <c r="R49" s="10"/>
      <c r="S49" s="10"/>
      <c r="T49" s="10" t="e">
        <f>IF(INDEX(GRAFO!$M$2:'GRAFO'!$M$41,MATCH(O49,GRAFO!$M$2:'GRAFO'!$M$41,0),1)&lt;&gt;0,1,0)</f>
        <v>#N/A</v>
      </c>
      <c r="U49" s="10">
        <f t="shared" si="9"/>
        <v>0</v>
      </c>
    </row>
    <row r="50" spans="3:21">
      <c r="C50" t="str">
        <f t="shared" si="1"/>
        <v>NOK</v>
      </c>
      <c r="D50" t="str">
        <f t="shared" si="2"/>
        <v>c_log</v>
      </c>
      <c r="E50" t="str">
        <f t="shared" si="3"/>
        <v>rdfs:subClassOf</v>
      </c>
      <c r="F50" t="str">
        <f t="shared" si="4"/>
        <v>comandos_operacionais</v>
      </c>
      <c r="G50" t="str">
        <f t="shared" si="5"/>
        <v>OK</v>
      </c>
      <c r="I50" s="10" t="str">
        <f t="shared" si="6"/>
        <v>c_log-comandos_operacionais</v>
      </c>
      <c r="J50" s="10"/>
      <c r="K50" s="10"/>
      <c r="L50" s="10" t="e">
        <f>IF(INDEX(GRAFO!$L$2:'GRAFO'!$L$41,MATCH(I50,GRAFO!$L$2:'GRAFO'!$L$41,0),1)&lt;&gt;0,1,0)</f>
        <v>#N/A</v>
      </c>
      <c r="M50" s="10">
        <f t="shared" si="7"/>
        <v>0</v>
      </c>
      <c r="O50" s="10" t="str">
        <f t="shared" si="8"/>
        <v>c_log-rdfs:subClassOf-comandos_operacionais</v>
      </c>
      <c r="P50" s="10"/>
      <c r="Q50" s="10"/>
      <c r="R50" s="10"/>
      <c r="S50" s="10"/>
      <c r="T50" s="10" t="e">
        <f>IF(INDEX(GRAFO!$M$2:'GRAFO'!$M$41,MATCH(O50,GRAFO!$M$2:'GRAFO'!$M$41,0),1)&lt;&gt;0,1,0)</f>
        <v>#N/A</v>
      </c>
      <c r="U50" s="10">
        <f t="shared" si="9"/>
        <v>0</v>
      </c>
    </row>
    <row r="51" spans="3:21">
      <c r="C51" t="str">
        <f t="shared" si="1"/>
        <v>OK</v>
      </c>
      <c r="D51" t="str">
        <f t="shared" si="2"/>
        <v>aeronautica</v>
      </c>
      <c r="E51" t="str">
        <f t="shared" si="3"/>
        <v>rdfs:seeAlso</v>
      </c>
      <c r="F51" t="str">
        <f t="shared" si="4"/>
        <v>comandos_operacionais</v>
      </c>
      <c r="G51" t="str">
        <f t="shared" si="5"/>
        <v>OK</v>
      </c>
      <c r="I51" s="10" t="str">
        <f t="shared" si="6"/>
        <v>aeronautica-comandos_operacionais</v>
      </c>
      <c r="J51" s="10"/>
      <c r="K51" s="10"/>
      <c r="L51" s="10" t="e">
        <f>IF(INDEX(GRAFO!$L$2:'GRAFO'!$L$41,MATCH(I51,GRAFO!$L$2:'GRAFO'!$L$41,0),1)&lt;&gt;0,1,0)</f>
        <v>#N/A</v>
      </c>
      <c r="M51" s="10">
        <f t="shared" si="7"/>
        <v>0</v>
      </c>
      <c r="O51" s="10" t="str">
        <f t="shared" si="8"/>
        <v>aeronautica-rdfs:seeAlso-comandos_operacionais</v>
      </c>
      <c r="P51" s="10"/>
      <c r="Q51" s="10"/>
      <c r="R51" s="10"/>
      <c r="S51" s="10"/>
      <c r="T51" s="10" t="e">
        <f>IF(INDEX(GRAFO!$M$2:'GRAFO'!$M$41,MATCH(O51,GRAFO!$M$2:'GRAFO'!$M$41,0),1)&lt;&gt;0,1,0)</f>
        <v>#N/A</v>
      </c>
      <c r="U51" s="10">
        <f t="shared" si="9"/>
        <v>0</v>
      </c>
    </row>
    <row r="52" spans="3:21">
      <c r="C52" t="str">
        <f t="shared" si="1"/>
        <v>OK</v>
      </c>
      <c r="D52" t="str">
        <f t="shared" si="2"/>
        <v>forcas_armadas</v>
      </c>
      <c r="E52" t="str">
        <f t="shared" si="3"/>
        <v>rdfs:subClassOf</v>
      </c>
      <c r="F52" t="str">
        <f t="shared" si="4"/>
        <v>estrutura_cmd</v>
      </c>
      <c r="G52" t="str">
        <f t="shared" si="5"/>
        <v>NOK</v>
      </c>
      <c r="I52" s="10" t="str">
        <f t="shared" si="6"/>
        <v>forcas_armadas-estrutura_cmd</v>
      </c>
      <c r="J52" s="10"/>
      <c r="K52" s="10"/>
      <c r="L52" s="10" t="e">
        <f>IF(INDEX(GRAFO!$L$2:'GRAFO'!$L$41,MATCH(I52,GRAFO!$L$2:'GRAFO'!$L$41,0),1)&lt;&gt;0,1,0)</f>
        <v>#N/A</v>
      </c>
      <c r="M52" s="10">
        <f t="shared" si="7"/>
        <v>0</v>
      </c>
      <c r="O52" s="10" t="str">
        <f t="shared" si="8"/>
        <v>forcas_armadas-rdfs:subClassOf-estrutura_cmd</v>
      </c>
      <c r="P52" s="10"/>
      <c r="Q52" s="10"/>
      <c r="R52" s="10"/>
      <c r="S52" s="10"/>
      <c r="T52" s="10" t="e">
        <f>IF(INDEX(GRAFO!$M$2:'GRAFO'!$M$41,MATCH(O52,GRAFO!$M$2:'GRAFO'!$M$41,0),1)&lt;&gt;0,1,0)</f>
        <v>#N/A</v>
      </c>
      <c r="U52" s="10">
        <f t="shared" si="9"/>
        <v>0</v>
      </c>
    </row>
    <row r="53" spans="3:21">
      <c r="C53" t="str">
        <f t="shared" si="1"/>
        <v>NOK</v>
      </c>
      <c r="D53" t="str">
        <f t="shared" si="2"/>
        <v>md</v>
      </c>
      <c r="E53" t="str">
        <f t="shared" si="3"/>
        <v>rdfs:subClassOf</v>
      </c>
      <c r="F53" t="str">
        <f t="shared" si="4"/>
        <v>estrutura_cmd</v>
      </c>
      <c r="G53" t="str">
        <f t="shared" si="5"/>
        <v>NOK</v>
      </c>
      <c r="I53" s="10" t="str">
        <f t="shared" si="6"/>
        <v>md-estrutura_cmd</v>
      </c>
      <c r="J53" s="10"/>
      <c r="K53" s="10"/>
      <c r="L53" s="10" t="e">
        <f>IF(INDEX(GRAFO!$L$2:'GRAFO'!$L$41,MATCH(I53,GRAFO!$L$2:'GRAFO'!$L$41,0),1)&lt;&gt;0,1,0)</f>
        <v>#N/A</v>
      </c>
      <c r="M53" s="10">
        <f t="shared" si="7"/>
        <v>0</v>
      </c>
      <c r="O53" s="10" t="str">
        <f t="shared" si="8"/>
        <v>md-rdfs:subClassOf-estrutura_cmd</v>
      </c>
      <c r="P53" s="10"/>
      <c r="Q53" s="10"/>
      <c r="R53" s="10"/>
      <c r="S53" s="10"/>
      <c r="T53" s="10" t="e">
        <f>IF(INDEX(GRAFO!$M$2:'GRAFO'!$M$41,MATCH(O53,GRAFO!$M$2:'GRAFO'!$M$41,0),1)&lt;&gt;0,1,0)</f>
        <v>#N/A</v>
      </c>
      <c r="U53" s="10">
        <f t="shared" si="9"/>
        <v>0</v>
      </c>
    </row>
    <row r="54" spans="3:21">
      <c r="C54" t="str">
        <f t="shared" si="1"/>
        <v>OK</v>
      </c>
      <c r="D54" t="str">
        <f t="shared" si="2"/>
        <v>presidente_da_republica</v>
      </c>
      <c r="E54" t="str">
        <f t="shared" si="3"/>
        <v>rdfs:subClassOf</v>
      </c>
      <c r="F54" t="str">
        <f t="shared" si="4"/>
        <v>estrutura_cmd</v>
      </c>
      <c r="G54" t="str">
        <f t="shared" si="5"/>
        <v>NOK</v>
      </c>
      <c r="I54" s="10" t="str">
        <f t="shared" si="6"/>
        <v>presidente_da_republica-estrutura_cmd</v>
      </c>
      <c r="J54" s="10"/>
      <c r="K54" s="10"/>
      <c r="L54" s="10" t="e">
        <f>IF(INDEX(GRAFO!$L$2:'GRAFO'!$L$41,MATCH(I54,GRAFO!$L$2:'GRAFO'!$L$41,0),1)&lt;&gt;0,1,0)</f>
        <v>#N/A</v>
      </c>
      <c r="M54" s="10">
        <f t="shared" si="7"/>
        <v>0</v>
      </c>
      <c r="O54" s="10" t="str">
        <f t="shared" si="8"/>
        <v>presidente_da_republica-rdfs:subClassOf-estrutura_cmd</v>
      </c>
      <c r="P54" s="10"/>
      <c r="Q54" s="10"/>
      <c r="R54" s="10"/>
      <c r="S54" s="10"/>
      <c r="T54" s="10" t="e">
        <f>IF(INDEX(GRAFO!$M$2:'GRAFO'!$M$41,MATCH(O54,GRAFO!$M$2:'GRAFO'!$M$41,0),1)&lt;&gt;0,1,0)</f>
        <v>#N/A</v>
      </c>
      <c r="U54" s="10">
        <f t="shared" si="9"/>
        <v>0</v>
      </c>
    </row>
    <row r="55" spans="3:21">
      <c r="C55" t="str">
        <f t="shared" si="1"/>
        <v>OK</v>
      </c>
      <c r="D55" t="str">
        <f t="shared" si="2"/>
        <v>forca_componente</v>
      </c>
      <c r="E55" t="str">
        <f t="shared" si="3"/>
        <v>rdfs:seeAlso</v>
      </c>
      <c r="F55" t="str">
        <f t="shared" si="4"/>
        <v>operacao_conjunta</v>
      </c>
      <c r="G55" t="str">
        <f t="shared" si="5"/>
        <v>OK</v>
      </c>
      <c r="I55" s="10" t="str">
        <f t="shared" si="6"/>
        <v>forca_componente-operacao_conjunta</v>
      </c>
      <c r="J55" s="10"/>
      <c r="K55" s="10"/>
      <c r="L55" s="10">
        <f>IF(INDEX(GRAFO!$L$2:'GRAFO'!$L$41,MATCH(I55,GRAFO!$L$2:'GRAFO'!$L$41,0),1)&lt;&gt;0,1,0)</f>
        <v>1</v>
      </c>
      <c r="M55" s="10">
        <f t="shared" si="7"/>
        <v>1</v>
      </c>
      <c r="O55" s="10" t="str">
        <f t="shared" si="8"/>
        <v>forca_componente-rdfs:seeAlso-operacao_conjunta</v>
      </c>
      <c r="P55" s="10"/>
      <c r="Q55" s="10"/>
      <c r="R55" s="10"/>
      <c r="S55" s="10"/>
      <c r="T55" s="10" t="e">
        <f>IF(INDEX(GRAFO!$M$2:'GRAFO'!$M$41,MATCH(O55,GRAFO!$M$2:'GRAFO'!$M$41,0),1)&lt;&gt;0,1,0)</f>
        <v>#N/A</v>
      </c>
      <c r="U55" s="10">
        <f t="shared" si="9"/>
        <v>0</v>
      </c>
    </row>
    <row r="56" spans="3:21">
      <c r="C56" t="str">
        <f t="shared" si="1"/>
        <v>NOK</v>
      </c>
      <c r="D56" t="str">
        <f t="shared" si="2"/>
        <v>cmte</v>
      </c>
      <c r="E56" t="str">
        <f t="shared" si="3"/>
        <v>c2rm:responsible_for</v>
      </c>
      <c r="F56" t="str">
        <f t="shared" si="4"/>
        <v>estrutura_cmd</v>
      </c>
      <c r="G56" t="str">
        <f t="shared" si="5"/>
        <v>NOK</v>
      </c>
      <c r="I56" s="10" t="str">
        <f t="shared" si="6"/>
        <v>cmte-estrutura_cmd</v>
      </c>
      <c r="J56" s="10"/>
      <c r="K56" s="10"/>
      <c r="L56" s="10" t="e">
        <f>IF(INDEX(GRAFO!$L$2:'GRAFO'!$L$41,MATCH(I56,GRAFO!$L$2:'GRAFO'!$L$41,0),1)&lt;&gt;0,1,0)</f>
        <v>#N/A</v>
      </c>
      <c r="M56" s="10">
        <f t="shared" si="7"/>
        <v>0</v>
      </c>
      <c r="O56" s="10" t="str">
        <f t="shared" si="8"/>
        <v>cmte-c2rm:responsible_for-estrutura_cmd</v>
      </c>
      <c r="P56" s="10"/>
      <c r="Q56" s="10"/>
      <c r="R56" s="10"/>
      <c r="S56" s="10"/>
      <c r="T56" s="10" t="e">
        <f>IF(INDEX(GRAFO!$M$2:'GRAFO'!$M$41,MATCH(O56,GRAFO!$M$2:'GRAFO'!$M$41,0),1)&lt;&gt;0,1,0)</f>
        <v>#N/A</v>
      </c>
      <c r="U56" s="10">
        <f t="shared" si="9"/>
        <v>0</v>
      </c>
    </row>
    <row r="57" spans="3:21">
      <c r="C57" t="str">
        <f t="shared" si="1"/>
        <v>NOK</v>
      </c>
      <c r="D57" t="str">
        <f t="shared" si="2"/>
        <v>meios</v>
      </c>
      <c r="E57" t="str">
        <f t="shared" si="3"/>
        <v>c2rm:applied_to</v>
      </c>
      <c r="F57" t="str">
        <f t="shared" si="4"/>
        <v>comandos_operacionais</v>
      </c>
      <c r="G57" t="str">
        <f t="shared" si="5"/>
        <v>OK</v>
      </c>
      <c r="I57" s="10" t="str">
        <f t="shared" si="6"/>
        <v>meios-comandos_operacionais</v>
      </c>
      <c r="J57" s="10"/>
      <c r="K57" s="10"/>
      <c r="L57" s="10" t="e">
        <f>IF(INDEX(GRAFO!$L$2:'GRAFO'!$L$41,MATCH(I57,GRAFO!$L$2:'GRAFO'!$L$41,0),1)&lt;&gt;0,1,0)</f>
        <v>#N/A</v>
      </c>
      <c r="M57" s="10">
        <f t="shared" si="7"/>
        <v>0</v>
      </c>
      <c r="O57" s="10" t="str">
        <f t="shared" si="8"/>
        <v>meios-c2rm:applied_to-comandos_operacionais</v>
      </c>
      <c r="P57" s="10"/>
      <c r="Q57" s="10"/>
      <c r="R57" s="10"/>
      <c r="S57" s="10"/>
      <c r="T57" s="10" t="e">
        <f>IF(INDEX(GRAFO!$M$2:'GRAFO'!$M$41,MATCH(O57,GRAFO!$M$2:'GRAFO'!$M$41,0),1)&lt;&gt;0,1,0)</f>
        <v>#N/A</v>
      </c>
      <c r="U57" s="10">
        <f t="shared" si="9"/>
        <v>0</v>
      </c>
    </row>
    <row r="58" spans="3:21">
      <c r="C58" t="str">
        <f t="shared" si="1"/>
        <v>OK</v>
      </c>
      <c r="D58" t="str">
        <f t="shared" si="2"/>
        <v>forca_componente</v>
      </c>
      <c r="E58" t="str">
        <f t="shared" si="3"/>
        <v>rdfs:Bag</v>
      </c>
      <c r="F58" t="str">
        <f t="shared" si="4"/>
        <v>forcas_armadas</v>
      </c>
      <c r="G58" t="str">
        <f t="shared" si="5"/>
        <v>OK</v>
      </c>
      <c r="I58" s="10" t="str">
        <f t="shared" si="6"/>
        <v>forca_componente-forcas_armadas</v>
      </c>
      <c r="J58" s="10"/>
      <c r="K58" s="10"/>
      <c r="L58" s="10" t="e">
        <f>IF(INDEX(GRAFO!$L$2:'GRAFO'!$L$41,MATCH(I58,GRAFO!$L$2:'GRAFO'!$L$41,0),1)&lt;&gt;0,1,0)</f>
        <v>#N/A</v>
      </c>
      <c r="M58" s="10">
        <f t="shared" si="7"/>
        <v>0</v>
      </c>
      <c r="O58" s="10" t="str">
        <f t="shared" si="8"/>
        <v>forca_componente-rdfs:Bag-forcas_armadas</v>
      </c>
      <c r="P58" s="10"/>
      <c r="Q58" s="10"/>
      <c r="R58" s="10"/>
      <c r="S58" s="10"/>
      <c r="T58" s="10" t="e">
        <f>IF(INDEX(GRAFO!$M$2:'GRAFO'!$M$41,MATCH(O58,GRAFO!$M$2:'GRAFO'!$M$41,0),1)&lt;&gt;0,1,0)</f>
        <v>#N/A</v>
      </c>
      <c r="U58" s="10">
        <f t="shared" si="9"/>
        <v>0</v>
      </c>
    </row>
    <row r="59" spans="3:21">
      <c r="C59" t="str">
        <f t="shared" si="1"/>
        <v>OK</v>
      </c>
      <c r="D59" t="str">
        <f t="shared" si="2"/>
        <v>comandos_operacionais</v>
      </c>
      <c r="E59" t="str">
        <f t="shared" si="3"/>
        <v>rdfs:Bag</v>
      </c>
      <c r="F59" t="str">
        <f t="shared" si="4"/>
        <v>forca_componente</v>
      </c>
      <c r="G59" t="str">
        <f t="shared" si="5"/>
        <v>OK</v>
      </c>
      <c r="I59" s="10" t="str">
        <f t="shared" si="6"/>
        <v>comandos_operacionais-forca_componente</v>
      </c>
      <c r="J59" s="10"/>
      <c r="K59" s="10"/>
      <c r="L59" s="10" t="e">
        <f>IF(INDEX(GRAFO!$L$2:'GRAFO'!$L$41,MATCH(I59,GRAFO!$L$2:'GRAFO'!$L$41,0),1)&lt;&gt;0,1,0)</f>
        <v>#N/A</v>
      </c>
      <c r="M59" s="10">
        <f t="shared" si="7"/>
        <v>0</v>
      </c>
      <c r="O59" s="10" t="str">
        <f t="shared" si="8"/>
        <v>comandos_operacionais-rdfs:Bag-forca_componente</v>
      </c>
      <c r="P59" s="10"/>
      <c r="Q59" s="10"/>
      <c r="R59" s="10"/>
      <c r="S59" s="10"/>
      <c r="T59" s="10" t="e">
        <f>IF(INDEX(GRAFO!$M$2:'GRAFO'!$M$41,MATCH(O59,GRAFO!$M$2:'GRAFO'!$M$41,0),1)&lt;&gt;0,1,0)</f>
        <v>#N/A</v>
      </c>
      <c r="U59" s="10">
        <f t="shared" si="9"/>
        <v>0</v>
      </c>
    </row>
    <row r="60" spans="3:21">
      <c r="C60" t="str">
        <f t="shared" si="1"/>
        <v>NOK</v>
      </c>
      <c r="D60" t="str">
        <f t="shared" si="2"/>
        <v>estrutura_cmd</v>
      </c>
      <c r="E60" t="str">
        <f t="shared" si="3"/>
        <v>c2rm:responsible_for</v>
      </c>
      <c r="F60" t="str">
        <f t="shared" si="4"/>
        <v>documento</v>
      </c>
      <c r="G60" t="str">
        <f t="shared" si="5"/>
        <v>NOK</v>
      </c>
      <c r="I60" s="10" t="str">
        <f t="shared" si="6"/>
        <v>estrutura_cmd-documento</v>
      </c>
      <c r="J60" s="10"/>
      <c r="K60" s="10"/>
      <c r="L60" s="10" t="e">
        <f>IF(INDEX(GRAFO!$L$2:'GRAFO'!$L$41,MATCH(I60,GRAFO!$L$2:'GRAFO'!$L$41,0),1)&lt;&gt;0,1,0)</f>
        <v>#N/A</v>
      </c>
      <c r="M60" s="10">
        <f t="shared" si="7"/>
        <v>0</v>
      </c>
      <c r="O60" s="10" t="str">
        <f t="shared" si="8"/>
        <v>estrutura_cmd-c2rm:responsible_for-documento</v>
      </c>
      <c r="P60" s="10"/>
      <c r="Q60" s="10"/>
      <c r="R60" s="10"/>
      <c r="S60" s="10"/>
      <c r="T60" s="10" t="e">
        <f>IF(INDEX(GRAFO!$M$2:'GRAFO'!$M$41,MATCH(O60,GRAFO!$M$2:'GRAFO'!$M$41,0),1)&lt;&gt;0,1,0)</f>
        <v>#N/A</v>
      </c>
      <c r="U60" s="10">
        <f t="shared" si="9"/>
        <v>0</v>
      </c>
    </row>
    <row r="61" spans="3:21">
      <c r="C61" t="str">
        <f t="shared" si="1"/>
        <v>NOK</v>
      </c>
      <c r="D61" t="str">
        <f t="shared" si="2"/>
        <v>estrutura_cmd</v>
      </c>
      <c r="E61" t="str">
        <f t="shared" si="3"/>
        <v>rdfs:seeAlso</v>
      </c>
      <c r="F61" t="str">
        <f t="shared" si="4"/>
        <v>nivel</v>
      </c>
      <c r="G61" t="str">
        <f t="shared" si="5"/>
        <v>OK</v>
      </c>
      <c r="I61" s="10" t="str">
        <f t="shared" si="6"/>
        <v>estrutura_cmd-nivel</v>
      </c>
      <c r="J61" s="10"/>
      <c r="K61" s="10"/>
      <c r="L61" s="10" t="e">
        <f>IF(INDEX(GRAFO!$L$2:'GRAFO'!$L$41,MATCH(I61,GRAFO!$L$2:'GRAFO'!$L$41,0),1)&lt;&gt;0,1,0)</f>
        <v>#N/A</v>
      </c>
      <c r="M61" s="10">
        <f t="shared" si="7"/>
        <v>0</v>
      </c>
      <c r="O61" s="10" t="str">
        <f t="shared" si="8"/>
        <v>estrutura_cmd-rdfs:seeAlso-nivel</v>
      </c>
      <c r="P61" s="10"/>
      <c r="Q61" s="10"/>
      <c r="R61" s="10"/>
      <c r="S61" s="10"/>
      <c r="T61" s="10" t="e">
        <f>IF(INDEX(GRAFO!$M$2:'GRAFO'!$M$41,MATCH(O61,GRAFO!$M$2:'GRAFO'!$M$41,0),1)&lt;&gt;0,1,0)</f>
        <v>#N/A</v>
      </c>
      <c r="U61" s="10">
        <f t="shared" si="9"/>
        <v>0</v>
      </c>
    </row>
    <row r="62" spans="3:21">
      <c r="C62" t="str">
        <f t="shared" si="1"/>
        <v>NOK</v>
      </c>
      <c r="D62" t="str">
        <f t="shared" si="2"/>
        <v>md</v>
      </c>
      <c r="E62" t="str">
        <f t="shared" si="3"/>
        <v>c2rm:responsible_for</v>
      </c>
      <c r="F62" t="str">
        <f t="shared" si="4"/>
        <v>meios</v>
      </c>
      <c r="G62" t="str">
        <f t="shared" si="5"/>
        <v>NOK</v>
      </c>
      <c r="I62" s="10" t="str">
        <f t="shared" si="6"/>
        <v>md-meios</v>
      </c>
      <c r="J62" s="10"/>
      <c r="K62" s="10"/>
      <c r="L62" s="10" t="e">
        <f>IF(INDEX(GRAFO!$L$2:'GRAFO'!$L$41,MATCH(I62,GRAFO!$L$2:'GRAFO'!$L$41,0),1)&lt;&gt;0,1,0)</f>
        <v>#N/A</v>
      </c>
      <c r="M62" s="10">
        <f t="shared" si="7"/>
        <v>0</v>
      </c>
      <c r="O62" s="10" t="str">
        <f t="shared" si="8"/>
        <v>md-c2rm:responsible_for-meios</v>
      </c>
      <c r="P62" s="10"/>
      <c r="Q62" s="10"/>
      <c r="R62" s="10"/>
      <c r="S62" s="10"/>
      <c r="T62" s="10" t="e">
        <f>IF(INDEX(GRAFO!$M$2:'GRAFO'!$M$41,MATCH(O62,GRAFO!$M$2:'GRAFO'!$M$41,0),1)&lt;&gt;0,1,0)</f>
        <v>#N/A</v>
      </c>
      <c r="U62" s="10">
        <f t="shared" si="9"/>
        <v>0</v>
      </c>
    </row>
    <row r="63" spans="3:21">
      <c r="C63" t="str">
        <f t="shared" si="1"/>
        <v>NOK</v>
      </c>
      <c r="D63" t="str">
        <f t="shared" si="2"/>
        <v>md</v>
      </c>
      <c r="E63" t="str">
        <f t="shared" si="3"/>
        <v>c2rm:responsible_for</v>
      </c>
      <c r="F63" t="str">
        <f t="shared" si="4"/>
        <v>aeronautica</v>
      </c>
      <c r="G63" t="str">
        <f t="shared" si="5"/>
        <v>OK</v>
      </c>
      <c r="I63" s="10" t="str">
        <f t="shared" si="6"/>
        <v>md-aeronautica</v>
      </c>
      <c r="J63" s="10"/>
      <c r="K63" s="10"/>
      <c r="L63" s="10" t="e">
        <f>IF(INDEX(GRAFO!$L$2:'GRAFO'!$L$41,MATCH(I63,GRAFO!$L$2:'GRAFO'!$L$41,0),1)&lt;&gt;0,1,0)</f>
        <v>#N/A</v>
      </c>
      <c r="M63" s="10">
        <f t="shared" si="7"/>
        <v>0</v>
      </c>
      <c r="O63" s="10" t="str">
        <f t="shared" si="8"/>
        <v>md-c2rm:responsible_for-aeronautica</v>
      </c>
      <c r="P63" s="10"/>
      <c r="Q63" s="10"/>
      <c r="R63" s="10"/>
      <c r="S63" s="10"/>
      <c r="T63" s="10" t="e">
        <f>IF(INDEX(GRAFO!$M$2:'GRAFO'!$M$41,MATCH(O63,GRAFO!$M$2:'GRAFO'!$M$41,0),1)&lt;&gt;0,1,0)</f>
        <v>#N/A</v>
      </c>
      <c r="U63" s="10">
        <f t="shared" si="9"/>
        <v>0</v>
      </c>
    </row>
    <row r="64" spans="3:21">
      <c r="C64" t="str">
        <f t="shared" si="1"/>
        <v>OK</v>
      </c>
      <c r="D64" t="str">
        <f t="shared" si="2"/>
        <v>comandos_operacionais</v>
      </c>
      <c r="E64" t="str">
        <f t="shared" si="3"/>
        <v>rdfs:seeAlso</v>
      </c>
      <c r="F64" t="str">
        <f t="shared" si="4"/>
        <v>aeronautica</v>
      </c>
      <c r="G64" t="str">
        <f t="shared" si="5"/>
        <v>OK</v>
      </c>
      <c r="I64" s="10" t="str">
        <f t="shared" si="6"/>
        <v>comandos_operacionais-aeronautica</v>
      </c>
      <c r="J64" s="10"/>
      <c r="K64" s="10"/>
      <c r="L64" s="10" t="e">
        <f>IF(INDEX(GRAFO!$L$2:'GRAFO'!$L$41,MATCH(I64,GRAFO!$L$2:'GRAFO'!$L$41,0),1)&lt;&gt;0,1,0)</f>
        <v>#N/A</v>
      </c>
      <c r="M64" s="10">
        <f t="shared" si="7"/>
        <v>0</v>
      </c>
      <c r="O64" s="10" t="str">
        <f t="shared" si="8"/>
        <v>comandos_operacionais-rdfs:seeAlso-aeronautica</v>
      </c>
      <c r="P64" s="10"/>
      <c r="Q64" s="10"/>
      <c r="R64" s="10"/>
      <c r="S64" s="10"/>
      <c r="T64" s="10" t="e">
        <f>IF(INDEX(GRAFO!$M$2:'GRAFO'!$M$41,MATCH(O64,GRAFO!$M$2:'GRAFO'!$M$41,0),1)&lt;&gt;0,1,0)</f>
        <v>#N/A</v>
      </c>
      <c r="U64" s="10">
        <f t="shared" si="9"/>
        <v>0</v>
      </c>
    </row>
  </sheetData>
  <sortState ref="A33:B39">
    <sortCondition ref="A34"/>
  </sortState>
  <mergeCells count="11">
    <mergeCell ref="I34:K34"/>
    <mergeCell ref="L34:M34"/>
    <mergeCell ref="O33:U33"/>
    <mergeCell ref="O34:S34"/>
    <mergeCell ref="T34:U34"/>
    <mergeCell ref="K4:K5"/>
    <mergeCell ref="A1:B1"/>
    <mergeCell ref="D1:F1"/>
    <mergeCell ref="A33:B33"/>
    <mergeCell ref="D33:G33"/>
    <mergeCell ref="I33:M33"/>
  </mergeCells>
  <dataValidations count="2">
    <dataValidation type="list" allowBlank="1" showInputMessage="1" showErrorMessage="1" sqref="H3:H34 D3:D32 F3:G33">
      <formula1>$A$3:$A$30</formula1>
    </dataValidation>
    <dataValidation type="list" allowBlank="1" showInputMessage="1" showErrorMessage="1" sqref="C3:C29 B14:B18 B7 B3 B21:B25 B28:B30 B11:B12">
      <formula1>$Y$3:$Y$31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Y65"/>
  <sheetViews>
    <sheetView zoomScale="130" zoomScaleNormal="130" workbookViewId="0">
      <selection activeCell="A7" sqref="A7"/>
    </sheetView>
  </sheetViews>
  <sheetFormatPr defaultRowHeight="14.6"/>
  <cols>
    <col min="1" max="1" width="35.84375" bestFit="1" customWidth="1"/>
    <col min="2" max="2" width="21.84375" bestFit="1" customWidth="1"/>
    <col min="3" max="3" width="21.84375" customWidth="1"/>
    <col min="4" max="4" width="19.53515625" bestFit="1" customWidth="1"/>
    <col min="5" max="5" width="13.53515625" bestFit="1" customWidth="1"/>
    <col min="6" max="6" width="21.53515625" bestFit="1" customWidth="1"/>
    <col min="7" max="8" width="15.69140625" customWidth="1"/>
    <col min="9" max="9" width="15.53515625" customWidth="1"/>
    <col min="12" max="12" width="13.07421875" bestFit="1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21" max="21" width="9.3046875" customWidth="1"/>
    <col min="22" max="22" width="11" bestFit="1" customWidth="1"/>
    <col min="23" max="23" width="9.69140625" customWidth="1"/>
  </cols>
  <sheetData>
    <row r="1" spans="1:25">
      <c r="A1" s="86" t="s">
        <v>181</v>
      </c>
      <c r="B1" s="86"/>
      <c r="D1" s="87" t="s">
        <v>183</v>
      </c>
      <c r="E1" s="87"/>
      <c r="F1" s="87"/>
    </row>
    <row r="2" spans="1:25">
      <c r="A2" s="32" t="s">
        <v>210</v>
      </c>
      <c r="B2" s="32" t="s">
        <v>211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</row>
    <row r="3" spans="1:25">
      <c r="A3" s="10" t="s">
        <v>138</v>
      </c>
      <c r="B3" s="10"/>
      <c r="D3" s="10" t="s">
        <v>120</v>
      </c>
      <c r="E3" s="10" t="s">
        <v>148</v>
      </c>
      <c r="F3" s="10" t="s">
        <v>115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84</v>
      </c>
      <c r="T3" s="7" t="s">
        <v>85</v>
      </c>
      <c r="U3" s="7" t="s">
        <v>71</v>
      </c>
      <c r="V3" s="7" t="s">
        <v>72</v>
      </c>
      <c r="W3" s="7" t="s">
        <v>73</v>
      </c>
      <c r="Y3" t="s">
        <v>33</v>
      </c>
    </row>
    <row r="4" spans="1:25">
      <c r="A4" s="10" t="s">
        <v>133</v>
      </c>
      <c r="B4" s="10"/>
      <c r="D4" s="10" t="s">
        <v>121</v>
      </c>
      <c r="E4" s="10" t="s">
        <v>148</v>
      </c>
      <c r="F4" s="10" t="s">
        <v>115</v>
      </c>
      <c r="K4" s="85" t="s">
        <v>80</v>
      </c>
      <c r="L4" s="8" t="s">
        <v>0</v>
      </c>
      <c r="M4" s="4">
        <f>GRAFO!J2</f>
        <v>29</v>
      </c>
      <c r="N4" s="11">
        <f>COUNTA(A3:A36)</f>
        <v>34</v>
      </c>
      <c r="O4" s="11">
        <f>COUNTIF(B3:B29,"&lt;&gt;"&amp;"")</f>
        <v>8</v>
      </c>
      <c r="P4" s="2">
        <f>N4-R4</f>
        <v>8</v>
      </c>
      <c r="Q4" s="2">
        <f>M4-O4</f>
        <v>21</v>
      </c>
      <c r="R4" s="2">
        <f>N4-O4</f>
        <v>26</v>
      </c>
      <c r="S4" s="2">
        <f>O4+P4</f>
        <v>16</v>
      </c>
      <c r="T4" s="2">
        <f>Q4+R4</f>
        <v>47</v>
      </c>
      <c r="U4" s="6">
        <f>O4/(O4+R4)</f>
        <v>0.23529411764705882</v>
      </c>
      <c r="V4" s="6">
        <f>O4/(O4+Q4)</f>
        <v>0.27586206896551724</v>
      </c>
      <c r="W4" s="6">
        <f>(O4+P4)/(O4+P4+Q4+R4)</f>
        <v>0.25396825396825395</v>
      </c>
      <c r="X4" s="62">
        <f>AVERAGE(U4:W4)</f>
        <v>0.25504148019361</v>
      </c>
      <c r="Y4" t="s">
        <v>21</v>
      </c>
    </row>
    <row r="5" spans="1:25">
      <c r="A5" s="10" t="s">
        <v>136</v>
      </c>
      <c r="B5" s="10"/>
      <c r="D5" s="10" t="s">
        <v>12</v>
      </c>
      <c r="E5" s="10" t="s">
        <v>148</v>
      </c>
      <c r="F5" s="10" t="s">
        <v>115</v>
      </c>
      <c r="K5" s="85"/>
      <c r="L5" s="8" t="s">
        <v>100</v>
      </c>
      <c r="M5" s="5">
        <f>GRAFO!J3</f>
        <v>41</v>
      </c>
      <c r="N5" s="12">
        <f>COUNTA(D40:D65)</f>
        <v>26</v>
      </c>
      <c r="O5" s="12">
        <f>COUNTIF(M40:M65,"=1")</f>
        <v>4</v>
      </c>
      <c r="P5" s="2">
        <f>N5-R5</f>
        <v>4</v>
      </c>
      <c r="Q5" s="2">
        <f>M5-O5</f>
        <v>37</v>
      </c>
      <c r="R5" s="2">
        <f>N5-O5</f>
        <v>22</v>
      </c>
      <c r="S5" s="2">
        <f>O5+P5</f>
        <v>8</v>
      </c>
      <c r="T5" s="2">
        <f>Q5+R5</f>
        <v>59</v>
      </c>
      <c r="U5" s="6">
        <f>O5/(O5+R5)</f>
        <v>0.15384615384615385</v>
      </c>
      <c r="V5" s="6">
        <f>O5/(O5+Q5)</f>
        <v>9.7560975609756101E-2</v>
      </c>
      <c r="W5" s="6">
        <f>(O5+P5)/(O5+P5+Q5+R5)</f>
        <v>0.11940298507462686</v>
      </c>
      <c r="X5" s="62">
        <f t="shared" ref="X5:X6" si="0">AVERAGE(U5:W5)</f>
        <v>0.12360337151017893</v>
      </c>
      <c r="Y5" t="s">
        <v>17</v>
      </c>
    </row>
    <row r="6" spans="1:25">
      <c r="A6" s="10" t="s">
        <v>126</v>
      </c>
      <c r="B6" s="10"/>
      <c r="D6" s="10" t="s">
        <v>122</v>
      </c>
      <c r="E6" s="10" t="s">
        <v>148</v>
      </c>
      <c r="F6" s="10" t="s">
        <v>115</v>
      </c>
      <c r="L6" s="8" t="s">
        <v>99</v>
      </c>
      <c r="M6" s="5">
        <v>41</v>
      </c>
      <c r="N6" s="12">
        <f>COUNTA(D40:D65)</f>
        <v>26</v>
      </c>
      <c r="O6" s="12">
        <f>COUNTIF(U40:U65,"=1")</f>
        <v>0</v>
      </c>
      <c r="P6" s="2">
        <f>N6-R6</f>
        <v>0</v>
      </c>
      <c r="Q6" s="2">
        <f>M6-O6</f>
        <v>41</v>
      </c>
      <c r="R6" s="2">
        <f>N6-O6</f>
        <v>26</v>
      </c>
      <c r="S6" s="2">
        <f>O6+P6</f>
        <v>0</v>
      </c>
      <c r="T6" s="2">
        <f>Q6+R6</f>
        <v>67</v>
      </c>
      <c r="U6" s="6">
        <f>O6/(O6+R6)</f>
        <v>0</v>
      </c>
      <c r="V6" s="6">
        <f>O6/(O6+Q6)</f>
        <v>0</v>
      </c>
      <c r="W6" s="6">
        <f>(O6+P6)/(O6+P6+Q6+R6)</f>
        <v>0</v>
      </c>
      <c r="X6" s="62">
        <f t="shared" si="0"/>
        <v>0</v>
      </c>
      <c r="Y6" t="s">
        <v>40</v>
      </c>
    </row>
    <row r="7" spans="1:25">
      <c r="A7" s="10" t="s">
        <v>134</v>
      </c>
      <c r="B7" s="10"/>
      <c r="D7" s="10" t="s">
        <v>136</v>
      </c>
      <c r="E7" s="10" t="s">
        <v>101</v>
      </c>
      <c r="F7" s="10" t="s">
        <v>135</v>
      </c>
      <c r="X7" s="62">
        <f>AVERAGE(X4:X6)</f>
        <v>0.12621495056792964</v>
      </c>
      <c r="Y7" t="s">
        <v>13</v>
      </c>
    </row>
    <row r="8" spans="1:25">
      <c r="A8" s="10" t="s">
        <v>128</v>
      </c>
      <c r="B8" s="10"/>
      <c r="D8" s="10" t="s">
        <v>137</v>
      </c>
      <c r="E8" s="10" t="s">
        <v>101</v>
      </c>
      <c r="F8" s="10" t="s">
        <v>135</v>
      </c>
      <c r="Y8" t="s">
        <v>39</v>
      </c>
    </row>
    <row r="9" spans="1:25">
      <c r="A9" s="10" t="s">
        <v>135</v>
      </c>
      <c r="B9" s="10"/>
      <c r="D9" s="10" t="s">
        <v>135</v>
      </c>
      <c r="E9" s="10" t="s">
        <v>140</v>
      </c>
      <c r="F9" s="10" t="s">
        <v>138</v>
      </c>
      <c r="K9" t="s">
        <v>74</v>
      </c>
      <c r="L9" t="s">
        <v>75</v>
      </c>
      <c r="N9">
        <f>GRAFO!J2</f>
        <v>29</v>
      </c>
      <c r="Y9" t="s">
        <v>19</v>
      </c>
    </row>
    <row r="10" spans="1:25">
      <c r="A10" s="10" t="s">
        <v>47</v>
      </c>
      <c r="B10" s="10"/>
      <c r="D10" s="10" t="s">
        <v>138</v>
      </c>
      <c r="E10" s="10" t="s">
        <v>101</v>
      </c>
      <c r="F10" s="10" t="s">
        <v>133</v>
      </c>
      <c r="K10" t="s">
        <v>80</v>
      </c>
      <c r="L10" t="s">
        <v>76</v>
      </c>
      <c r="N10">
        <f>N4</f>
        <v>34</v>
      </c>
      <c r="Y10" t="s">
        <v>37</v>
      </c>
    </row>
    <row r="11" spans="1:25">
      <c r="A11" s="10" t="s">
        <v>124</v>
      </c>
      <c r="B11" s="10"/>
      <c r="D11" s="10" t="s">
        <v>126</v>
      </c>
      <c r="E11" s="10" t="s">
        <v>101</v>
      </c>
      <c r="F11" s="10" t="s">
        <v>118</v>
      </c>
      <c r="K11" t="s">
        <v>68</v>
      </c>
      <c r="L11" t="s">
        <v>77</v>
      </c>
      <c r="N11">
        <v>16</v>
      </c>
      <c r="Y11" t="s">
        <v>10</v>
      </c>
    </row>
    <row r="12" spans="1:25">
      <c r="A12" s="10" t="s">
        <v>45</v>
      </c>
      <c r="B12" s="10"/>
      <c r="D12" s="10" t="s">
        <v>119</v>
      </c>
      <c r="E12" s="10" t="s">
        <v>101</v>
      </c>
      <c r="F12" s="10" t="s">
        <v>118</v>
      </c>
      <c r="K12" t="s">
        <v>70</v>
      </c>
      <c r="L12" t="s">
        <v>78</v>
      </c>
      <c r="M12" t="s">
        <v>86</v>
      </c>
      <c r="N12">
        <f>N9-N11</f>
        <v>13</v>
      </c>
      <c r="Y12" t="s">
        <v>14</v>
      </c>
    </row>
    <row r="13" spans="1:25">
      <c r="A13" s="10" t="s">
        <v>123</v>
      </c>
      <c r="B13" s="10"/>
      <c r="D13" s="10" t="s">
        <v>126</v>
      </c>
      <c r="E13" s="10" t="s">
        <v>147</v>
      </c>
      <c r="F13" s="10" t="s">
        <v>129</v>
      </c>
      <c r="K13" t="s">
        <v>69</v>
      </c>
      <c r="L13" t="s">
        <v>79</v>
      </c>
      <c r="M13" t="s">
        <v>87</v>
      </c>
      <c r="Y13" t="s">
        <v>34</v>
      </c>
    </row>
    <row r="14" spans="1:25">
      <c r="A14" s="10" t="s">
        <v>56</v>
      </c>
      <c r="B14" s="10" t="s">
        <v>34</v>
      </c>
      <c r="D14" s="10" t="s">
        <v>53</v>
      </c>
      <c r="E14" s="10" t="s">
        <v>148</v>
      </c>
      <c r="F14" s="10" t="s">
        <v>127</v>
      </c>
      <c r="K14" t="s">
        <v>83</v>
      </c>
      <c r="M14" t="s">
        <v>88</v>
      </c>
      <c r="Y14" t="s">
        <v>27</v>
      </c>
    </row>
    <row r="15" spans="1:25">
      <c r="A15" s="10" t="s">
        <v>116</v>
      </c>
      <c r="B15" s="10"/>
      <c r="D15" s="10" t="s">
        <v>134</v>
      </c>
      <c r="E15" s="10" t="s">
        <v>148</v>
      </c>
      <c r="F15" s="10" t="s">
        <v>128</v>
      </c>
      <c r="K15" t="s">
        <v>89</v>
      </c>
      <c r="M15" t="s">
        <v>92</v>
      </c>
      <c r="Y15" t="s">
        <v>28</v>
      </c>
    </row>
    <row r="16" spans="1:25">
      <c r="A16" s="10" t="s">
        <v>121</v>
      </c>
      <c r="B16" s="10" t="s">
        <v>10</v>
      </c>
      <c r="D16" s="10" t="s">
        <v>128</v>
      </c>
      <c r="E16" s="10" t="s">
        <v>105</v>
      </c>
      <c r="F16" s="10" t="s">
        <v>135</v>
      </c>
      <c r="K16" t="s">
        <v>90</v>
      </c>
      <c r="M16" t="s">
        <v>93</v>
      </c>
      <c r="Y16" t="s">
        <v>30</v>
      </c>
    </row>
    <row r="17" spans="1:25">
      <c r="A17" s="10" t="s">
        <v>57</v>
      </c>
      <c r="B17" s="10" t="s">
        <v>33</v>
      </c>
      <c r="D17" s="10" t="s">
        <v>117</v>
      </c>
      <c r="E17" s="10" t="s">
        <v>139</v>
      </c>
      <c r="F17" s="10" t="s">
        <v>132</v>
      </c>
      <c r="K17" t="s">
        <v>91</v>
      </c>
      <c r="M17" t="s">
        <v>94</v>
      </c>
      <c r="Y17" t="s">
        <v>29</v>
      </c>
    </row>
    <row r="18" spans="1:25">
      <c r="A18" s="10" t="s">
        <v>117</v>
      </c>
      <c r="B18" s="10" t="s">
        <v>28</v>
      </c>
      <c r="D18" s="10" t="s">
        <v>132</v>
      </c>
      <c r="E18" s="10" t="s">
        <v>109</v>
      </c>
      <c r="F18" s="10" t="s">
        <v>133</v>
      </c>
      <c r="K18" t="s">
        <v>84</v>
      </c>
      <c r="M18" t="s">
        <v>95</v>
      </c>
      <c r="Y18" t="s">
        <v>31</v>
      </c>
    </row>
    <row r="19" spans="1:25">
      <c r="A19" s="10" t="s">
        <v>127</v>
      </c>
      <c r="B19" s="10"/>
      <c r="D19" s="10" t="s">
        <v>132</v>
      </c>
      <c r="E19" s="10" t="s">
        <v>101</v>
      </c>
      <c r="F19" s="10" t="s">
        <v>46</v>
      </c>
      <c r="K19" t="s">
        <v>85</v>
      </c>
      <c r="M19" t="s">
        <v>96</v>
      </c>
      <c r="Y19" t="s">
        <v>25</v>
      </c>
    </row>
    <row r="20" spans="1:25">
      <c r="A20" s="10" t="s">
        <v>55</v>
      </c>
      <c r="B20" s="10" t="s">
        <v>32</v>
      </c>
      <c r="D20" s="10" t="s">
        <v>131</v>
      </c>
      <c r="E20" s="10" t="s">
        <v>101</v>
      </c>
      <c r="F20" s="10" t="s">
        <v>46</v>
      </c>
      <c r="K20" t="s">
        <v>97</v>
      </c>
      <c r="M20" t="s">
        <v>98</v>
      </c>
      <c r="Y20" t="s">
        <v>15</v>
      </c>
    </row>
    <row r="21" spans="1:25">
      <c r="A21" s="10" t="s">
        <v>53</v>
      </c>
      <c r="B21" s="10"/>
      <c r="D21" s="10" t="s">
        <v>130</v>
      </c>
      <c r="E21" s="10" t="s">
        <v>101</v>
      </c>
      <c r="F21" s="10" t="s">
        <v>46</v>
      </c>
      <c r="Y21" t="s">
        <v>16</v>
      </c>
    </row>
    <row r="22" spans="1:25">
      <c r="A22" s="10" t="s">
        <v>115</v>
      </c>
      <c r="B22" s="10" t="s">
        <v>9</v>
      </c>
      <c r="D22" s="10" t="s">
        <v>130</v>
      </c>
      <c r="E22" s="10" t="s">
        <v>145</v>
      </c>
      <c r="F22" s="10" t="s">
        <v>131</v>
      </c>
      <c r="Y22" t="s">
        <v>32</v>
      </c>
    </row>
    <row r="23" spans="1:25">
      <c r="A23" s="10" t="s">
        <v>114</v>
      </c>
      <c r="B23" s="10"/>
      <c r="D23" s="10" t="s">
        <v>131</v>
      </c>
      <c r="E23" s="10" t="s">
        <v>146</v>
      </c>
      <c r="F23" s="10" t="s">
        <v>132</v>
      </c>
      <c r="Y23" t="s">
        <v>9</v>
      </c>
    </row>
    <row r="24" spans="1:25">
      <c r="A24" s="10" t="s">
        <v>125</v>
      </c>
      <c r="B24" s="10"/>
      <c r="D24" s="10" t="s">
        <v>118</v>
      </c>
      <c r="E24" s="10" t="s">
        <v>101</v>
      </c>
      <c r="F24" s="10" t="s">
        <v>116</v>
      </c>
      <c r="Y24" t="s">
        <v>18</v>
      </c>
    </row>
    <row r="25" spans="1:25">
      <c r="A25" s="10" t="s">
        <v>113</v>
      </c>
      <c r="B25" s="10" t="s">
        <v>22</v>
      </c>
      <c r="D25" s="10" t="s">
        <v>55</v>
      </c>
      <c r="E25" s="10" t="s">
        <v>148</v>
      </c>
      <c r="F25" s="10" t="s">
        <v>117</v>
      </c>
      <c r="Y25" t="s">
        <v>23</v>
      </c>
    </row>
    <row r="26" spans="1:25">
      <c r="A26" s="10" t="s">
        <v>12</v>
      </c>
      <c r="B26" s="10" t="s">
        <v>12</v>
      </c>
      <c r="D26" s="10" t="s">
        <v>56</v>
      </c>
      <c r="E26" s="10" t="s">
        <v>148</v>
      </c>
      <c r="F26" s="10" t="s">
        <v>117</v>
      </c>
      <c r="Y26" t="s">
        <v>22</v>
      </c>
    </row>
    <row r="27" spans="1:25">
      <c r="A27" s="10" t="s">
        <v>137</v>
      </c>
      <c r="B27" s="10"/>
      <c r="D27" s="10" t="s">
        <v>57</v>
      </c>
      <c r="E27" s="10" t="s">
        <v>148</v>
      </c>
      <c r="F27" s="10" t="s">
        <v>117</v>
      </c>
      <c r="Y27" t="s">
        <v>12</v>
      </c>
    </row>
    <row r="28" spans="1:25">
      <c r="A28" s="10" t="s">
        <v>118</v>
      </c>
      <c r="B28" s="10"/>
      <c r="D28" s="10" t="s">
        <v>128</v>
      </c>
      <c r="E28" s="10" t="s">
        <v>140</v>
      </c>
      <c r="F28" s="10" t="s">
        <v>117</v>
      </c>
      <c r="Y28" t="s">
        <v>24</v>
      </c>
    </row>
    <row r="29" spans="1:25">
      <c r="A29" s="10" t="s">
        <v>129</v>
      </c>
      <c r="B29" s="10"/>
      <c r="Y29" t="s">
        <v>8</v>
      </c>
    </row>
    <row r="30" spans="1:25">
      <c r="A30" s="10" t="s">
        <v>46</v>
      </c>
      <c r="B30" s="10"/>
      <c r="Y30" t="s">
        <v>20</v>
      </c>
    </row>
    <row r="31" spans="1:25">
      <c r="A31" s="10" t="s">
        <v>130</v>
      </c>
      <c r="B31" s="10"/>
      <c r="Y31" t="s">
        <v>11</v>
      </c>
    </row>
    <row r="32" spans="1:25">
      <c r="A32" s="10" t="s">
        <v>131</v>
      </c>
      <c r="B32" s="10"/>
    </row>
    <row r="33" spans="1:21">
      <c r="A33" s="10" t="s">
        <v>132</v>
      </c>
      <c r="B33" s="10"/>
    </row>
    <row r="34" spans="1:21">
      <c r="A34" s="10" t="s">
        <v>120</v>
      </c>
      <c r="B34" s="10" t="s">
        <v>8</v>
      </c>
    </row>
    <row r="35" spans="1:21">
      <c r="A35" s="10" t="s">
        <v>119</v>
      </c>
      <c r="B35" s="10" t="s">
        <v>20</v>
      </c>
    </row>
    <row r="36" spans="1:21">
      <c r="A36" s="10" t="s">
        <v>122</v>
      </c>
      <c r="B36" s="10" t="s">
        <v>11</v>
      </c>
    </row>
    <row r="38" spans="1:21">
      <c r="A38" s="88" t="s">
        <v>182</v>
      </c>
      <c r="B38" s="88"/>
      <c r="D38" s="89" t="s">
        <v>222</v>
      </c>
      <c r="E38" s="89"/>
      <c r="F38" s="89"/>
      <c r="G38" s="89"/>
      <c r="I38" s="90" t="s">
        <v>224</v>
      </c>
      <c r="J38" s="90"/>
      <c r="K38" s="90"/>
      <c r="L38" s="90"/>
      <c r="M38" s="90"/>
      <c r="O38" s="94" t="s">
        <v>229</v>
      </c>
      <c r="P38" s="94"/>
      <c r="Q38" s="94"/>
      <c r="R38" s="94"/>
      <c r="S38" s="94"/>
      <c r="T38" s="94"/>
      <c r="U38" s="94"/>
    </row>
    <row r="39" spans="1:21">
      <c r="A39" s="32" t="s">
        <v>212</v>
      </c>
      <c r="B39" s="32" t="s">
        <v>213</v>
      </c>
      <c r="C39" s="38"/>
      <c r="D39" s="34" t="s">
        <v>220</v>
      </c>
      <c r="E39" s="34" t="s">
        <v>219</v>
      </c>
      <c r="F39" s="34" t="s">
        <v>221</v>
      </c>
      <c r="G39" s="34" t="s">
        <v>223</v>
      </c>
      <c r="I39" s="91" t="s">
        <v>225</v>
      </c>
      <c r="J39" s="91"/>
      <c r="K39" s="91"/>
      <c r="L39" s="91" t="s">
        <v>226</v>
      </c>
      <c r="M39" s="91"/>
      <c r="O39" s="95" t="s">
        <v>227</v>
      </c>
      <c r="P39" s="96"/>
      <c r="Q39" s="96"/>
      <c r="R39" s="96"/>
      <c r="S39" s="97"/>
      <c r="T39" s="95" t="s">
        <v>228</v>
      </c>
      <c r="U39" s="97"/>
    </row>
    <row r="40" spans="1:21">
      <c r="A40" s="10" t="s">
        <v>101</v>
      </c>
      <c r="B40" s="10" t="s">
        <v>3</v>
      </c>
      <c r="C40" t="str">
        <f>IF(INDEX($A$3:$B$36,MATCH(D3,$A$3:$A$36,0),2)&lt;&gt;0,"OK","NOK")</f>
        <v>OK</v>
      </c>
      <c r="D40" s="29" t="str">
        <f>IF(INDEX($A$3:$B$36,MATCH(D3,$A$3:$A$36,0),2)&lt;&gt;0,INDEX($A$3:$B$36,MATCH(D3,$A$3:$A$36,0),2),D3)</f>
        <v>politico</v>
      </c>
      <c r="E40" s="10" t="str">
        <f>IF(INDEX($A$40:$B$55,MATCH(E3,$A$40:$A$55,0),2)&lt;&gt;0,INDEX($A$40:$B$55,MATCH(E3,$A$40:$A$55,0),2),E3)</f>
        <v>rdf:type</v>
      </c>
      <c r="F40" s="10" t="str">
        <f>IF(INDEX($A$3:$B$36,MATCH(F3,$A$3:$A$36,0),2)&lt;&gt;0,INDEX($A$3:$B$36,MATCH(F3,$A$3:$A$36,0),2),F3)</f>
        <v>nivel</v>
      </c>
      <c r="G40" s="10" t="str">
        <f>IF(INDEX($A$3:$B$36,MATCH(F3,$A$3:$A$36,0),2)&lt;&gt;0,"OK","NOK")</f>
        <v>OK</v>
      </c>
      <c r="H40">
        <f>COUNTIFS(GRAFO!C2:C42,"=D34",GRAFO!E2:E42,"=F34")</f>
        <v>0</v>
      </c>
      <c r="I40" s="10" t="str">
        <f>D40 &amp;"-"&amp;F40</f>
        <v>politico-nivel</v>
      </c>
      <c r="J40" s="10"/>
      <c r="K40" s="10"/>
      <c r="L40" s="10">
        <f>IF(INDEX(GRAFO!$L$2:'GRAFO'!$L$41,MATCH(I40,GRAFO!$L$2:'GRAFO'!$L$41,0),1)&lt;&gt;0,1,0)</f>
        <v>1</v>
      </c>
      <c r="M40" s="10">
        <f>IFERROR(L40,0)</f>
        <v>1</v>
      </c>
      <c r="O40" s="10" t="str">
        <f>D40 &amp; "-" &amp; E40 &amp; "-" &amp; F40</f>
        <v>politico-rdf:type-nivel</v>
      </c>
      <c r="P40" s="10"/>
      <c r="Q40" s="10"/>
      <c r="R40" s="10"/>
      <c r="S40" s="10"/>
      <c r="T40" s="10" t="e">
        <f>IF(INDEX(GRAFO!$M$2:'GRAFO'!$M$41,MATCH(O40,GRAFO!$M$2:'GRAFO'!$M$41,0),1)&lt;&gt;0,1,0)</f>
        <v>#N/A</v>
      </c>
      <c r="U40" s="10">
        <f>IFERROR(T40,0)</f>
        <v>0</v>
      </c>
    </row>
    <row r="41" spans="1:21">
      <c r="A41" s="10" t="s">
        <v>103</v>
      </c>
      <c r="B41" s="10" t="s">
        <v>4</v>
      </c>
      <c r="C41" t="str">
        <f t="shared" ref="C41:C55" si="1">IF(INDEX($A$3:$B$36,MATCH(D4,$A$3:$A$36,0),2)&lt;&gt;0,"OK","NOK")</f>
        <v>OK</v>
      </c>
      <c r="D41" s="29" t="str">
        <f t="shared" ref="D41:D65" si="2">IF(INDEX($A$3:$B$36,MATCH(D4,$A$3:$A$36,0),2)&lt;&gt;0,INDEX($A$3:$B$36,MATCH(D4,$A$3:$A$36,0),2),D4)</f>
        <v>estrategico</v>
      </c>
      <c r="E41" s="10" t="str">
        <f t="shared" ref="E41:E65" si="3">IF(INDEX($A$40:$B$55,MATCH(E4,$A$40:$A$55,0),2)&lt;&gt;0,INDEX($A$40:$B$55,MATCH(E4,$A$40:$A$55,0),2),E4)</f>
        <v>rdf:type</v>
      </c>
      <c r="F41" s="10" t="str">
        <f t="shared" ref="F41:F65" si="4">IF(INDEX($A$3:$B$36,MATCH(F4,$A$3:$A$36,0),2)&lt;&gt;0,INDEX($A$3:$B$36,MATCH(F4,$A$3:$A$36,0),2),F4)</f>
        <v>nivel</v>
      </c>
      <c r="G41" s="10" t="str">
        <f t="shared" ref="G41:G65" si="5">IF(INDEX($A$3:$B$36,MATCH(F4,$A$3:$A$36,0),2)&lt;&gt;0,"OK","NOK")</f>
        <v>OK</v>
      </c>
      <c r="I41" s="10" t="str">
        <f t="shared" ref="I41:I65" si="6">D41 &amp;"-"&amp;F41</f>
        <v>estrategico-nivel</v>
      </c>
      <c r="J41" s="10"/>
      <c r="K41" s="10"/>
      <c r="L41" s="10">
        <f>IF(VLOOKUP(I41,GRAFO!L3:L42,1,0)&lt;&gt;"",1,0)</f>
        <v>1</v>
      </c>
      <c r="M41" s="10">
        <f t="shared" ref="M41:M65" si="7">IFERROR(L41,0)</f>
        <v>1</v>
      </c>
      <c r="O41" s="10" t="str">
        <f t="shared" ref="O41:O65" si="8">D41 &amp; "-" &amp; E41 &amp; "-" &amp; F41</f>
        <v>estrategico-rdf:type-nivel</v>
      </c>
      <c r="P41" s="10"/>
      <c r="Q41" s="10"/>
      <c r="R41" s="10"/>
      <c r="S41" s="10"/>
      <c r="T41" s="10" t="e">
        <f>IF(INDEX(GRAFO!$M$2:'GRAFO'!$M$41,MATCH(O41,GRAFO!$M$2:'GRAFO'!$M$41,0),1)&lt;&gt;0,1,0)</f>
        <v>#N/A</v>
      </c>
      <c r="U41" s="10">
        <f t="shared" ref="U41:U65" si="9">IFERROR(T41,0)</f>
        <v>0</v>
      </c>
    </row>
    <row r="42" spans="1:21">
      <c r="A42" s="10" t="s">
        <v>139</v>
      </c>
      <c r="B42" s="10" t="s">
        <v>7</v>
      </c>
      <c r="C42" t="str">
        <f t="shared" si="1"/>
        <v>OK</v>
      </c>
      <c r="D42" s="29" t="str">
        <f t="shared" si="2"/>
        <v>operacional</v>
      </c>
      <c r="E42" s="10" t="str">
        <f t="shared" si="3"/>
        <v>rdf:type</v>
      </c>
      <c r="F42" s="10" t="str">
        <f t="shared" si="4"/>
        <v>nivel</v>
      </c>
      <c r="G42" s="10" t="str">
        <f t="shared" si="5"/>
        <v>OK</v>
      </c>
      <c r="I42" s="10" t="str">
        <f t="shared" si="6"/>
        <v>operacional-nivel</v>
      </c>
      <c r="J42" s="10"/>
      <c r="K42" s="10"/>
      <c r="L42" s="10">
        <f>IF(VLOOKUP(I42,GRAFO!L4:L43,1,0)&lt;&gt;"",1,0)</f>
        <v>1</v>
      </c>
      <c r="M42" s="10">
        <f t="shared" si="7"/>
        <v>1</v>
      </c>
      <c r="O42" s="10" t="str">
        <f t="shared" si="8"/>
        <v>operacional-rdf:type-nivel</v>
      </c>
      <c r="P42" s="10"/>
      <c r="Q42" s="10"/>
      <c r="R42" s="10"/>
      <c r="S42" s="10"/>
      <c r="T42" s="10" t="e">
        <f>IF(INDEX(GRAFO!$M$2:'GRAFO'!$M$41,MATCH(O42,GRAFO!$M$2:'GRAFO'!$M$41,0),1)&lt;&gt;0,1,0)</f>
        <v>#N/A</v>
      </c>
      <c r="U42" s="10">
        <f t="shared" si="9"/>
        <v>0</v>
      </c>
    </row>
    <row r="43" spans="1:21">
      <c r="A43" s="10" t="s">
        <v>140</v>
      </c>
      <c r="B43" s="10" t="s">
        <v>110</v>
      </c>
      <c r="C43" t="str">
        <f t="shared" si="1"/>
        <v>OK</v>
      </c>
      <c r="D43" s="29" t="str">
        <f t="shared" si="2"/>
        <v>tatico</v>
      </c>
      <c r="E43" s="10" t="str">
        <f t="shared" si="3"/>
        <v>rdf:type</v>
      </c>
      <c r="F43" s="10" t="str">
        <f t="shared" si="4"/>
        <v>nivel</v>
      </c>
      <c r="G43" s="10" t="str">
        <f t="shared" si="5"/>
        <v>OK</v>
      </c>
      <c r="I43" s="10" t="str">
        <f t="shared" si="6"/>
        <v>tatico-nivel</v>
      </c>
      <c r="J43" s="10"/>
      <c r="K43" s="10"/>
      <c r="L43" s="10">
        <f>IF(VLOOKUP(I43,GRAFO!L5:L44,1,0)&lt;&gt;"",1,0)</f>
        <v>1</v>
      </c>
      <c r="M43" s="10">
        <f t="shared" si="7"/>
        <v>1</v>
      </c>
      <c r="O43" s="10" t="str">
        <f t="shared" si="8"/>
        <v>tatico-rdf:type-nivel</v>
      </c>
      <c r="P43" s="10"/>
      <c r="Q43" s="10"/>
      <c r="R43" s="10"/>
      <c r="S43" s="10"/>
      <c r="T43" s="10" t="e">
        <f>IF(INDEX(GRAFO!$M$2:'GRAFO'!$M$41,MATCH(O43,GRAFO!$M$2:'GRAFO'!$M$41,0),1)&lt;&gt;0,1,0)</f>
        <v>#N/A</v>
      </c>
      <c r="U43" s="10">
        <f t="shared" si="9"/>
        <v>0</v>
      </c>
    </row>
    <row r="44" spans="1:21">
      <c r="A44" s="10" t="s">
        <v>107</v>
      </c>
      <c r="B44" s="10" t="s">
        <v>7</v>
      </c>
      <c r="C44" t="str">
        <f t="shared" si="1"/>
        <v>NOK</v>
      </c>
      <c r="D44" s="29" t="str">
        <f t="shared" si="2"/>
        <v>ativa</v>
      </c>
      <c r="E44" s="10" t="str">
        <f t="shared" si="3"/>
        <v>rdfs:subClassOf</v>
      </c>
      <c r="F44" s="10" t="str">
        <f t="shared" si="4"/>
        <v>defesa aeroespacial</v>
      </c>
      <c r="G44" s="10" t="str">
        <f t="shared" si="5"/>
        <v>NOK</v>
      </c>
      <c r="I44" s="10" t="str">
        <f t="shared" si="6"/>
        <v>ativa-defesa aeroespacial</v>
      </c>
      <c r="J44" s="10"/>
      <c r="K44" s="10"/>
      <c r="L44" s="10" t="e">
        <f>IF(VLOOKUP(I44,GRAFO!L6:L45,1,0)&lt;&gt;"",1,0)</f>
        <v>#N/A</v>
      </c>
      <c r="M44" s="10">
        <f t="shared" si="7"/>
        <v>0</v>
      </c>
      <c r="O44" s="10" t="str">
        <f t="shared" si="8"/>
        <v>ativa-rdfs:subClassOf-defesa aeroespacial</v>
      </c>
      <c r="P44" s="10"/>
      <c r="Q44" s="10"/>
      <c r="R44" s="10"/>
      <c r="S44" s="10"/>
      <c r="T44" s="10" t="e">
        <f>IF(INDEX(GRAFO!$M$2:'GRAFO'!$M$41,MATCH(O44,GRAFO!$M$2:'GRAFO'!$M$41,0),1)&lt;&gt;0,1,0)</f>
        <v>#N/A</v>
      </c>
      <c r="U44" s="10">
        <f t="shared" si="9"/>
        <v>0</v>
      </c>
    </row>
    <row r="45" spans="1:21">
      <c r="A45" s="10" t="s">
        <v>105</v>
      </c>
      <c r="B45" s="10" t="s">
        <v>5</v>
      </c>
      <c r="C45" t="str">
        <f t="shared" si="1"/>
        <v>NOK</v>
      </c>
      <c r="D45" s="29" t="str">
        <f t="shared" si="2"/>
        <v>passiva</v>
      </c>
      <c r="E45" s="10" t="str">
        <f t="shared" si="3"/>
        <v>rdfs:subClassOf</v>
      </c>
      <c r="F45" s="10" t="str">
        <f t="shared" si="4"/>
        <v>defesa aeroespacial</v>
      </c>
      <c r="G45" s="10" t="str">
        <f t="shared" si="5"/>
        <v>NOK</v>
      </c>
      <c r="I45" s="10" t="str">
        <f t="shared" si="6"/>
        <v>passiva-defesa aeroespacial</v>
      </c>
      <c r="J45" s="10"/>
      <c r="K45" s="10"/>
      <c r="L45" s="10" t="e">
        <f>IF(VLOOKUP(I45,GRAFO!L7:L46,1,0)&lt;&gt;"",1,0)</f>
        <v>#N/A</v>
      </c>
      <c r="M45" s="10">
        <f t="shared" si="7"/>
        <v>0</v>
      </c>
      <c r="O45" s="10" t="str">
        <f t="shared" si="8"/>
        <v>passiva-rdfs:subClassOf-defesa aeroespacial</v>
      </c>
      <c r="P45" s="10"/>
      <c r="Q45" s="10"/>
      <c r="R45" s="10"/>
      <c r="S45" s="10"/>
      <c r="T45" s="10" t="e">
        <f>IF(INDEX(GRAFO!$M$2:'GRAFO'!$M$41,MATCH(O45,GRAFO!$M$2:'GRAFO'!$M$41,0),1)&lt;&gt;0,1,0)</f>
        <v>#N/A</v>
      </c>
      <c r="U45" s="10">
        <f t="shared" si="9"/>
        <v>0</v>
      </c>
    </row>
    <row r="46" spans="1:21">
      <c r="A46" s="10" t="s">
        <v>108</v>
      </c>
      <c r="B46" s="10" t="s">
        <v>4</v>
      </c>
      <c r="C46" t="str">
        <f t="shared" si="1"/>
        <v>NOK</v>
      </c>
      <c r="D46" s="29" t="str">
        <f t="shared" si="2"/>
        <v>defesa aeroespacial</v>
      </c>
      <c r="E46" s="10" t="str">
        <f t="shared" si="3"/>
        <v>rdfs:Bag</v>
      </c>
      <c r="F46" s="10" t="str">
        <f t="shared" si="4"/>
        <v>area de operações</v>
      </c>
      <c r="G46" s="10" t="str">
        <f t="shared" si="5"/>
        <v>NOK</v>
      </c>
      <c r="I46" s="10" t="str">
        <f t="shared" si="6"/>
        <v>defesa aeroespacial-area de operações</v>
      </c>
      <c r="J46" s="10"/>
      <c r="K46" s="10"/>
      <c r="L46" s="10" t="e">
        <f>IF(VLOOKUP(I46,GRAFO!L8:L47,1,0)&lt;&gt;"",1,0)</f>
        <v>#N/A</v>
      </c>
      <c r="M46" s="10">
        <f t="shared" si="7"/>
        <v>0</v>
      </c>
      <c r="O46" s="10" t="str">
        <f t="shared" si="8"/>
        <v>defesa aeroespacial-rdfs:Bag-area de operações</v>
      </c>
      <c r="P46" s="10"/>
      <c r="Q46" s="10"/>
      <c r="R46" s="10"/>
      <c r="S46" s="10"/>
      <c r="T46" s="10" t="e">
        <f>IF(INDEX(GRAFO!$M$2:'GRAFO'!$M$41,MATCH(O46,GRAFO!$M$2:'GRAFO'!$M$41,0),1)&lt;&gt;0,1,0)</f>
        <v>#N/A</v>
      </c>
      <c r="U46" s="10">
        <f t="shared" si="9"/>
        <v>0</v>
      </c>
    </row>
    <row r="47" spans="1:21">
      <c r="A47" s="10" t="s">
        <v>109</v>
      </c>
      <c r="B47" s="10" t="s">
        <v>7</v>
      </c>
      <c r="C47" t="str">
        <f t="shared" si="1"/>
        <v>NOK</v>
      </c>
      <c r="D47" s="29" t="str">
        <f t="shared" si="2"/>
        <v>area de operações</v>
      </c>
      <c r="E47" s="10" t="str">
        <f t="shared" si="3"/>
        <v>rdfs:subClassOf</v>
      </c>
      <c r="F47" s="10" t="str">
        <f t="shared" si="4"/>
        <v>área de responsabilidade</v>
      </c>
      <c r="G47" s="10" t="str">
        <f t="shared" si="5"/>
        <v>NOK</v>
      </c>
      <c r="I47" s="10" t="str">
        <f t="shared" si="6"/>
        <v>area de operações-área de responsabilidade</v>
      </c>
      <c r="J47" s="10"/>
      <c r="K47" s="10"/>
      <c r="L47" s="10" t="e">
        <f>IF(VLOOKUP(I47,GRAFO!L9:L48,1,0)&lt;&gt;"",1,0)</f>
        <v>#N/A</v>
      </c>
      <c r="M47" s="10">
        <f t="shared" si="7"/>
        <v>0</v>
      </c>
      <c r="O47" s="10" t="str">
        <f t="shared" si="8"/>
        <v>area de operações-rdfs:subClassOf-área de responsabilidade</v>
      </c>
      <c r="P47" s="10"/>
      <c r="Q47" s="10"/>
      <c r="R47" s="10"/>
      <c r="S47" s="10"/>
      <c r="T47" s="10" t="e">
        <f>IF(INDEX(GRAFO!$M$2:'GRAFO'!$M$41,MATCH(O47,GRAFO!$M$2:'GRAFO'!$M$41,0),1)&lt;&gt;0,1,0)</f>
        <v>#N/A</v>
      </c>
      <c r="U47" s="10">
        <f t="shared" si="9"/>
        <v>0</v>
      </c>
    </row>
    <row r="48" spans="1:21">
      <c r="A48" s="10" t="s">
        <v>141</v>
      </c>
      <c r="B48" s="10" t="s">
        <v>7</v>
      </c>
      <c r="C48" t="str">
        <f t="shared" si="1"/>
        <v>NOK</v>
      </c>
      <c r="D48" s="29" t="str">
        <f t="shared" si="2"/>
        <v>comandante operacional</v>
      </c>
      <c r="E48" s="10" t="str">
        <f t="shared" si="3"/>
        <v>rdfs:subClassOf</v>
      </c>
      <c r="F48" s="10" t="str">
        <f t="shared" si="4"/>
        <v>pessoa</v>
      </c>
      <c r="G48" s="10" t="str">
        <f t="shared" si="5"/>
        <v>NOK</v>
      </c>
      <c r="I48" s="10" t="str">
        <f t="shared" si="6"/>
        <v>comandante operacional-pessoa</v>
      </c>
      <c r="J48" s="10"/>
      <c r="K48" s="10"/>
      <c r="L48" s="10" t="e">
        <f>IF(VLOOKUP(I48,GRAFO!L10:L49,1,0)&lt;&gt;"",1,0)</f>
        <v>#N/A</v>
      </c>
      <c r="M48" s="10">
        <f t="shared" si="7"/>
        <v>0</v>
      </c>
      <c r="O48" s="10" t="str">
        <f t="shared" si="8"/>
        <v>comandante operacional-rdfs:subClassOf-pessoa</v>
      </c>
      <c r="P48" s="10"/>
      <c r="Q48" s="10"/>
      <c r="R48" s="10"/>
      <c r="S48" s="10"/>
      <c r="T48" s="10" t="e">
        <f>IF(INDEX(GRAFO!$M$2:'GRAFO'!$M$41,MATCH(O48,GRAFO!$M$2:'GRAFO'!$M$41,0),1)&lt;&gt;0,1,0)</f>
        <v>#N/A</v>
      </c>
      <c r="U48" s="10">
        <f t="shared" si="9"/>
        <v>0</v>
      </c>
    </row>
    <row r="49" spans="1:21">
      <c r="A49" s="10" t="s">
        <v>142</v>
      </c>
      <c r="B49" s="10" t="s">
        <v>4</v>
      </c>
      <c r="C49" t="str">
        <f t="shared" si="1"/>
        <v>OK</v>
      </c>
      <c r="D49" s="29" t="str">
        <f t="shared" si="2"/>
        <v>presidente_da_republica</v>
      </c>
      <c r="E49" s="10" t="str">
        <f t="shared" si="3"/>
        <v>rdfs:subClassOf</v>
      </c>
      <c r="F49" s="10" t="str">
        <f t="shared" si="4"/>
        <v>pessoa</v>
      </c>
      <c r="G49" s="10" t="str">
        <f t="shared" si="5"/>
        <v>NOK</v>
      </c>
      <c r="I49" s="10" t="str">
        <f t="shared" si="6"/>
        <v>presidente_da_republica-pessoa</v>
      </c>
      <c r="J49" s="10"/>
      <c r="K49" s="10"/>
      <c r="L49" s="10" t="e">
        <f>IF(VLOOKUP(I49,GRAFO!L11:L50,1,0)&lt;&gt;"",1,0)</f>
        <v>#N/A</v>
      </c>
      <c r="M49" s="10">
        <f t="shared" si="7"/>
        <v>0</v>
      </c>
      <c r="O49" s="10" t="str">
        <f t="shared" si="8"/>
        <v>presidente_da_republica-rdfs:subClassOf-pessoa</v>
      </c>
      <c r="P49" s="10"/>
      <c r="Q49" s="10"/>
      <c r="R49" s="10"/>
      <c r="S49" s="10"/>
      <c r="T49" s="10" t="e">
        <f>IF(INDEX(GRAFO!$M$2:'GRAFO'!$M$41,MATCH(O49,GRAFO!$M$2:'GRAFO'!$M$41,0),1)&lt;&gt;0,1,0)</f>
        <v>#N/A</v>
      </c>
      <c r="U49" s="10">
        <f t="shared" si="9"/>
        <v>0</v>
      </c>
    </row>
    <row r="50" spans="1:21">
      <c r="A50" s="10" t="s">
        <v>143</v>
      </c>
      <c r="B50" s="10" t="s">
        <v>4</v>
      </c>
      <c r="C50" t="str">
        <f t="shared" si="1"/>
        <v>NOK</v>
      </c>
      <c r="D50" s="29" t="str">
        <f t="shared" si="2"/>
        <v>comandante operacional</v>
      </c>
      <c r="E50" s="10" t="str">
        <f t="shared" si="3"/>
        <v>c2rm:responsible_for</v>
      </c>
      <c r="F50" s="10" t="str">
        <f t="shared" si="4"/>
        <v>planejamento militar</v>
      </c>
      <c r="G50" s="10" t="str">
        <f t="shared" si="5"/>
        <v>NOK</v>
      </c>
      <c r="I50" s="10" t="str">
        <f t="shared" si="6"/>
        <v>comandante operacional-planejamento militar</v>
      </c>
      <c r="J50" s="10"/>
      <c r="K50" s="10"/>
      <c r="L50" s="10" t="e">
        <f>IF(VLOOKUP(I50,GRAFO!L12:L51,1,0)&lt;&gt;"",1,0)</f>
        <v>#N/A</v>
      </c>
      <c r="M50" s="10">
        <f t="shared" si="7"/>
        <v>0</v>
      </c>
      <c r="O50" s="10" t="str">
        <f t="shared" si="8"/>
        <v>comandante operacional-c2rm:responsible_for-planejamento militar</v>
      </c>
      <c r="P50" s="10"/>
      <c r="Q50" s="10"/>
      <c r="R50" s="10"/>
      <c r="S50" s="10"/>
      <c r="T50" s="10" t="e">
        <f>IF(INDEX(GRAFO!$M$2:'GRAFO'!$M$41,MATCH(O50,GRAFO!$M$2:'GRAFO'!$M$41,0),1)&lt;&gt;0,1,0)</f>
        <v>#N/A</v>
      </c>
      <c r="U50" s="10">
        <f t="shared" si="9"/>
        <v>0</v>
      </c>
    </row>
    <row r="51" spans="1:21">
      <c r="A51" s="10" t="s">
        <v>144</v>
      </c>
      <c r="B51" s="10" t="s">
        <v>4</v>
      </c>
      <c r="C51" t="str">
        <f t="shared" si="1"/>
        <v>NOK</v>
      </c>
      <c r="D51" s="29" t="str">
        <f t="shared" si="2"/>
        <v>md</v>
      </c>
      <c r="E51" s="10" t="str">
        <f t="shared" si="3"/>
        <v>rdf:type</v>
      </c>
      <c r="F51" s="10" t="str">
        <f t="shared" si="4"/>
        <v>instituição</v>
      </c>
      <c r="G51" s="10" t="str">
        <f t="shared" si="5"/>
        <v>NOK</v>
      </c>
      <c r="I51" s="10" t="str">
        <f t="shared" si="6"/>
        <v>md-instituição</v>
      </c>
      <c r="J51" s="10"/>
      <c r="K51" s="10"/>
      <c r="L51" s="10" t="e">
        <f>IF(VLOOKUP(I51,GRAFO!L13:L52,1,0)&lt;&gt;"",1,0)</f>
        <v>#N/A</v>
      </c>
      <c r="M51" s="10">
        <f t="shared" si="7"/>
        <v>0</v>
      </c>
      <c r="O51" s="10" t="str">
        <f t="shared" si="8"/>
        <v>md-rdf:type-instituição</v>
      </c>
      <c r="P51" s="10"/>
      <c r="Q51" s="10"/>
      <c r="R51" s="10"/>
      <c r="S51" s="10"/>
      <c r="T51" s="10" t="e">
        <f>IF(INDEX(GRAFO!$M$2:'GRAFO'!$M$41,MATCH(O51,GRAFO!$M$2:'GRAFO'!$M$41,0),1)&lt;&gt;0,1,0)</f>
        <v>#N/A</v>
      </c>
      <c r="U51" s="10">
        <f t="shared" si="9"/>
        <v>0</v>
      </c>
    </row>
    <row r="52" spans="1:21">
      <c r="A52" s="10" t="s">
        <v>145</v>
      </c>
      <c r="B52" s="10" t="s">
        <v>4</v>
      </c>
      <c r="C52" t="str">
        <f t="shared" si="1"/>
        <v>NOK</v>
      </c>
      <c r="D52" s="29" t="str">
        <f t="shared" si="2"/>
        <v>comdabra</v>
      </c>
      <c r="E52" s="10" t="str">
        <f t="shared" si="3"/>
        <v>rdf:type</v>
      </c>
      <c r="F52" s="10" t="str">
        <f t="shared" si="4"/>
        <v>comitê</v>
      </c>
      <c r="G52" s="10" t="str">
        <f t="shared" si="5"/>
        <v>NOK</v>
      </c>
      <c r="I52" s="10" t="str">
        <f t="shared" si="6"/>
        <v>comdabra-comitê</v>
      </c>
      <c r="J52" s="10"/>
      <c r="K52" s="10"/>
      <c r="L52" s="10" t="e">
        <f>IF(VLOOKUP(I52,GRAFO!L14:L53,1,0)&lt;&gt;"",1,0)</f>
        <v>#N/A</v>
      </c>
      <c r="M52" s="10">
        <f t="shared" si="7"/>
        <v>0</v>
      </c>
      <c r="O52" s="10" t="str">
        <f t="shared" si="8"/>
        <v>comdabra-rdf:type-comitê</v>
      </c>
      <c r="P52" s="10"/>
      <c r="Q52" s="10"/>
      <c r="R52" s="10"/>
      <c r="S52" s="10"/>
      <c r="T52" s="10" t="e">
        <f>IF(INDEX(GRAFO!$M$2:'GRAFO'!$M$41,MATCH(O52,GRAFO!$M$2:'GRAFO'!$M$41,0),1)&lt;&gt;0,1,0)</f>
        <v>#N/A</v>
      </c>
      <c r="U52" s="10">
        <f t="shared" si="9"/>
        <v>0</v>
      </c>
    </row>
    <row r="53" spans="1:21">
      <c r="A53" s="10" t="s">
        <v>146</v>
      </c>
      <c r="B53" s="10" t="s">
        <v>4</v>
      </c>
      <c r="C53" t="str">
        <f t="shared" si="1"/>
        <v>NOK</v>
      </c>
      <c r="D53" s="29" t="str">
        <f t="shared" si="2"/>
        <v>comitê</v>
      </c>
      <c r="E53" s="10" t="str">
        <f t="shared" si="3"/>
        <v>c2rm:applied_to</v>
      </c>
      <c r="F53" s="10" t="str">
        <f t="shared" si="4"/>
        <v>defesa aeroespacial</v>
      </c>
      <c r="G53" s="10" t="str">
        <f t="shared" si="5"/>
        <v>NOK</v>
      </c>
      <c r="I53" s="10" t="str">
        <f t="shared" si="6"/>
        <v>comitê-defesa aeroespacial</v>
      </c>
      <c r="J53" s="10"/>
      <c r="K53" s="10"/>
      <c r="L53" s="10" t="e">
        <f>IF(VLOOKUP(I53,GRAFO!L15:L54,1,0)&lt;&gt;"",1,0)</f>
        <v>#N/A</v>
      </c>
      <c r="M53" s="10">
        <f t="shared" si="7"/>
        <v>0</v>
      </c>
      <c r="O53" s="10" t="str">
        <f t="shared" si="8"/>
        <v>comitê-c2rm:applied_to-defesa aeroespacial</v>
      </c>
      <c r="P53" s="10"/>
      <c r="Q53" s="10"/>
      <c r="R53" s="10"/>
      <c r="S53" s="10"/>
      <c r="T53" s="10" t="e">
        <f>IF(INDEX(GRAFO!$M$2:'GRAFO'!$M$41,MATCH(O53,GRAFO!$M$2:'GRAFO'!$M$41,0),1)&lt;&gt;0,1,0)</f>
        <v>#N/A</v>
      </c>
      <c r="U53" s="10">
        <f t="shared" si="9"/>
        <v>0</v>
      </c>
    </row>
    <row r="54" spans="1:21">
      <c r="A54" s="10" t="s">
        <v>147</v>
      </c>
      <c r="B54" s="10" t="s">
        <v>7</v>
      </c>
      <c r="C54" t="str">
        <f t="shared" si="1"/>
        <v>OK</v>
      </c>
      <c r="D54" s="29" t="str">
        <f t="shared" si="2"/>
        <v>forca_componente</v>
      </c>
      <c r="E54" s="10" t="str">
        <f t="shared" si="3"/>
        <v>c2rm:responsible_for</v>
      </c>
      <c r="F54" s="10" t="str">
        <f t="shared" si="4"/>
        <v>plano tático</v>
      </c>
      <c r="G54" s="10" t="str">
        <f t="shared" si="5"/>
        <v>NOK</v>
      </c>
      <c r="I54" s="10" t="str">
        <f t="shared" si="6"/>
        <v>forca_componente-plano tático</v>
      </c>
      <c r="J54" s="10"/>
      <c r="K54" s="10"/>
      <c r="L54" s="10" t="e">
        <f>IF(VLOOKUP(I54,GRAFO!L16:L55,1,0)&lt;&gt;"",1,0)</f>
        <v>#N/A</v>
      </c>
      <c r="M54" s="10">
        <f t="shared" si="7"/>
        <v>0</v>
      </c>
      <c r="O54" s="10" t="str">
        <f t="shared" si="8"/>
        <v>forca_componente-c2rm:responsible_for-plano tático</v>
      </c>
      <c r="P54" s="10"/>
      <c r="Q54" s="10"/>
      <c r="R54" s="10"/>
      <c r="S54" s="10"/>
      <c r="T54" s="10" t="e">
        <f>IF(INDEX(GRAFO!$M$2:'GRAFO'!$M$41,MATCH(O54,GRAFO!$M$2:'GRAFO'!$M$41,0),1)&lt;&gt;0,1,0)</f>
        <v>#N/A</v>
      </c>
      <c r="U54" s="10">
        <f t="shared" si="9"/>
        <v>0</v>
      </c>
    </row>
    <row r="55" spans="1:21">
      <c r="A55" s="10" t="s">
        <v>148</v>
      </c>
      <c r="B55" s="10" t="s">
        <v>36</v>
      </c>
      <c r="C55" t="str">
        <f t="shared" si="1"/>
        <v>NOK</v>
      </c>
      <c r="D55" s="29" t="str">
        <f t="shared" si="2"/>
        <v>plano tático</v>
      </c>
      <c r="E55" s="10" t="str">
        <f t="shared" si="3"/>
        <v>c2rm:responsible_for</v>
      </c>
      <c r="F55" s="10" t="str">
        <f t="shared" si="4"/>
        <v>área de responsabilidade</v>
      </c>
      <c r="G55" s="10" t="str">
        <f t="shared" si="5"/>
        <v>NOK</v>
      </c>
      <c r="I55" s="10" t="str">
        <f t="shared" si="6"/>
        <v>plano tático-área de responsabilidade</v>
      </c>
      <c r="J55" s="10"/>
      <c r="K55" s="10"/>
      <c r="L55" s="10" t="e">
        <f>IF(VLOOKUP(I55,GRAFO!L17:L56,1,0)&lt;&gt;"",1,0)</f>
        <v>#N/A</v>
      </c>
      <c r="M55" s="10">
        <f t="shared" si="7"/>
        <v>0</v>
      </c>
      <c r="O55" s="10" t="str">
        <f t="shared" si="8"/>
        <v>plano tático-c2rm:responsible_for-área de responsabilidade</v>
      </c>
      <c r="P55" s="10"/>
      <c r="Q55" s="10"/>
      <c r="R55" s="10"/>
      <c r="S55" s="10"/>
      <c r="T55" s="10" t="e">
        <f>IF(INDEX(GRAFO!$M$2:'GRAFO'!$M$41,MATCH(O55,GRAFO!$M$2:'GRAFO'!$M$41,0),1)&lt;&gt;0,1,0)</f>
        <v>#N/A</v>
      </c>
      <c r="U55" s="10">
        <f t="shared" si="9"/>
        <v>0</v>
      </c>
    </row>
    <row r="56" spans="1:21">
      <c r="D56" s="10" t="str">
        <f t="shared" si="2"/>
        <v>plano tático</v>
      </c>
      <c r="E56" s="10" t="str">
        <f t="shared" si="3"/>
        <v>rdfs:subClassOf</v>
      </c>
      <c r="F56" s="10" t="str">
        <f t="shared" si="4"/>
        <v>plano</v>
      </c>
      <c r="G56" s="10" t="str">
        <f t="shared" si="5"/>
        <v>NOK</v>
      </c>
      <c r="I56" s="10" t="str">
        <f t="shared" si="6"/>
        <v>plano tático-plano</v>
      </c>
      <c r="J56" s="10"/>
      <c r="K56" s="10"/>
      <c r="L56" s="10" t="e">
        <f>IF(VLOOKUP(I56,GRAFO!L18:L57,1,0)&lt;&gt;"",1,0)</f>
        <v>#N/A</v>
      </c>
      <c r="M56" s="10">
        <f t="shared" si="7"/>
        <v>0</v>
      </c>
      <c r="O56" s="10" t="str">
        <f t="shared" si="8"/>
        <v>plano tático-rdfs:subClassOf-plano</v>
      </c>
      <c r="P56" s="10"/>
      <c r="Q56" s="10"/>
      <c r="R56" s="10"/>
      <c r="S56" s="10"/>
      <c r="T56" s="10" t="e">
        <f>IF(INDEX(GRAFO!$M$2:'GRAFO'!$M$41,MATCH(O56,GRAFO!$M$2:'GRAFO'!$M$41,0),1)&lt;&gt;0,1,0)</f>
        <v>#N/A</v>
      </c>
      <c r="U56" s="10">
        <f t="shared" si="9"/>
        <v>0</v>
      </c>
    </row>
    <row r="57" spans="1:21">
      <c r="D57" s="10" t="str">
        <f t="shared" si="2"/>
        <v>plano operacional</v>
      </c>
      <c r="E57" s="10" t="str">
        <f t="shared" si="3"/>
        <v>rdfs:subClassOf</v>
      </c>
      <c r="F57" s="10" t="str">
        <f t="shared" si="4"/>
        <v>plano</v>
      </c>
      <c r="G57" s="10" t="str">
        <f t="shared" si="5"/>
        <v>NOK</v>
      </c>
      <c r="I57" s="10" t="str">
        <f t="shared" si="6"/>
        <v>plano operacional-plano</v>
      </c>
      <c r="J57" s="10"/>
      <c r="K57" s="10"/>
      <c r="L57" s="10" t="e">
        <f>IF(VLOOKUP(I57,GRAFO!L19:L58,1,0)&lt;&gt;"",1,0)</f>
        <v>#N/A</v>
      </c>
      <c r="M57" s="10">
        <f t="shared" si="7"/>
        <v>0</v>
      </c>
      <c r="O57" s="10" t="str">
        <f t="shared" si="8"/>
        <v>plano operacional-rdfs:subClassOf-plano</v>
      </c>
      <c r="P57" s="10"/>
      <c r="Q57" s="10"/>
      <c r="R57" s="10"/>
      <c r="S57" s="10"/>
      <c r="T57" s="10" t="e">
        <f>IF(INDEX(GRAFO!$M$2:'GRAFO'!$M$41,MATCH(O57,GRAFO!$M$2:'GRAFO'!$M$41,0),1)&lt;&gt;0,1,0)</f>
        <v>#N/A</v>
      </c>
      <c r="U57" s="10">
        <f t="shared" si="9"/>
        <v>0</v>
      </c>
    </row>
    <row r="58" spans="1:21">
      <c r="D58" s="10" t="str">
        <f t="shared" si="2"/>
        <v>plano estratégico</v>
      </c>
      <c r="E58" s="10" t="str">
        <f t="shared" si="3"/>
        <v>rdfs:subClassOf</v>
      </c>
      <c r="F58" s="10" t="str">
        <f t="shared" si="4"/>
        <v>plano</v>
      </c>
      <c r="G58" s="10" t="str">
        <f t="shared" si="5"/>
        <v>NOK</v>
      </c>
      <c r="I58" s="10" t="str">
        <f t="shared" si="6"/>
        <v>plano estratégico-plano</v>
      </c>
      <c r="J58" s="10"/>
      <c r="K58" s="10"/>
      <c r="L58" s="10" t="e">
        <f>IF(VLOOKUP(I58,GRAFO!L20:L59,1,0)&lt;&gt;"",1,0)</f>
        <v>#N/A</v>
      </c>
      <c r="M58" s="10">
        <f t="shared" si="7"/>
        <v>0</v>
      </c>
      <c r="O58" s="10" t="str">
        <f t="shared" si="8"/>
        <v>plano estratégico-rdfs:subClassOf-plano</v>
      </c>
      <c r="P58" s="10"/>
      <c r="Q58" s="10"/>
      <c r="R58" s="10"/>
      <c r="S58" s="10"/>
      <c r="T58" s="10" t="e">
        <f>IF(INDEX(GRAFO!$M$2:'GRAFO'!$M$41,MATCH(O58,GRAFO!$M$2:'GRAFO'!$M$41,0),1)&lt;&gt;0,1,0)</f>
        <v>#N/A</v>
      </c>
      <c r="U58" s="10">
        <f t="shared" si="9"/>
        <v>0</v>
      </c>
    </row>
    <row r="59" spans="1:21">
      <c r="D59" s="10" t="str">
        <f t="shared" si="2"/>
        <v>plano estratégico</v>
      </c>
      <c r="E59" s="10" t="str">
        <f t="shared" si="3"/>
        <v>rdfs:seeAlso</v>
      </c>
      <c r="F59" s="10" t="str">
        <f t="shared" si="4"/>
        <v>plano operacional</v>
      </c>
      <c r="G59" s="10" t="str">
        <f t="shared" si="5"/>
        <v>NOK</v>
      </c>
      <c r="I59" s="10" t="str">
        <f t="shared" si="6"/>
        <v>plano estratégico-plano operacional</v>
      </c>
      <c r="J59" s="10"/>
      <c r="K59" s="10"/>
      <c r="L59" s="10" t="e">
        <f>IF(VLOOKUP(I59,GRAFO!L21:L60,1,0)&lt;&gt;"",1,0)</f>
        <v>#N/A</v>
      </c>
      <c r="M59" s="10">
        <f t="shared" si="7"/>
        <v>0</v>
      </c>
      <c r="O59" s="10" t="str">
        <f t="shared" si="8"/>
        <v>plano estratégico-rdfs:seeAlso-plano operacional</v>
      </c>
      <c r="P59" s="10"/>
      <c r="Q59" s="10"/>
      <c r="R59" s="10"/>
      <c r="S59" s="10"/>
      <c r="T59" s="10" t="e">
        <f>IF(INDEX(GRAFO!$M$2:'GRAFO'!$M$41,MATCH(O59,GRAFO!$M$2:'GRAFO'!$M$41,0),1)&lt;&gt;0,1,0)</f>
        <v>#N/A</v>
      </c>
      <c r="U59" s="10">
        <f t="shared" si="9"/>
        <v>0</v>
      </c>
    </row>
    <row r="60" spans="1:21">
      <c r="D60" s="10" t="str">
        <f t="shared" si="2"/>
        <v>plano operacional</v>
      </c>
      <c r="E60" s="10" t="str">
        <f t="shared" si="3"/>
        <v>rdfs:seeAlso</v>
      </c>
      <c r="F60" s="10" t="str">
        <f t="shared" si="4"/>
        <v>plano tático</v>
      </c>
      <c r="G60" s="10" t="str">
        <f t="shared" si="5"/>
        <v>NOK</v>
      </c>
      <c r="I60" s="10" t="str">
        <f t="shared" si="6"/>
        <v>plano operacional-plano tático</v>
      </c>
      <c r="J60" s="10"/>
      <c r="K60" s="10"/>
      <c r="L60" s="10" t="e">
        <f>IF(VLOOKUP(I60,GRAFO!L22:L61,1,0)&lt;&gt;"",1,0)</f>
        <v>#N/A</v>
      </c>
      <c r="M60" s="10">
        <f t="shared" si="7"/>
        <v>0</v>
      </c>
      <c r="O60" s="10" t="str">
        <f t="shared" si="8"/>
        <v>plano operacional-rdfs:seeAlso-plano tático</v>
      </c>
      <c r="P60" s="10"/>
      <c r="Q60" s="10"/>
      <c r="R60" s="10"/>
      <c r="S60" s="10"/>
      <c r="T60" s="10" t="e">
        <f>IF(INDEX(GRAFO!$M$2:'GRAFO'!$M$41,MATCH(O60,GRAFO!$M$2:'GRAFO'!$M$41,0),1)&lt;&gt;0,1,0)</f>
        <v>#N/A</v>
      </c>
      <c r="U60" s="10">
        <f t="shared" si="9"/>
        <v>0</v>
      </c>
    </row>
    <row r="61" spans="1:21">
      <c r="D61" s="10" t="str">
        <f t="shared" si="2"/>
        <v>pessoa</v>
      </c>
      <c r="E61" s="10" t="str">
        <f t="shared" si="3"/>
        <v>rdfs:subClassOf</v>
      </c>
      <c r="F61" s="10" t="str">
        <f t="shared" si="4"/>
        <v>entidade</v>
      </c>
      <c r="G61" s="10" t="str">
        <f t="shared" si="5"/>
        <v>NOK</v>
      </c>
      <c r="I61" s="10" t="str">
        <f t="shared" si="6"/>
        <v>pessoa-entidade</v>
      </c>
      <c r="J61" s="10"/>
      <c r="K61" s="10"/>
      <c r="L61" s="10" t="e">
        <f>IF(VLOOKUP(I61,GRAFO!L23:L62,1,0)&lt;&gt;"",1,0)</f>
        <v>#N/A</v>
      </c>
      <c r="M61" s="10">
        <f t="shared" si="7"/>
        <v>0</v>
      </c>
      <c r="O61" s="10" t="str">
        <f t="shared" si="8"/>
        <v>pessoa-rdfs:subClassOf-entidade</v>
      </c>
      <c r="P61" s="10"/>
      <c r="Q61" s="10"/>
      <c r="R61" s="10"/>
      <c r="S61" s="10"/>
      <c r="T61" s="10" t="e">
        <f>IF(INDEX(GRAFO!$M$2:'GRAFO'!$M$41,MATCH(O61,GRAFO!$M$2:'GRAFO'!$M$41,0),1)&lt;&gt;0,1,0)</f>
        <v>#N/A</v>
      </c>
      <c r="U61" s="10">
        <f t="shared" si="9"/>
        <v>0</v>
      </c>
    </row>
    <row r="62" spans="1:21">
      <c r="D62" s="10" t="str">
        <f t="shared" si="2"/>
        <v>marinha</v>
      </c>
      <c r="E62" s="10" t="str">
        <f t="shared" si="3"/>
        <v>rdf:type</v>
      </c>
      <c r="F62" s="10" t="str">
        <f t="shared" si="4"/>
        <v>forca_componente</v>
      </c>
      <c r="G62" s="10" t="str">
        <f t="shared" si="5"/>
        <v>OK</v>
      </c>
      <c r="I62" s="10" t="str">
        <f t="shared" si="6"/>
        <v>marinha-forca_componente</v>
      </c>
      <c r="J62" s="10"/>
      <c r="K62" s="10"/>
      <c r="L62" s="10" t="e">
        <f>IF(VLOOKUP(I62,GRAFO!L24:L63,1,0)&lt;&gt;"",1,0)</f>
        <v>#N/A</v>
      </c>
      <c r="M62" s="10">
        <f t="shared" si="7"/>
        <v>0</v>
      </c>
      <c r="O62" s="10" t="str">
        <f t="shared" si="8"/>
        <v>marinha-rdf:type-forca_componente</v>
      </c>
      <c r="P62" s="10"/>
      <c r="Q62" s="10"/>
      <c r="R62" s="10"/>
      <c r="S62" s="10"/>
      <c r="T62" s="10" t="e">
        <f>IF(INDEX(GRAFO!$M$2:'GRAFO'!$M$41,MATCH(O62,GRAFO!$M$2:'GRAFO'!$M$41,0),1)&lt;&gt;0,1,0)</f>
        <v>#N/A</v>
      </c>
      <c r="U62" s="10">
        <f t="shared" si="9"/>
        <v>0</v>
      </c>
    </row>
    <row r="63" spans="1:21">
      <c r="D63" s="10" t="str">
        <f t="shared" si="2"/>
        <v>exercito</v>
      </c>
      <c r="E63" s="10" t="str">
        <f t="shared" si="3"/>
        <v>rdf:type</v>
      </c>
      <c r="F63" s="10" t="str">
        <f t="shared" si="4"/>
        <v>forca_componente</v>
      </c>
      <c r="G63" s="10" t="str">
        <f t="shared" si="5"/>
        <v>OK</v>
      </c>
      <c r="I63" s="10" t="str">
        <f t="shared" si="6"/>
        <v>exercito-forca_componente</v>
      </c>
      <c r="J63" s="10"/>
      <c r="K63" s="10"/>
      <c r="L63" s="10" t="e">
        <f>IF(VLOOKUP(I63,GRAFO!L25:L64,1,0)&lt;&gt;"",1,0)</f>
        <v>#N/A</v>
      </c>
      <c r="M63" s="10">
        <f t="shared" si="7"/>
        <v>0</v>
      </c>
      <c r="O63" s="10" t="str">
        <f t="shared" si="8"/>
        <v>exercito-rdf:type-forca_componente</v>
      </c>
      <c r="P63" s="10"/>
      <c r="Q63" s="10"/>
      <c r="R63" s="10"/>
      <c r="S63" s="10"/>
      <c r="T63" s="10" t="e">
        <f>IF(INDEX(GRAFO!$M$2:'GRAFO'!$M$41,MATCH(O63,GRAFO!$M$2:'GRAFO'!$M$41,0),1)&lt;&gt;0,1,0)</f>
        <v>#N/A</v>
      </c>
      <c r="U63" s="10">
        <f t="shared" si="9"/>
        <v>0</v>
      </c>
    </row>
    <row r="64" spans="1:21">
      <c r="D64" s="10" t="str">
        <f t="shared" si="2"/>
        <v>aeronautica</v>
      </c>
      <c r="E64" s="10" t="str">
        <f t="shared" si="3"/>
        <v>rdf:type</v>
      </c>
      <c r="F64" s="10" t="str">
        <f t="shared" si="4"/>
        <v>forca_componente</v>
      </c>
      <c r="G64" s="10" t="str">
        <f t="shared" si="5"/>
        <v>OK</v>
      </c>
      <c r="I64" s="10" t="str">
        <f t="shared" si="6"/>
        <v>aeronautica-forca_componente</v>
      </c>
      <c r="J64" s="10"/>
      <c r="K64" s="10"/>
      <c r="L64" s="10" t="e">
        <f>IF(VLOOKUP(I64,GRAFO!L26:L65,1,0)&lt;&gt;"",1,0)</f>
        <v>#N/A</v>
      </c>
      <c r="M64" s="10">
        <f t="shared" si="7"/>
        <v>0</v>
      </c>
      <c r="O64" s="10" t="str">
        <f t="shared" si="8"/>
        <v>aeronautica-rdf:type-forca_componente</v>
      </c>
      <c r="P64" s="10"/>
      <c r="Q64" s="10"/>
      <c r="R64" s="10"/>
      <c r="S64" s="10"/>
      <c r="T64" s="10" t="e">
        <f>IF(INDEX(GRAFO!$M$2:'GRAFO'!$M$41,MATCH(O64,GRAFO!$M$2:'GRAFO'!$M$41,0),1)&lt;&gt;0,1,0)</f>
        <v>#N/A</v>
      </c>
      <c r="U64" s="10">
        <f t="shared" si="9"/>
        <v>0</v>
      </c>
    </row>
    <row r="65" spans="4:21">
      <c r="D65" s="10" t="str">
        <f t="shared" si="2"/>
        <v>comitê</v>
      </c>
      <c r="E65" s="10" t="str">
        <f t="shared" si="3"/>
        <v>rdfs:Bag</v>
      </c>
      <c r="F65" s="10" t="str">
        <f t="shared" si="4"/>
        <v>forca_componente</v>
      </c>
      <c r="G65" s="10" t="str">
        <f t="shared" si="5"/>
        <v>OK</v>
      </c>
      <c r="I65" s="10" t="str">
        <f t="shared" si="6"/>
        <v>comitê-forca_componente</v>
      </c>
      <c r="J65" s="10"/>
      <c r="K65" s="10"/>
      <c r="L65" s="10" t="e">
        <f>IF(VLOOKUP(I65,GRAFO!L27:L66,1,0)&lt;&gt;"",1,0)</f>
        <v>#N/A</v>
      </c>
      <c r="M65" s="10">
        <f t="shared" si="7"/>
        <v>0</v>
      </c>
      <c r="O65" s="10" t="str">
        <f t="shared" si="8"/>
        <v>comitê-rdfs:Bag-forca_componente</v>
      </c>
      <c r="P65" s="10"/>
      <c r="Q65" s="10"/>
      <c r="R65" s="10"/>
      <c r="S65" s="10"/>
      <c r="T65" s="10" t="e">
        <f>IF(INDEX(GRAFO!$M$2:'GRAFO'!$M$41,MATCH(O65,GRAFO!$M$2:'GRAFO'!$M$41,0),1)&lt;&gt;0,1,0)</f>
        <v>#N/A</v>
      </c>
      <c r="U65" s="10">
        <f t="shared" si="9"/>
        <v>0</v>
      </c>
    </row>
  </sheetData>
  <sortState ref="A2:A36">
    <sortCondition ref="A2"/>
  </sortState>
  <mergeCells count="11">
    <mergeCell ref="I39:K39"/>
    <mergeCell ref="L39:M39"/>
    <mergeCell ref="O38:U38"/>
    <mergeCell ref="O39:S39"/>
    <mergeCell ref="T39:U39"/>
    <mergeCell ref="K4:K5"/>
    <mergeCell ref="A1:B1"/>
    <mergeCell ref="D1:F1"/>
    <mergeCell ref="A38:B38"/>
    <mergeCell ref="D38:G38"/>
    <mergeCell ref="I38:M38"/>
  </mergeCells>
  <dataValidations count="4">
    <dataValidation type="list" allowBlank="1" showInputMessage="1" showErrorMessage="1" sqref="C3:C29 B3:B37">
      <formula1>$Y$3:$Y$31</formula1>
    </dataValidation>
    <dataValidation type="list" allowBlank="1" showInputMessage="1" showErrorMessage="1" sqref="H3:H39 G3:G38 D37 F37:F38">
      <formula1>$A$3:$A$30</formula1>
    </dataValidation>
    <dataValidation type="list" allowBlank="1" showInputMessage="1" showErrorMessage="1" sqref="D3:D36 F3:F36">
      <formula1>$A$3:$A$36</formula1>
    </dataValidation>
    <dataValidation type="list" allowBlank="1" showInputMessage="1" showErrorMessage="1" sqref="E3:E36">
      <formula1>$A$40:$A$55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>
  <dimension ref="A1:Y49"/>
  <sheetViews>
    <sheetView topLeftCell="O1" zoomScale="130" zoomScaleNormal="130" workbookViewId="0">
      <selection activeCell="X4" sqref="X4:X7"/>
    </sheetView>
  </sheetViews>
  <sheetFormatPr defaultRowHeight="14.6"/>
  <cols>
    <col min="1" max="1" width="35.84375" bestFit="1" customWidth="1"/>
    <col min="2" max="2" width="21.84375" bestFit="1" customWidth="1"/>
    <col min="3" max="3" width="21.84375" customWidth="1"/>
    <col min="4" max="4" width="19.53515625" bestFit="1" customWidth="1"/>
    <col min="5" max="5" width="15.4609375" bestFit="1" customWidth="1"/>
    <col min="6" max="6" width="21.53515625" bestFit="1" customWidth="1"/>
    <col min="7" max="8" width="15.69140625" customWidth="1"/>
    <col min="9" max="9" width="15.53515625" customWidth="1"/>
    <col min="12" max="12" width="13.07421875" bestFit="1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21" max="21" width="9.3046875" customWidth="1"/>
    <col min="22" max="22" width="11" bestFit="1" customWidth="1"/>
    <col min="23" max="23" width="9.69140625" customWidth="1"/>
  </cols>
  <sheetData>
    <row r="1" spans="1:25">
      <c r="A1" s="86" t="s">
        <v>181</v>
      </c>
      <c r="B1" s="86"/>
      <c r="D1" s="87" t="s">
        <v>183</v>
      </c>
      <c r="E1" s="87"/>
      <c r="F1" s="87"/>
    </row>
    <row r="2" spans="1:25">
      <c r="A2" s="32" t="s">
        <v>210</v>
      </c>
      <c r="B2" s="32" t="s">
        <v>211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</row>
    <row r="3" spans="1:25">
      <c r="A3" s="10" t="s">
        <v>149</v>
      </c>
      <c r="B3" s="10" t="s">
        <v>31</v>
      </c>
      <c r="D3" s="10" t="s">
        <v>56</v>
      </c>
      <c r="E3" s="10" t="s">
        <v>101</v>
      </c>
      <c r="F3" s="10" t="s">
        <v>149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84</v>
      </c>
      <c r="T3" s="7" t="s">
        <v>85</v>
      </c>
      <c r="U3" s="7" t="s">
        <v>71</v>
      </c>
      <c r="V3" s="7" t="s">
        <v>72</v>
      </c>
      <c r="W3" s="7" t="s">
        <v>73</v>
      </c>
      <c r="Y3" t="s">
        <v>33</v>
      </c>
    </row>
    <row r="4" spans="1:25">
      <c r="A4" s="10" t="s">
        <v>56</v>
      </c>
      <c r="B4" s="10" t="s">
        <v>34</v>
      </c>
      <c r="D4" s="10" t="s">
        <v>55</v>
      </c>
      <c r="E4" s="10" t="s">
        <v>101</v>
      </c>
      <c r="F4" s="10" t="s">
        <v>149</v>
      </c>
      <c r="K4" s="85" t="s">
        <v>80</v>
      </c>
      <c r="L4" s="8" t="s">
        <v>0</v>
      </c>
      <c r="M4" s="4">
        <f>GRAFO!J2</f>
        <v>29</v>
      </c>
      <c r="N4" s="11">
        <f>COUNTA(A3:A17)</f>
        <v>15</v>
      </c>
      <c r="O4" s="11">
        <f>COUNTIF(B3:B17,"&lt;&gt;"&amp;"")</f>
        <v>9</v>
      </c>
      <c r="P4" s="2">
        <f>N4-R4</f>
        <v>9</v>
      </c>
      <c r="Q4" s="2">
        <f>M4-O4</f>
        <v>20</v>
      </c>
      <c r="R4" s="2">
        <f>N4-O4</f>
        <v>6</v>
      </c>
      <c r="S4" s="2">
        <f>O4+P4</f>
        <v>18</v>
      </c>
      <c r="T4" s="2">
        <f>Q4+R4</f>
        <v>26</v>
      </c>
      <c r="U4" s="6">
        <f>O4/(O4+R4)</f>
        <v>0.6</v>
      </c>
      <c r="V4" s="6">
        <f>O4/(O4+Q4)</f>
        <v>0.31034482758620691</v>
      </c>
      <c r="W4" s="6">
        <f>(O4+P4)/(O4+P4+Q4+R4)</f>
        <v>0.40909090909090912</v>
      </c>
      <c r="X4" s="62">
        <f>AVERAGE(U4:W4)</f>
        <v>0.43981191222570537</v>
      </c>
      <c r="Y4" t="s">
        <v>21</v>
      </c>
    </row>
    <row r="5" spans="1:25">
      <c r="A5" s="10" t="s">
        <v>55</v>
      </c>
      <c r="B5" s="10" t="s">
        <v>32</v>
      </c>
      <c r="D5" s="10" t="s">
        <v>57</v>
      </c>
      <c r="E5" s="10" t="s">
        <v>101</v>
      </c>
      <c r="F5" s="10" t="s">
        <v>149</v>
      </c>
      <c r="K5" s="85"/>
      <c r="L5" s="8" t="s">
        <v>100</v>
      </c>
      <c r="M5" s="5">
        <f>GRAFO!J3</f>
        <v>41</v>
      </c>
      <c r="N5" s="12">
        <f>COUNTA(D40:D49)</f>
        <v>10</v>
      </c>
      <c r="O5" s="12">
        <f>COUNTIF(M40:M49,"=1")</f>
        <v>4</v>
      </c>
      <c r="P5" s="2">
        <f>N5-R5</f>
        <v>4</v>
      </c>
      <c r="Q5" s="2">
        <f>M5-O5</f>
        <v>37</v>
      </c>
      <c r="R5" s="2">
        <f>N5-O5</f>
        <v>6</v>
      </c>
      <c r="S5" s="2">
        <f>O5+P5</f>
        <v>8</v>
      </c>
      <c r="T5" s="2">
        <f>Q5+R5</f>
        <v>43</v>
      </c>
      <c r="U5" s="6">
        <f>O5/(O5+R5)</f>
        <v>0.4</v>
      </c>
      <c r="V5" s="6">
        <f>O5/(O5+Q5)</f>
        <v>9.7560975609756101E-2</v>
      </c>
      <c r="W5" s="6">
        <f>(O5+P5)/(O5+P5+Q5+R5)</f>
        <v>0.15686274509803921</v>
      </c>
      <c r="X5" s="62">
        <f t="shared" ref="X5:X6" si="0">AVERAGE(U5:W5)</f>
        <v>0.21814124023593176</v>
      </c>
      <c r="Y5" t="s">
        <v>17</v>
      </c>
    </row>
    <row r="6" spans="1:25">
      <c r="A6" s="10" t="s">
        <v>57</v>
      </c>
      <c r="B6" s="10" t="s">
        <v>33</v>
      </c>
      <c r="D6" s="10" t="s">
        <v>150</v>
      </c>
      <c r="E6" s="10" t="s">
        <v>101</v>
      </c>
      <c r="F6" s="10" t="s">
        <v>65</v>
      </c>
      <c r="L6" s="8" t="s">
        <v>99</v>
      </c>
      <c r="M6" s="5">
        <v>41</v>
      </c>
      <c r="N6" s="12">
        <f>COUNTA(D40:D49)</f>
        <v>10</v>
      </c>
      <c r="O6" s="12">
        <f>COUNTIF(U40:U49,"=1")</f>
        <v>4</v>
      </c>
      <c r="P6" s="2">
        <f>N6-R6</f>
        <v>4</v>
      </c>
      <c r="Q6" s="2">
        <f>M6-O6</f>
        <v>37</v>
      </c>
      <c r="R6" s="2">
        <f>N6-O6</f>
        <v>6</v>
      </c>
      <c r="S6" s="2">
        <f>O6+P6</f>
        <v>8</v>
      </c>
      <c r="T6" s="2">
        <f>Q6+R6</f>
        <v>43</v>
      </c>
      <c r="U6" s="6">
        <f>O6/(O6+R6)</f>
        <v>0.4</v>
      </c>
      <c r="V6" s="6">
        <f>O6/(O6+Q6)</f>
        <v>9.7560975609756101E-2</v>
      </c>
      <c r="W6" s="6">
        <f>(O6+P6)/(O6+P6+Q6+R6)</f>
        <v>0.15686274509803921</v>
      </c>
      <c r="X6" s="62">
        <f t="shared" si="0"/>
        <v>0.21814124023593176</v>
      </c>
      <c r="Y6" t="s">
        <v>40</v>
      </c>
    </row>
    <row r="7" spans="1:25">
      <c r="A7" s="10" t="s">
        <v>65</v>
      </c>
      <c r="B7" s="10" t="s">
        <v>23</v>
      </c>
      <c r="D7" s="10" t="s">
        <v>151</v>
      </c>
      <c r="E7" s="10" t="s">
        <v>101</v>
      </c>
      <c r="F7" s="10" t="s">
        <v>65</v>
      </c>
      <c r="X7" s="62">
        <f>AVERAGE(X4:X6)</f>
        <v>0.29203146423252296</v>
      </c>
      <c r="Y7" t="s">
        <v>13</v>
      </c>
    </row>
    <row r="8" spans="1:25">
      <c r="A8" s="10" t="s">
        <v>150</v>
      </c>
      <c r="B8" s="10"/>
      <c r="D8" s="10" t="s">
        <v>65</v>
      </c>
      <c r="E8" s="10" t="s">
        <v>140</v>
      </c>
      <c r="F8" s="10" t="s">
        <v>151</v>
      </c>
      <c r="Y8" t="s">
        <v>39</v>
      </c>
    </row>
    <row r="9" spans="1:25">
      <c r="A9" s="10" t="s">
        <v>151</v>
      </c>
      <c r="B9" s="10" t="s">
        <v>22</v>
      </c>
      <c r="D9" s="10" t="s">
        <v>52</v>
      </c>
      <c r="E9" s="10" t="s">
        <v>103</v>
      </c>
      <c r="F9" s="10" t="s">
        <v>152</v>
      </c>
      <c r="K9" t="s">
        <v>74</v>
      </c>
      <c r="L9" t="s">
        <v>75</v>
      </c>
      <c r="N9">
        <f>GRAFO!J2</f>
        <v>29</v>
      </c>
      <c r="Y9" t="s">
        <v>19</v>
      </c>
    </row>
    <row r="10" spans="1:25">
      <c r="A10" s="10" t="s">
        <v>52</v>
      </c>
      <c r="B10" s="10" t="s">
        <v>20</v>
      </c>
      <c r="D10" s="10" t="s">
        <v>53</v>
      </c>
      <c r="E10" s="10" t="s">
        <v>103</v>
      </c>
      <c r="F10" s="10" t="s">
        <v>153</v>
      </c>
      <c r="K10" t="s">
        <v>80</v>
      </c>
      <c r="L10" t="s">
        <v>76</v>
      </c>
      <c r="N10">
        <f>N4</f>
        <v>15</v>
      </c>
      <c r="Y10" t="s">
        <v>37</v>
      </c>
    </row>
    <row r="11" spans="1:25">
      <c r="A11" s="10" t="s">
        <v>152</v>
      </c>
      <c r="B11" s="10"/>
      <c r="D11" s="10" t="s">
        <v>64</v>
      </c>
      <c r="E11" s="10" t="s">
        <v>103</v>
      </c>
      <c r="F11" s="10" t="s">
        <v>154</v>
      </c>
      <c r="K11" t="s">
        <v>68</v>
      </c>
      <c r="L11" t="s">
        <v>77</v>
      </c>
      <c r="N11">
        <v>16</v>
      </c>
      <c r="Y11" t="s">
        <v>10</v>
      </c>
    </row>
    <row r="12" spans="1:25">
      <c r="A12" s="10" t="s">
        <v>53</v>
      </c>
      <c r="B12" s="10"/>
      <c r="D12" s="10" t="s">
        <v>58</v>
      </c>
      <c r="E12" s="10" t="s">
        <v>103</v>
      </c>
      <c r="F12" s="10" t="s">
        <v>155</v>
      </c>
      <c r="K12" t="s">
        <v>70</v>
      </c>
      <c r="L12" t="s">
        <v>78</v>
      </c>
      <c r="M12" t="s">
        <v>86</v>
      </c>
      <c r="N12">
        <f>N9-N11</f>
        <v>13</v>
      </c>
      <c r="Y12" t="s">
        <v>14</v>
      </c>
    </row>
    <row r="13" spans="1:25">
      <c r="A13" s="10" t="s">
        <v>153</v>
      </c>
      <c r="B13" s="10"/>
      <c r="K13" t="s">
        <v>69</v>
      </c>
      <c r="L13" t="s">
        <v>79</v>
      </c>
      <c r="M13" t="s">
        <v>87</v>
      </c>
      <c r="Y13" t="s">
        <v>34</v>
      </c>
    </row>
    <row r="14" spans="1:25">
      <c r="A14" s="10" t="s">
        <v>64</v>
      </c>
      <c r="B14" s="10" t="s">
        <v>28</v>
      </c>
      <c r="K14" t="s">
        <v>83</v>
      </c>
      <c r="M14" t="s">
        <v>88</v>
      </c>
      <c r="Y14" t="s">
        <v>27</v>
      </c>
    </row>
    <row r="15" spans="1:25">
      <c r="A15" s="10" t="s">
        <v>154</v>
      </c>
      <c r="B15" s="10"/>
      <c r="K15" t="s">
        <v>89</v>
      </c>
      <c r="M15" t="s">
        <v>92</v>
      </c>
      <c r="Y15" t="s">
        <v>28</v>
      </c>
    </row>
    <row r="16" spans="1:25">
      <c r="A16" s="10" t="s">
        <v>58</v>
      </c>
      <c r="B16" s="10" t="s">
        <v>13</v>
      </c>
      <c r="K16" t="s">
        <v>90</v>
      </c>
      <c r="M16" t="s">
        <v>93</v>
      </c>
      <c r="Y16" t="s">
        <v>30</v>
      </c>
    </row>
    <row r="17" spans="1:25">
      <c r="A17" s="10" t="s">
        <v>155</v>
      </c>
      <c r="B17" s="10"/>
      <c r="K17" t="s">
        <v>91</v>
      </c>
      <c r="M17" t="s">
        <v>94</v>
      </c>
      <c r="Y17" t="s">
        <v>29</v>
      </c>
    </row>
    <row r="18" spans="1:25">
      <c r="K18" t="s">
        <v>84</v>
      </c>
      <c r="M18" t="s">
        <v>95</v>
      </c>
      <c r="Y18" t="s">
        <v>31</v>
      </c>
    </row>
    <row r="19" spans="1:25">
      <c r="K19" t="s">
        <v>85</v>
      </c>
      <c r="M19" t="s">
        <v>96</v>
      </c>
      <c r="Y19" t="s">
        <v>25</v>
      </c>
    </row>
    <row r="20" spans="1:25">
      <c r="K20" t="s">
        <v>97</v>
      </c>
      <c r="M20" t="s">
        <v>98</v>
      </c>
      <c r="Y20" t="s">
        <v>15</v>
      </c>
    </row>
    <row r="21" spans="1:25">
      <c r="Y21" t="s">
        <v>16</v>
      </c>
    </row>
    <row r="22" spans="1:25">
      <c r="Y22" t="s">
        <v>32</v>
      </c>
    </row>
    <row r="23" spans="1:25">
      <c r="Y23" t="s">
        <v>9</v>
      </c>
    </row>
    <row r="24" spans="1:25">
      <c r="Y24" t="s">
        <v>18</v>
      </c>
    </row>
    <row r="25" spans="1:25">
      <c r="Y25" t="s">
        <v>23</v>
      </c>
    </row>
    <row r="26" spans="1:25">
      <c r="Y26" t="s">
        <v>22</v>
      </c>
    </row>
    <row r="27" spans="1:25">
      <c r="Y27" t="s">
        <v>12</v>
      </c>
    </row>
    <row r="28" spans="1:25">
      <c r="Y28" t="s">
        <v>24</v>
      </c>
    </row>
    <row r="29" spans="1:25">
      <c r="Y29" t="s">
        <v>8</v>
      </c>
    </row>
    <row r="30" spans="1:25">
      <c r="Y30" t="s">
        <v>20</v>
      </c>
    </row>
    <row r="31" spans="1:25">
      <c r="Y31" t="s">
        <v>11</v>
      </c>
    </row>
    <row r="38" spans="1:21">
      <c r="A38" s="88" t="s">
        <v>182</v>
      </c>
      <c r="B38" s="88"/>
      <c r="D38" s="89" t="s">
        <v>222</v>
      </c>
      <c r="E38" s="89"/>
      <c r="F38" s="89"/>
      <c r="G38" s="89"/>
      <c r="I38" s="90" t="s">
        <v>224</v>
      </c>
      <c r="J38" s="90"/>
      <c r="K38" s="90"/>
      <c r="L38" s="90"/>
      <c r="M38" s="90"/>
      <c r="O38" s="94" t="s">
        <v>229</v>
      </c>
      <c r="P38" s="94"/>
      <c r="Q38" s="94"/>
      <c r="R38" s="94"/>
      <c r="S38" s="94"/>
      <c r="T38" s="94"/>
      <c r="U38" s="94"/>
    </row>
    <row r="39" spans="1:21">
      <c r="A39" s="32" t="s">
        <v>212</v>
      </c>
      <c r="B39" s="32" t="s">
        <v>213</v>
      </c>
      <c r="D39" s="34" t="s">
        <v>220</v>
      </c>
      <c r="E39" s="34" t="s">
        <v>219</v>
      </c>
      <c r="F39" s="34" t="s">
        <v>221</v>
      </c>
      <c r="G39" s="34" t="s">
        <v>223</v>
      </c>
      <c r="I39" s="91" t="s">
        <v>225</v>
      </c>
      <c r="J39" s="91"/>
      <c r="K39" s="91"/>
      <c r="L39" s="91" t="s">
        <v>226</v>
      </c>
      <c r="M39" s="91"/>
      <c r="O39" s="95" t="s">
        <v>227</v>
      </c>
      <c r="P39" s="96"/>
      <c r="Q39" s="96"/>
      <c r="R39" s="96"/>
      <c r="S39" s="97"/>
      <c r="T39" s="95" t="s">
        <v>228</v>
      </c>
      <c r="U39" s="97"/>
    </row>
    <row r="40" spans="1:21">
      <c r="A40" s="10" t="s">
        <v>101</v>
      </c>
      <c r="B40" s="10" t="s">
        <v>3</v>
      </c>
      <c r="C40" t="str">
        <f>IF(INDEX($A$3:$B$17,MATCH(D3,$A$3:$A$17,0),2)&lt;&gt;0,"OK","NOK")</f>
        <v>OK</v>
      </c>
      <c r="D40" s="10" t="str">
        <f>IF(INDEX($A$3:$B$17,MATCH(D3,$A$3:$A$17,0),2)&lt;&gt;0,INDEX($A$3:$B$17,MATCH(D3,$A$3:$A$17,0),2),D3)</f>
        <v>exercito</v>
      </c>
      <c r="E40" s="10" t="str">
        <f>IF(INDEX($A$40:$B$44,MATCH(E3,$A$40:$A$44,0),2)&lt;&gt;0,INDEX($A$40:$B$44,MATCH(E3,$A$40:$A$44,0),2),E3)</f>
        <v>rdfs:subClassOf</v>
      </c>
      <c r="F40" s="10" t="str">
        <f>IF(INDEX($A$3:$B$17,MATCH(F3,$A$3:$A$17,0),2)&lt;&gt;0,INDEX($A$3:$B$17,MATCH(F3,$A$3:$A$17,0),2),F3)</f>
        <v>forcas_armadas</v>
      </c>
      <c r="G40" s="10" t="str">
        <f>IF(INDEX($A$3:$B$36,MATCH(F3,$A$3:$A$36,0),2)&lt;&gt;0,"OK","NOK")</f>
        <v>OK</v>
      </c>
      <c r="H40">
        <f>COUNTIFS(GRAFO!C2:C42,"=D34",GRAFO!E2:E42,"=F34")</f>
        <v>0</v>
      </c>
      <c r="I40" s="10" t="str">
        <f>D40 &amp;"-"&amp;F40</f>
        <v>exercito-forcas_armadas</v>
      </c>
      <c r="J40" s="10"/>
      <c r="K40" s="10"/>
      <c r="L40" s="10">
        <f>IF(INDEX(GRAFO!$L$2:'GRAFO'!$L$41,MATCH(I40,GRAFO!$L$2:'GRAFO'!$L$41,0),1)&lt;&gt;0,1,0)</f>
        <v>1</v>
      </c>
      <c r="M40" s="10">
        <f>IFERROR(L40,0)</f>
        <v>1</v>
      </c>
      <c r="O40" s="10" t="str">
        <f>D40 &amp; "-" &amp; E40 &amp; "-" &amp; F40</f>
        <v>exercito-rdfs:subClassOf-forcas_armadas</v>
      </c>
      <c r="P40" s="10"/>
      <c r="Q40" s="10"/>
      <c r="R40" s="10"/>
      <c r="S40" s="10"/>
      <c r="T40" s="10">
        <f>IF(INDEX(GRAFO!$M$2:'GRAFO'!$M$41,MATCH(O40,GRAFO!$M$2:'GRAFO'!$M$41,0),1)&lt;&gt;0,1,0)</f>
        <v>1</v>
      </c>
      <c r="U40" s="10">
        <f>IFERROR(T40,0)</f>
        <v>1</v>
      </c>
    </row>
    <row r="41" spans="1:21">
      <c r="A41" s="10" t="s">
        <v>103</v>
      </c>
      <c r="B41" s="10" t="s">
        <v>4</v>
      </c>
      <c r="C41" t="str">
        <f t="shared" ref="C41:C44" si="1">IF(INDEX($A$3:$B$17,MATCH(D4,$A$3:$A$17,0),2)&lt;&gt;0,"OK","NOK")</f>
        <v>OK</v>
      </c>
      <c r="D41" s="10" t="str">
        <f t="shared" ref="D41:D49" si="2">IF(INDEX($A$3:$B$17,MATCH(D4,$A$3:$A$17,0),2)&lt;&gt;0,INDEX($A$3:$B$17,MATCH(D4,$A$3:$A$17,0),2),D4)</f>
        <v>marinha</v>
      </c>
      <c r="E41" s="10" t="str">
        <f t="shared" ref="E41:E49" si="3">IF(INDEX($A$40:$B$44,MATCH(E4,$A$40:$A$44,0),2)&lt;&gt;0,INDEX($A$40:$B$44,MATCH(E4,$A$40:$A$44,0),2),E4)</f>
        <v>rdfs:subClassOf</v>
      </c>
      <c r="F41" s="10" t="str">
        <f t="shared" ref="F41:F49" si="4">IF(INDEX($A$3:$B$17,MATCH(F4,$A$3:$A$17,0),2)&lt;&gt;0,INDEX($A$3:$B$17,MATCH(F4,$A$3:$A$17,0),2),F4)</f>
        <v>forcas_armadas</v>
      </c>
      <c r="G41" s="10" t="str">
        <f t="shared" ref="G41:G49" si="5">IF(INDEX($A$3:$B$36,MATCH(F4,$A$3:$A$36,0),2)&lt;&gt;0,"OK","NOK")</f>
        <v>OK</v>
      </c>
      <c r="I41" s="10" t="str">
        <f t="shared" ref="I41:I49" si="6">D41 &amp;"-"&amp;F41</f>
        <v>marinha-forcas_armadas</v>
      </c>
      <c r="J41" s="10"/>
      <c r="K41" s="10"/>
      <c r="L41" s="10">
        <f>IF(VLOOKUP(I41,GRAFO!L3:L42,1,0)&lt;&gt;"",1,0)</f>
        <v>1</v>
      </c>
      <c r="M41" s="10">
        <f t="shared" ref="M41:M49" si="7">IFERROR(L41,0)</f>
        <v>1</v>
      </c>
      <c r="O41" s="10" t="str">
        <f t="shared" ref="O41:O49" si="8">D41 &amp; "-" &amp; E41 &amp; "-" &amp; F41</f>
        <v>marinha-rdfs:subClassOf-forcas_armadas</v>
      </c>
      <c r="P41" s="10"/>
      <c r="Q41" s="10"/>
      <c r="R41" s="10"/>
      <c r="S41" s="10"/>
      <c r="T41" s="10">
        <f>IF(INDEX(GRAFO!$M$2:'GRAFO'!$M$41,MATCH(O41,GRAFO!$M$2:'GRAFO'!$M$41,0),1)&lt;&gt;0,1,0)</f>
        <v>1</v>
      </c>
      <c r="U41" s="10">
        <f t="shared" ref="U41:U49" si="9">IFERROR(T41,0)</f>
        <v>1</v>
      </c>
    </row>
    <row r="42" spans="1:21">
      <c r="A42" s="10" t="s">
        <v>139</v>
      </c>
      <c r="B42" s="10" t="s">
        <v>7</v>
      </c>
      <c r="C42" t="str">
        <f t="shared" si="1"/>
        <v>OK</v>
      </c>
      <c r="D42" s="10" t="str">
        <f t="shared" si="2"/>
        <v>aeronautica</v>
      </c>
      <c r="E42" s="10" t="str">
        <f t="shared" si="3"/>
        <v>rdfs:subClassOf</v>
      </c>
      <c r="F42" s="10" t="str">
        <f t="shared" si="4"/>
        <v>forcas_armadas</v>
      </c>
      <c r="G42" s="10" t="str">
        <f t="shared" si="5"/>
        <v>OK</v>
      </c>
      <c r="I42" s="10" t="str">
        <f t="shared" si="6"/>
        <v>aeronautica-forcas_armadas</v>
      </c>
      <c r="J42" s="10"/>
      <c r="K42" s="10"/>
      <c r="L42" s="10">
        <f>IF(VLOOKUP(I42,GRAFO!L4:L43,1,0)&lt;&gt;"",1,0)</f>
        <v>1</v>
      </c>
      <c r="M42" s="10">
        <f t="shared" si="7"/>
        <v>1</v>
      </c>
      <c r="O42" s="10" t="str">
        <f t="shared" si="8"/>
        <v>aeronautica-rdfs:subClassOf-forcas_armadas</v>
      </c>
      <c r="P42" s="10"/>
      <c r="Q42" s="10"/>
      <c r="R42" s="10"/>
      <c r="S42" s="10"/>
      <c r="T42" s="10">
        <f>IF(INDEX(GRAFO!$M$2:'GRAFO'!$M$41,MATCH(O42,GRAFO!$M$2:'GRAFO'!$M$41,0),1)&lt;&gt;0,1,0)</f>
        <v>1</v>
      </c>
      <c r="U42" s="10">
        <f t="shared" si="9"/>
        <v>1</v>
      </c>
    </row>
    <row r="43" spans="1:21">
      <c r="A43" s="10" t="s">
        <v>140</v>
      </c>
      <c r="B43" s="10" t="s">
        <v>110</v>
      </c>
      <c r="C43" t="str">
        <f t="shared" si="1"/>
        <v>NOK</v>
      </c>
      <c r="D43" s="10" t="str">
        <f t="shared" si="2"/>
        <v>op_mil_simples</v>
      </c>
      <c r="E43" s="10" t="str">
        <f t="shared" si="3"/>
        <v>rdfs:subClassOf</v>
      </c>
      <c r="F43" s="10" t="str">
        <f t="shared" si="4"/>
        <v>operacao</v>
      </c>
      <c r="G43" s="10" t="str">
        <f t="shared" si="5"/>
        <v>OK</v>
      </c>
      <c r="I43" s="10" t="str">
        <f t="shared" si="6"/>
        <v>op_mil_simples-operacao</v>
      </c>
      <c r="J43" s="10"/>
      <c r="K43" s="10"/>
      <c r="L43" s="10" t="e">
        <f>IF(VLOOKUP(I43,GRAFO!L5:L44,1,0)&lt;&gt;"",1,0)</f>
        <v>#N/A</v>
      </c>
      <c r="M43" s="10">
        <f t="shared" si="7"/>
        <v>0</v>
      </c>
      <c r="O43" s="10" t="str">
        <f t="shared" si="8"/>
        <v>op_mil_simples-rdfs:subClassOf-operacao</v>
      </c>
      <c r="P43" s="10"/>
      <c r="Q43" s="10"/>
      <c r="R43" s="10"/>
      <c r="S43" s="10"/>
      <c r="T43" s="10" t="e">
        <f>IF(INDEX(GRAFO!$M$2:'GRAFO'!$M$41,MATCH(O43,GRAFO!$M$2:'GRAFO'!$M$41,0),1)&lt;&gt;0,1,0)</f>
        <v>#N/A</v>
      </c>
      <c r="U43" s="10">
        <f t="shared" si="9"/>
        <v>0</v>
      </c>
    </row>
    <row r="44" spans="1:21">
      <c r="A44" s="10" t="s">
        <v>156</v>
      </c>
      <c r="B44" s="10" t="s">
        <v>4</v>
      </c>
      <c r="C44" t="str">
        <f t="shared" si="1"/>
        <v>OK</v>
      </c>
      <c r="D44" s="10" t="str">
        <f t="shared" si="2"/>
        <v>operacao_conjunta</v>
      </c>
      <c r="E44" s="10" t="str">
        <f t="shared" si="3"/>
        <v>rdfs:subClassOf</v>
      </c>
      <c r="F44" s="10" t="str">
        <f t="shared" si="4"/>
        <v>operacao</v>
      </c>
      <c r="G44" s="10" t="str">
        <f t="shared" si="5"/>
        <v>OK</v>
      </c>
      <c r="I44" s="10" t="str">
        <f t="shared" si="6"/>
        <v>operacao_conjunta-operacao</v>
      </c>
      <c r="J44" s="10"/>
      <c r="K44" s="10"/>
      <c r="L44" s="10">
        <f>IF(VLOOKUP(I44,GRAFO!L6:L45,1,0)&lt;&gt;"",1,0)</f>
        <v>1</v>
      </c>
      <c r="M44" s="10">
        <f t="shared" si="7"/>
        <v>1</v>
      </c>
      <c r="O44" s="10" t="str">
        <f t="shared" si="8"/>
        <v>operacao_conjunta-rdfs:subClassOf-operacao</v>
      </c>
      <c r="P44" s="10"/>
      <c r="Q44" s="10"/>
      <c r="R44" s="10"/>
      <c r="S44" s="10"/>
      <c r="T44" s="10">
        <f>IF(INDEX(GRAFO!$M$2:'GRAFO'!$M$41,MATCH(O44,GRAFO!$M$2:'GRAFO'!$M$41,0),1)&lt;&gt;0,1,0)</f>
        <v>1</v>
      </c>
      <c r="U44" s="10">
        <f t="shared" si="9"/>
        <v>1</v>
      </c>
    </row>
    <row r="45" spans="1:21">
      <c r="D45" s="10" t="str">
        <f t="shared" si="2"/>
        <v>operacao</v>
      </c>
      <c r="E45" s="10" t="str">
        <f t="shared" si="3"/>
        <v>rdfs:Bag</v>
      </c>
      <c r="F45" s="10" t="str">
        <f t="shared" si="4"/>
        <v>operacao_conjunta</v>
      </c>
      <c r="G45" s="10" t="str">
        <f t="shared" si="5"/>
        <v>OK</v>
      </c>
      <c r="I45" s="10" t="str">
        <f t="shared" si="6"/>
        <v>operacao-operacao_conjunta</v>
      </c>
      <c r="J45" s="10"/>
      <c r="K45" s="10"/>
      <c r="L45" s="10" t="e">
        <f>IF(VLOOKUP(I45,GRAFO!L7:L46,1,0)&lt;&gt;"",1,0)</f>
        <v>#N/A</v>
      </c>
      <c r="M45" s="10">
        <f t="shared" si="7"/>
        <v>0</v>
      </c>
      <c r="O45" s="10" t="str">
        <f t="shared" si="8"/>
        <v>operacao-rdfs:Bag-operacao_conjunta</v>
      </c>
      <c r="P45" s="10"/>
      <c r="Q45" s="10"/>
      <c r="R45" s="10"/>
      <c r="S45" s="10"/>
      <c r="T45" s="10" t="e">
        <f>IF(INDEX(GRAFO!$M$2:'GRAFO'!$M$41,MATCH(O45,GRAFO!$M$2:'GRAFO'!$M$41,0),1)&lt;&gt;0,1,0)</f>
        <v>#N/A</v>
      </c>
      <c r="U45" s="10">
        <f t="shared" si="9"/>
        <v>0</v>
      </c>
    </row>
    <row r="46" spans="1:21">
      <c r="D46" s="10" t="str">
        <f t="shared" si="2"/>
        <v>presidente_da_republica</v>
      </c>
      <c r="E46" s="10" t="str">
        <f t="shared" si="3"/>
        <v>rdfs:seeAlso</v>
      </c>
      <c r="F46" s="10" t="str">
        <f t="shared" si="4"/>
        <v>dpen</v>
      </c>
      <c r="G46" s="10" t="str">
        <f t="shared" si="5"/>
        <v>NOK</v>
      </c>
      <c r="I46" s="10" t="str">
        <f t="shared" si="6"/>
        <v>presidente_da_republica-dpen</v>
      </c>
      <c r="J46" s="10"/>
      <c r="K46" s="10"/>
      <c r="L46" s="10" t="e">
        <f>IF(VLOOKUP(I46,GRAFO!L8:L47,1,0)&lt;&gt;"",1,0)</f>
        <v>#N/A</v>
      </c>
      <c r="M46" s="10">
        <f t="shared" si="7"/>
        <v>0</v>
      </c>
      <c r="O46" s="10" t="str">
        <f t="shared" si="8"/>
        <v>presidente_da_republica-rdfs:seeAlso-dpen</v>
      </c>
      <c r="P46" s="10"/>
      <c r="Q46" s="10"/>
      <c r="R46" s="10"/>
      <c r="S46" s="10"/>
      <c r="T46" s="10" t="e">
        <f>IF(INDEX(GRAFO!$M$2:'GRAFO'!$M$41,MATCH(O46,GRAFO!$M$2:'GRAFO'!$M$41,0),1)&lt;&gt;0,1,0)</f>
        <v>#N/A</v>
      </c>
      <c r="U46" s="10">
        <f t="shared" si="9"/>
        <v>0</v>
      </c>
    </row>
    <row r="47" spans="1:21">
      <c r="D47" s="10" t="str">
        <f t="shared" si="2"/>
        <v>md</v>
      </c>
      <c r="E47" s="10" t="str">
        <f t="shared" si="3"/>
        <v>rdfs:seeAlso</v>
      </c>
      <c r="F47" s="10" t="str">
        <f t="shared" si="4"/>
        <v>plano_estrategico</v>
      </c>
      <c r="G47" s="10" t="str">
        <f t="shared" si="5"/>
        <v>NOK</v>
      </c>
      <c r="I47" s="10" t="str">
        <f t="shared" si="6"/>
        <v>md-plano_estrategico</v>
      </c>
      <c r="J47" s="10"/>
      <c r="K47" s="10"/>
      <c r="L47" s="10" t="e">
        <f>IF(VLOOKUP(I47,GRAFO!L9:L48,1,0)&lt;&gt;"",1,0)</f>
        <v>#N/A</v>
      </c>
      <c r="M47" s="10">
        <f t="shared" si="7"/>
        <v>0</v>
      </c>
      <c r="O47" s="10" t="str">
        <f t="shared" si="8"/>
        <v>md-rdfs:seeAlso-plano_estrategico</v>
      </c>
      <c r="P47" s="10"/>
      <c r="Q47" s="10"/>
      <c r="R47" s="10"/>
      <c r="S47" s="10"/>
      <c r="T47" s="10" t="e">
        <f>IF(INDEX(GRAFO!$M$2:'GRAFO'!$M$41,MATCH(O47,GRAFO!$M$2:'GRAFO'!$M$41,0),1)&lt;&gt;0,1,0)</f>
        <v>#N/A</v>
      </c>
      <c r="U47" s="10">
        <f t="shared" si="9"/>
        <v>0</v>
      </c>
    </row>
    <row r="48" spans="1:21">
      <c r="D48" s="10" t="str">
        <f t="shared" si="2"/>
        <v>forca_componente</v>
      </c>
      <c r="E48" s="10" t="str">
        <f t="shared" si="3"/>
        <v>rdfs:seeAlso</v>
      </c>
      <c r="F48" s="10" t="str">
        <f t="shared" si="4"/>
        <v>plano_tatico</v>
      </c>
      <c r="G48" s="10" t="str">
        <f t="shared" si="5"/>
        <v>NOK</v>
      </c>
      <c r="I48" s="10" t="str">
        <f t="shared" si="6"/>
        <v>forca_componente-plano_tatico</v>
      </c>
      <c r="J48" s="10"/>
      <c r="K48" s="10"/>
      <c r="L48" s="10" t="e">
        <f>IF(VLOOKUP(I48,GRAFO!L10:L49,1,0)&lt;&gt;"",1,0)</f>
        <v>#N/A</v>
      </c>
      <c r="M48" s="10">
        <f t="shared" si="7"/>
        <v>0</v>
      </c>
      <c r="O48" s="10" t="str">
        <f t="shared" si="8"/>
        <v>forca_componente-rdfs:seeAlso-plano_tatico</v>
      </c>
      <c r="P48" s="10"/>
      <c r="Q48" s="10"/>
      <c r="R48" s="10"/>
      <c r="S48" s="10"/>
      <c r="T48" s="10" t="e">
        <f>IF(INDEX(GRAFO!$M$2:'GRAFO'!$M$41,MATCH(O48,GRAFO!$M$2:'GRAFO'!$M$41,0),1)&lt;&gt;0,1,0)</f>
        <v>#N/A</v>
      </c>
      <c r="U48" s="10">
        <f t="shared" si="9"/>
        <v>0</v>
      </c>
    </row>
    <row r="49" spans="4:21">
      <c r="D49" s="10" t="str">
        <f t="shared" si="2"/>
        <v>comandos_operacionais</v>
      </c>
      <c r="E49" s="10" t="str">
        <f t="shared" si="3"/>
        <v>rdfs:seeAlso</v>
      </c>
      <c r="F49" s="10" t="str">
        <f t="shared" si="4"/>
        <v>plano_operacional</v>
      </c>
      <c r="G49" s="10" t="str">
        <f t="shared" si="5"/>
        <v>NOK</v>
      </c>
      <c r="I49" s="10" t="str">
        <f t="shared" si="6"/>
        <v>comandos_operacionais-plano_operacional</v>
      </c>
      <c r="J49" s="10"/>
      <c r="K49" s="10"/>
      <c r="L49" s="10" t="e">
        <f>IF(VLOOKUP(I49,GRAFO!L11:L50,1,0)&lt;&gt;"",1,0)</f>
        <v>#N/A</v>
      </c>
      <c r="M49" s="10">
        <f t="shared" si="7"/>
        <v>0</v>
      </c>
      <c r="O49" s="10" t="str">
        <f t="shared" si="8"/>
        <v>comandos_operacionais-rdfs:seeAlso-plano_operacional</v>
      </c>
      <c r="P49" s="10"/>
      <c r="Q49" s="10"/>
      <c r="R49" s="10"/>
      <c r="S49" s="10"/>
      <c r="T49" s="10" t="e">
        <f>IF(INDEX(GRAFO!$M$2:'GRAFO'!$M$41,MATCH(O49,GRAFO!$M$2:'GRAFO'!$M$41,0),1)&lt;&gt;0,1,0)</f>
        <v>#N/A</v>
      </c>
      <c r="U49" s="10">
        <f t="shared" si="9"/>
        <v>0</v>
      </c>
    </row>
  </sheetData>
  <mergeCells count="11">
    <mergeCell ref="I39:K39"/>
    <mergeCell ref="L39:M39"/>
    <mergeCell ref="O38:U38"/>
    <mergeCell ref="O39:S39"/>
    <mergeCell ref="T39:U39"/>
    <mergeCell ref="K4:K5"/>
    <mergeCell ref="A1:B1"/>
    <mergeCell ref="D1:F1"/>
    <mergeCell ref="D38:G38"/>
    <mergeCell ref="A38:B38"/>
    <mergeCell ref="I38:M38"/>
  </mergeCells>
  <dataValidations count="6">
    <dataValidation type="list" allowBlank="1" showInputMessage="1" showErrorMessage="1" sqref="E23:E36">
      <formula1>$A$40:$A$55</formula1>
    </dataValidation>
    <dataValidation type="list" allowBlank="1" showInputMessage="1" showErrorMessage="1" sqref="F23:F36 D23:D36">
      <formula1>$A$3:$A$36</formula1>
    </dataValidation>
    <dataValidation type="list" allowBlank="1" showInputMessage="1" showErrorMessage="1" sqref="H3:H39 G3:G38 D37 F37:F38">
      <formula1>$A$3:$A$30</formula1>
    </dataValidation>
    <dataValidation type="list" allowBlank="1" showInputMessage="1" showErrorMessage="1" sqref="C3:C29 B3:B37">
      <formula1>$Y$3:$Y$31</formula1>
    </dataValidation>
    <dataValidation type="list" allowBlank="1" showInputMessage="1" showErrorMessage="1" sqref="D3:D22 F3:F22">
      <formula1>$A$3:$A$17</formula1>
    </dataValidation>
    <dataValidation type="list" allowBlank="1" showInputMessage="1" showErrorMessage="1" sqref="E3:E22">
      <formula1>$A$40:$A$44</formula1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61"/>
  <sheetViews>
    <sheetView topLeftCell="A13" zoomScale="130" zoomScaleNormal="130" workbookViewId="0">
      <selection activeCell="A7" sqref="A7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074218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210</v>
      </c>
      <c r="B2" s="32" t="s">
        <v>211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9" t="s">
        <v>184</v>
      </c>
      <c r="AD2" s="9" t="s">
        <v>195</v>
      </c>
      <c r="AE2" s="9" t="s">
        <v>35</v>
      </c>
    </row>
    <row r="3" spans="1:31">
      <c r="A3" s="10" t="s">
        <v>40</v>
      </c>
      <c r="B3" s="10" t="s">
        <v>21</v>
      </c>
      <c r="D3" s="10" t="s">
        <v>40</v>
      </c>
      <c r="E3" s="10" t="s">
        <v>142</v>
      </c>
      <c r="F3" s="10" t="s">
        <v>18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84</v>
      </c>
      <c r="T3" s="7" t="s">
        <v>85</v>
      </c>
      <c r="U3" s="7" t="s">
        <v>71</v>
      </c>
      <c r="V3" s="7" t="s">
        <v>72</v>
      </c>
      <c r="W3" s="7" t="s">
        <v>73</v>
      </c>
      <c r="Y3" t="s">
        <v>33</v>
      </c>
      <c r="AC3" s="9" t="s">
        <v>185</v>
      </c>
      <c r="AD3" s="9" t="s">
        <v>196</v>
      </c>
      <c r="AE3" s="9" t="s">
        <v>4</v>
      </c>
    </row>
    <row r="4" spans="1:31">
      <c r="A4" s="10" t="s">
        <v>18</v>
      </c>
      <c r="B4" s="10" t="s">
        <v>18</v>
      </c>
      <c r="D4" s="10" t="s">
        <v>40</v>
      </c>
      <c r="E4" s="10" t="s">
        <v>142</v>
      </c>
      <c r="F4" s="10" t="s">
        <v>123</v>
      </c>
      <c r="K4" s="85" t="s">
        <v>80</v>
      </c>
      <c r="L4" s="8" t="s">
        <v>0</v>
      </c>
      <c r="M4" s="4">
        <f>GRAFO!J2</f>
        <v>29</v>
      </c>
      <c r="N4" s="11">
        <f>COUNTA(A3:A25)</f>
        <v>23</v>
      </c>
      <c r="O4" s="11">
        <f>COUNTIF(B3:B25,"&lt;&gt;"&amp;"")</f>
        <v>12</v>
      </c>
      <c r="P4" s="2">
        <f>N4-R4</f>
        <v>12</v>
      </c>
      <c r="Q4" s="2">
        <f>M4-O4</f>
        <v>17</v>
      </c>
      <c r="R4" s="2">
        <f>N4-O4</f>
        <v>11</v>
      </c>
      <c r="S4" s="2">
        <f>O4+P4</f>
        <v>24</v>
      </c>
      <c r="T4" s="2">
        <f>Q4+R4</f>
        <v>28</v>
      </c>
      <c r="U4" s="6">
        <f>O4/(O4+R4)</f>
        <v>0.52173913043478259</v>
      </c>
      <c r="V4" s="6">
        <f>O4/(O4+Q4)</f>
        <v>0.41379310344827586</v>
      </c>
      <c r="W4" s="6">
        <f>(O4+P4)/(O4+P4+Q4+R4)</f>
        <v>0.46153846153846156</v>
      </c>
      <c r="X4" s="62">
        <f>AVERAGE(U4:W4)</f>
        <v>0.46569023180717339</v>
      </c>
      <c r="Y4" t="s">
        <v>21</v>
      </c>
      <c r="AC4" s="9" t="s">
        <v>186</v>
      </c>
      <c r="AD4" s="9" t="s">
        <v>197</v>
      </c>
      <c r="AE4" s="9" t="s">
        <v>205</v>
      </c>
    </row>
    <row r="5" spans="1:31">
      <c r="A5" s="10" t="s">
        <v>123</v>
      </c>
      <c r="B5" s="10"/>
      <c r="D5" s="10" t="s">
        <v>40</v>
      </c>
      <c r="E5" s="10" t="s">
        <v>104</v>
      </c>
      <c r="F5" s="10" t="s">
        <v>53</v>
      </c>
      <c r="K5" s="85"/>
      <c r="L5" s="8" t="s">
        <v>100</v>
      </c>
      <c r="M5" s="5">
        <f>GRAFO!J3</f>
        <v>41</v>
      </c>
      <c r="N5" s="12">
        <f>COUNTA(D40:D61)</f>
        <v>22</v>
      </c>
      <c r="O5" s="12">
        <f>COUNTIF(M40:M61,"=1")</f>
        <v>4</v>
      </c>
      <c r="P5" s="2">
        <f>N5-R5</f>
        <v>4</v>
      </c>
      <c r="Q5" s="2">
        <f>M5-O5</f>
        <v>37</v>
      </c>
      <c r="R5" s="2">
        <f>N5-O5</f>
        <v>18</v>
      </c>
      <c r="S5" s="2">
        <f>O5+P5</f>
        <v>8</v>
      </c>
      <c r="T5" s="2">
        <f>Q5+R5</f>
        <v>55</v>
      </c>
      <c r="U5" s="6">
        <f>O5/(O5+R5)</f>
        <v>0.18181818181818182</v>
      </c>
      <c r="V5" s="6">
        <f>O5/(O5+Q5)</f>
        <v>9.7560975609756101E-2</v>
      </c>
      <c r="W5" s="6">
        <f>(O5+P5)/(O5+P5+Q5+R5)</f>
        <v>0.12698412698412698</v>
      </c>
      <c r="X5" s="62">
        <f t="shared" ref="X5:X6" si="0">AVERAGE(U5:W5)</f>
        <v>0.13545442813735498</v>
      </c>
      <c r="Y5" t="s">
        <v>17</v>
      </c>
      <c r="AC5" s="9" t="s">
        <v>187</v>
      </c>
      <c r="AD5" s="9" t="s">
        <v>198</v>
      </c>
      <c r="AE5" s="9" t="s">
        <v>3</v>
      </c>
    </row>
    <row r="6" spans="1:31">
      <c r="A6" s="10" t="s">
        <v>53</v>
      </c>
      <c r="B6" s="10"/>
      <c r="D6" s="10" t="s">
        <v>53</v>
      </c>
      <c r="E6" s="10" t="s">
        <v>142</v>
      </c>
      <c r="F6" s="10" t="s">
        <v>124</v>
      </c>
      <c r="L6" s="8" t="s">
        <v>99</v>
      </c>
      <c r="M6" s="5">
        <v>41</v>
      </c>
      <c r="N6" s="12">
        <f>COUNTA(D40:D61)</f>
        <v>22</v>
      </c>
      <c r="O6" s="12">
        <f>COUNTIF(U40:U61,"=1")</f>
        <v>3</v>
      </c>
      <c r="P6" s="2">
        <f>N6-R6</f>
        <v>3</v>
      </c>
      <c r="Q6" s="2">
        <f>M6-O6</f>
        <v>38</v>
      </c>
      <c r="R6" s="2">
        <f>N6-O6</f>
        <v>19</v>
      </c>
      <c r="S6" s="2">
        <f>O6+P6</f>
        <v>6</v>
      </c>
      <c r="T6" s="2">
        <f>Q6+R6</f>
        <v>57</v>
      </c>
      <c r="U6" s="6">
        <f>O6/(O6+R6)</f>
        <v>0.13636363636363635</v>
      </c>
      <c r="V6" s="6">
        <f>O6/(O6+Q6)</f>
        <v>7.3170731707317069E-2</v>
      </c>
      <c r="W6" s="6">
        <f>(O6+P6)/(O6+P6+Q6+R6)</f>
        <v>9.5238095238095233E-2</v>
      </c>
      <c r="X6" s="62">
        <f t="shared" si="0"/>
        <v>0.10159082110301622</v>
      </c>
      <c r="Y6" t="s">
        <v>40</v>
      </c>
      <c r="AC6" s="9" t="s">
        <v>188</v>
      </c>
      <c r="AD6" s="9" t="s">
        <v>199</v>
      </c>
      <c r="AE6" s="9" t="s">
        <v>6</v>
      </c>
    </row>
    <row r="7" spans="1:31">
      <c r="A7" s="10" t="s">
        <v>124</v>
      </c>
      <c r="B7" s="10"/>
      <c r="D7" s="10" t="s">
        <v>13</v>
      </c>
      <c r="E7" s="10" t="s">
        <v>167</v>
      </c>
      <c r="F7" s="10" t="s">
        <v>157</v>
      </c>
      <c r="X7" s="62">
        <f>AVERAGE(X4:X6)</f>
        <v>0.23424516034918152</v>
      </c>
      <c r="Y7" t="s">
        <v>13</v>
      </c>
      <c r="AC7" s="9" t="s">
        <v>189</v>
      </c>
      <c r="AD7" s="9" t="s">
        <v>200</v>
      </c>
      <c r="AE7" s="9" t="s">
        <v>206</v>
      </c>
    </row>
    <row r="8" spans="1:31">
      <c r="A8" s="10" t="s">
        <v>157</v>
      </c>
      <c r="B8" s="10" t="s">
        <v>22</v>
      </c>
      <c r="D8" s="10" t="s">
        <v>53</v>
      </c>
      <c r="E8" s="10" t="s">
        <v>104</v>
      </c>
      <c r="F8" s="10" t="s">
        <v>54</v>
      </c>
      <c r="Y8" t="s">
        <v>39</v>
      </c>
      <c r="AC8" s="9" t="s">
        <v>190</v>
      </c>
      <c r="AD8" s="9" t="s">
        <v>148</v>
      </c>
      <c r="AE8" s="9" t="s">
        <v>36</v>
      </c>
    </row>
    <row r="9" spans="1:31">
      <c r="A9" s="10" t="s">
        <v>54</v>
      </c>
      <c r="B9" s="10" t="s">
        <v>31</v>
      </c>
      <c r="D9" s="10" t="s">
        <v>57</v>
      </c>
      <c r="E9" s="10" t="s">
        <v>101</v>
      </c>
      <c r="F9" s="10" t="s">
        <v>54</v>
      </c>
      <c r="K9" t="s">
        <v>74</v>
      </c>
      <c r="L9" t="s">
        <v>75</v>
      </c>
      <c r="N9">
        <f>GRAFO!J2</f>
        <v>29</v>
      </c>
      <c r="Y9" t="s">
        <v>19</v>
      </c>
      <c r="AC9" s="9" t="s">
        <v>191</v>
      </c>
      <c r="AD9" s="9" t="s">
        <v>201</v>
      </c>
      <c r="AE9" s="9" t="s">
        <v>7</v>
      </c>
    </row>
    <row r="10" spans="1:31">
      <c r="A10" s="10" t="s">
        <v>57</v>
      </c>
      <c r="B10" s="10" t="s">
        <v>33</v>
      </c>
      <c r="D10" s="10" t="s">
        <v>158</v>
      </c>
      <c r="E10" s="10" t="s">
        <v>101</v>
      </c>
      <c r="F10" s="10" t="s">
        <v>54</v>
      </c>
      <c r="K10" t="s">
        <v>80</v>
      </c>
      <c r="L10" t="s">
        <v>76</v>
      </c>
      <c r="N10">
        <f>N4</f>
        <v>23</v>
      </c>
      <c r="Y10" t="s">
        <v>37</v>
      </c>
      <c r="AC10" s="9" t="s">
        <v>192</v>
      </c>
      <c r="AD10" s="9" t="s">
        <v>202</v>
      </c>
      <c r="AE10" s="9" t="s">
        <v>207</v>
      </c>
    </row>
    <row r="11" spans="1:31">
      <c r="A11" s="10" t="s">
        <v>158</v>
      </c>
      <c r="B11" s="10" t="s">
        <v>34</v>
      </c>
      <c r="D11" s="10" t="s">
        <v>32</v>
      </c>
      <c r="E11" s="10" t="s">
        <v>101</v>
      </c>
      <c r="F11" s="10" t="s">
        <v>54</v>
      </c>
      <c r="K11" t="s">
        <v>68</v>
      </c>
      <c r="L11" t="s">
        <v>77</v>
      </c>
      <c r="N11">
        <v>16</v>
      </c>
      <c r="Y11" t="s">
        <v>10</v>
      </c>
      <c r="AC11" s="9" t="s">
        <v>193</v>
      </c>
      <c r="AD11" s="9" t="s">
        <v>203</v>
      </c>
      <c r="AE11" s="9" t="s">
        <v>208</v>
      </c>
    </row>
    <row r="12" spans="1:31">
      <c r="A12" s="10" t="s">
        <v>32</v>
      </c>
      <c r="B12" s="10" t="s">
        <v>32</v>
      </c>
      <c r="D12" s="10" t="s">
        <v>54</v>
      </c>
      <c r="E12" s="10" t="s">
        <v>214</v>
      </c>
      <c r="F12" s="10" t="s">
        <v>157</v>
      </c>
      <c r="K12" t="s">
        <v>70</v>
      </c>
      <c r="L12" t="s">
        <v>78</v>
      </c>
      <c r="M12" t="s">
        <v>86</v>
      </c>
      <c r="N12">
        <f>N9-N11</f>
        <v>13</v>
      </c>
      <c r="Y12" t="s">
        <v>14</v>
      </c>
      <c r="AC12" s="9" t="s">
        <v>194</v>
      </c>
      <c r="AD12" s="9" t="s">
        <v>204</v>
      </c>
      <c r="AE12" s="9" t="s">
        <v>5</v>
      </c>
    </row>
    <row r="13" spans="1:31">
      <c r="A13" s="10" t="s">
        <v>159</v>
      </c>
      <c r="B13" s="10"/>
      <c r="D13" s="10" t="s">
        <v>157</v>
      </c>
      <c r="E13" s="10" t="s">
        <v>214</v>
      </c>
      <c r="F13" s="10" t="s">
        <v>161</v>
      </c>
      <c r="K13" t="s">
        <v>69</v>
      </c>
      <c r="L13" t="s">
        <v>79</v>
      </c>
      <c r="M13" t="s">
        <v>87</v>
      </c>
      <c r="Y13" t="s">
        <v>34</v>
      </c>
    </row>
    <row r="14" spans="1:31">
      <c r="A14" s="10" t="s">
        <v>160</v>
      </c>
      <c r="B14" s="10"/>
      <c r="D14" s="10" t="s">
        <v>166</v>
      </c>
      <c r="E14" s="10" t="s">
        <v>216</v>
      </c>
      <c r="F14" s="10" t="s">
        <v>159</v>
      </c>
      <c r="K14" t="s">
        <v>83</v>
      </c>
      <c r="M14" t="s">
        <v>88</v>
      </c>
      <c r="Y14" t="s">
        <v>27</v>
      </c>
    </row>
    <row r="15" spans="1:31">
      <c r="A15" s="10" t="s">
        <v>161</v>
      </c>
      <c r="B15" s="10"/>
      <c r="D15" s="10" t="s">
        <v>157</v>
      </c>
      <c r="E15" s="10" t="s">
        <v>214</v>
      </c>
      <c r="F15" s="10" t="s">
        <v>157</v>
      </c>
      <c r="K15" t="s">
        <v>89</v>
      </c>
      <c r="M15" t="s">
        <v>92</v>
      </c>
      <c r="Y15" t="s">
        <v>28</v>
      </c>
    </row>
    <row r="16" spans="1:31">
      <c r="A16" s="10" t="s">
        <v>162</v>
      </c>
      <c r="B16" s="10" t="s">
        <v>28</v>
      </c>
      <c r="D16" s="10" t="s">
        <v>160</v>
      </c>
      <c r="E16" s="10" t="s">
        <v>170</v>
      </c>
      <c r="F16" s="10" t="s">
        <v>161</v>
      </c>
      <c r="K16" t="s">
        <v>90</v>
      </c>
      <c r="M16" t="s">
        <v>93</v>
      </c>
      <c r="Y16" t="s">
        <v>30</v>
      </c>
    </row>
    <row r="17" spans="1:25">
      <c r="A17" s="10" t="s">
        <v>63</v>
      </c>
      <c r="B17" s="10"/>
      <c r="D17" s="10" t="s">
        <v>160</v>
      </c>
      <c r="E17" s="10" t="s">
        <v>215</v>
      </c>
      <c r="F17" s="10" t="s">
        <v>159</v>
      </c>
      <c r="K17" t="s">
        <v>91</v>
      </c>
      <c r="M17" t="s">
        <v>94</v>
      </c>
      <c r="Y17" t="s">
        <v>29</v>
      </c>
    </row>
    <row r="18" spans="1:25">
      <c r="A18" s="10" t="s">
        <v>163</v>
      </c>
      <c r="B18" s="10" t="s">
        <v>29</v>
      </c>
      <c r="D18" s="10" t="s">
        <v>161</v>
      </c>
      <c r="E18" s="10" t="s">
        <v>217</v>
      </c>
      <c r="F18" s="10" t="s">
        <v>165</v>
      </c>
      <c r="K18" t="s">
        <v>84</v>
      </c>
      <c r="M18" t="s">
        <v>95</v>
      </c>
      <c r="Y18" t="s">
        <v>31</v>
      </c>
    </row>
    <row r="19" spans="1:25">
      <c r="A19" s="10" t="s">
        <v>164</v>
      </c>
      <c r="B19" s="10" t="s">
        <v>30</v>
      </c>
      <c r="D19" s="10" t="s">
        <v>165</v>
      </c>
      <c r="E19" s="10" t="s">
        <v>218</v>
      </c>
      <c r="F19" s="10" t="s">
        <v>157</v>
      </c>
      <c r="K19" t="s">
        <v>85</v>
      </c>
      <c r="M19" t="s">
        <v>96</v>
      </c>
      <c r="Y19" t="s">
        <v>25</v>
      </c>
    </row>
    <row r="20" spans="1:25">
      <c r="A20" s="10" t="s">
        <v>161</v>
      </c>
      <c r="B20" s="10"/>
      <c r="D20" s="10" t="s">
        <v>162</v>
      </c>
      <c r="E20" s="10" t="s">
        <v>168</v>
      </c>
      <c r="F20" s="10" t="s">
        <v>161</v>
      </c>
      <c r="K20" t="s">
        <v>97</v>
      </c>
      <c r="M20" t="s">
        <v>98</v>
      </c>
      <c r="Y20" t="s">
        <v>15</v>
      </c>
    </row>
    <row r="21" spans="1:25">
      <c r="A21" s="10" t="s">
        <v>165</v>
      </c>
      <c r="B21" s="10"/>
      <c r="D21" s="10" t="s">
        <v>163</v>
      </c>
      <c r="E21" s="10" t="s">
        <v>101</v>
      </c>
      <c r="F21" s="10" t="s">
        <v>162</v>
      </c>
      <c r="Y21" t="s">
        <v>16</v>
      </c>
    </row>
    <row r="22" spans="1:25">
      <c r="A22" s="10" t="s">
        <v>160</v>
      </c>
      <c r="B22" s="10"/>
      <c r="D22" s="10" t="s">
        <v>164</v>
      </c>
      <c r="E22" s="10" t="s">
        <v>101</v>
      </c>
      <c r="F22" s="10" t="s">
        <v>162</v>
      </c>
      <c r="Y22" t="s">
        <v>32</v>
      </c>
    </row>
    <row r="23" spans="1:25">
      <c r="A23" s="10" t="s">
        <v>13</v>
      </c>
      <c r="B23" s="10" t="s">
        <v>13</v>
      </c>
      <c r="D23" s="10" t="s">
        <v>160</v>
      </c>
      <c r="E23" s="10" t="s">
        <v>215</v>
      </c>
      <c r="F23" s="10" t="s">
        <v>63</v>
      </c>
      <c r="Y23" t="s">
        <v>9</v>
      </c>
    </row>
    <row r="24" spans="1:25">
      <c r="A24" s="10" t="s">
        <v>166</v>
      </c>
      <c r="B24" s="10"/>
      <c r="D24" s="10" t="s">
        <v>54</v>
      </c>
      <c r="E24" s="10" t="s">
        <v>209</v>
      </c>
      <c r="F24" s="10" t="s">
        <v>39</v>
      </c>
      <c r="Y24" t="s">
        <v>18</v>
      </c>
    </row>
    <row r="25" spans="1:25">
      <c r="A25" s="10" t="s">
        <v>39</v>
      </c>
      <c r="B25" s="10" t="s">
        <v>39</v>
      </c>
      <c r="Y25" t="s">
        <v>23</v>
      </c>
    </row>
    <row r="26" spans="1:25">
      <c r="Y26" t="s">
        <v>22</v>
      </c>
    </row>
    <row r="27" spans="1:25">
      <c r="Y27" t="s">
        <v>12</v>
      </c>
    </row>
    <row r="28" spans="1:25">
      <c r="Y28" t="s">
        <v>24</v>
      </c>
    </row>
    <row r="29" spans="1:25">
      <c r="Y29" t="s">
        <v>8</v>
      </c>
    </row>
    <row r="30" spans="1:25">
      <c r="Y30" t="s">
        <v>20</v>
      </c>
    </row>
    <row r="31" spans="1:25">
      <c r="Y31" t="s">
        <v>11</v>
      </c>
    </row>
    <row r="38" spans="1:21">
      <c r="A38" s="88" t="s">
        <v>182</v>
      </c>
      <c r="B38" s="88"/>
      <c r="D38" s="89" t="s">
        <v>222</v>
      </c>
      <c r="E38" s="89"/>
      <c r="F38" s="89"/>
      <c r="G38" s="89"/>
      <c r="I38" s="98" t="s">
        <v>224</v>
      </c>
      <c r="J38" s="99"/>
      <c r="K38" s="99"/>
      <c r="L38" s="99"/>
      <c r="M38" s="100"/>
      <c r="O38" s="94" t="s">
        <v>229</v>
      </c>
      <c r="P38" s="94"/>
      <c r="Q38" s="94"/>
      <c r="R38" s="94"/>
      <c r="S38" s="94"/>
      <c r="T38" s="94"/>
      <c r="U38" s="94"/>
    </row>
    <row r="39" spans="1:21">
      <c r="A39" s="32" t="s">
        <v>212</v>
      </c>
      <c r="B39" s="33" t="s">
        <v>213</v>
      </c>
      <c r="C39" s="24"/>
      <c r="D39" s="34" t="s">
        <v>220</v>
      </c>
      <c r="E39" s="34" t="s">
        <v>219</v>
      </c>
      <c r="F39" s="34" t="s">
        <v>221</v>
      </c>
      <c r="G39" s="34" t="s">
        <v>223</v>
      </c>
      <c r="I39" s="101" t="s">
        <v>225</v>
      </c>
      <c r="J39" s="102"/>
      <c r="K39" s="103"/>
      <c r="L39" s="101" t="s">
        <v>226</v>
      </c>
      <c r="M39" s="103"/>
      <c r="O39" s="95" t="s">
        <v>227</v>
      </c>
      <c r="P39" s="96"/>
      <c r="Q39" s="96"/>
      <c r="R39" s="96"/>
      <c r="S39" s="97"/>
      <c r="T39" s="95" t="s">
        <v>228</v>
      </c>
      <c r="U39" s="97"/>
    </row>
    <row r="40" spans="1:21">
      <c r="A40" s="10" t="s">
        <v>101</v>
      </c>
      <c r="B40" s="10" t="s">
        <v>3</v>
      </c>
      <c r="C40" s="9" t="str">
        <f>IF(INDEX($A$3:$B$24,MATCH(D3,$A$3:$A$24,0),2)&lt;&gt;0,"OK","NOK")</f>
        <v>OK</v>
      </c>
      <c r="D40" s="10" t="str">
        <f>IF(INDEX($A$3:$B$25,MATCH(D3,$A$3:$A$25,0),2)&lt;&gt;0,INDEX($A$3:$B$25,MATCH(D3,$A$3:$A$25,0),2),D3)</f>
        <v>comandante_supremo</v>
      </c>
      <c r="E40" s="10" t="str">
        <f>IF(INDEX($A$40:$B$58,MATCH(E3,$A$40:$A$58,0),2)&lt;&gt;0,INDEX($A$40:$B$58,MATCH(E3,$A$40:$A$58,0),2),E3)</f>
        <v>c2rm:applied_to</v>
      </c>
      <c r="F40" s="10" t="str">
        <f>IF(INDEX($A$3:$B$25,MATCH(F3,$A$3:$A$25,0),2)&lt;&gt;0,INDEX($A$3:$B$25,MATCH(F3,$A$3:$A$25,0),2),F3)</f>
        <v>objetivos_politicos</v>
      </c>
      <c r="G40" s="3" t="str">
        <f>IF(INDEX($A$3:$B$25,MATCH(F3,$A$3:$A$25,0),2)&lt;&gt;0,"OK","NOK")</f>
        <v>OK</v>
      </c>
      <c r="H40">
        <f>COUNTIFS(GRAFO!C2:C42,"=D34",GRAFO!E2:E42,"=F34")</f>
        <v>0</v>
      </c>
      <c r="I40" s="10" t="str">
        <f>D40 &amp;"-"&amp;F40</f>
        <v>comandante_supremo-objetivos_politicos</v>
      </c>
      <c r="J40" s="10"/>
      <c r="K40" s="10"/>
      <c r="L40" s="3" t="e">
        <f>IF(INDEX(GRAFO!$L$2:'GRAFO'!$L$41,MATCH(I40,GRAFO!$L$2:'GRAFO'!$L$41,0),1)&lt;&gt;0,1,0)</f>
        <v>#N/A</v>
      </c>
      <c r="M40" s="3">
        <f>IFERROR(L40,0)</f>
        <v>0</v>
      </c>
      <c r="O40" s="10" t="str">
        <f>D40 &amp; "-" &amp; E40 &amp; "-" &amp; F40</f>
        <v>comandante_supremo-c2rm:applied_to-objetivos_politicos</v>
      </c>
      <c r="P40" s="10"/>
      <c r="Q40" s="10"/>
      <c r="R40" s="10"/>
      <c r="S40" s="10"/>
      <c r="T40" s="10" t="e">
        <f>IF(INDEX(GRAFO!$M$2:'GRAFO'!$M$41,MATCH(O40,GRAFO!$M$2:'GRAFO'!$M$41,0),1)&lt;&gt;0,1,0)</f>
        <v>#N/A</v>
      </c>
      <c r="U40" s="10">
        <f>IFERROR(T40,0)</f>
        <v>0</v>
      </c>
    </row>
    <row r="41" spans="1:21">
      <c r="A41" s="10" t="s">
        <v>103</v>
      </c>
      <c r="B41" s="10" t="s">
        <v>4</v>
      </c>
      <c r="C41" s="9" t="str">
        <f t="shared" ref="C41:C57" si="1">IF(INDEX($A$3:$B$24,MATCH(D4,$A$3:$A$24,0),2)&lt;&gt;0,"OK","NOK")</f>
        <v>OK</v>
      </c>
      <c r="D41" s="10" t="str">
        <f t="shared" ref="D41:D61" si="2">IF(INDEX($A$3:$B$25,MATCH(D4,$A$3:$A$25,0),2)&lt;&gt;0,INDEX($A$3:$B$25,MATCH(D4,$A$3:$A$25,0),2),D4)</f>
        <v>comandante_supremo</v>
      </c>
      <c r="E41" s="10" t="str">
        <f t="shared" ref="E41:E61" si="3">IF(INDEX($A$40:$B$58,MATCH(E4,$A$40:$A$58,0),2)&lt;&gt;0,INDEX($A$40:$B$58,MATCH(E4,$A$40:$A$58,0),2),E4)</f>
        <v>c2rm:applied_to</v>
      </c>
      <c r="F41" s="10" t="str">
        <f t="shared" ref="F41:F61" si="4">IF(INDEX($A$3:$B$25,MATCH(F4,$A$3:$A$25,0),2)&lt;&gt;0,INDEX($A$3:$B$25,MATCH(F4,$A$3:$A$25,0),2),F4)</f>
        <v>dped</v>
      </c>
      <c r="G41" s="3" t="str">
        <f t="shared" ref="G41:G61" si="5">IF(INDEX($A$3:$B$36,MATCH(F4,$A$3:$A$36,0),2)&lt;&gt;0,"OK","NOK")</f>
        <v>NOK</v>
      </c>
      <c r="I41" s="10" t="str">
        <f t="shared" ref="I41:I61" si="6">D41 &amp;"-"&amp;F41</f>
        <v>comandante_supremo-dped</v>
      </c>
      <c r="J41" s="10"/>
      <c r="K41" s="10"/>
      <c r="L41" s="3" t="e">
        <f>IF(VLOOKUP(I41,GRAFO!L3:L42,1,0)&lt;&gt;"",1,0)</f>
        <v>#N/A</v>
      </c>
      <c r="M41" s="3">
        <f t="shared" ref="M41:M61" si="7">IFERROR(L41,0)</f>
        <v>0</v>
      </c>
      <c r="O41" s="10" t="str">
        <f t="shared" ref="O41:O61" si="8">D41 &amp; "-" &amp; E41 &amp; "-" &amp; F41</f>
        <v>comandante_supremo-c2rm:applied_to-dped</v>
      </c>
      <c r="P41" s="10"/>
      <c r="Q41" s="10"/>
      <c r="R41" s="10"/>
      <c r="S41" s="10"/>
      <c r="T41" s="10" t="e">
        <f>IF(INDEX(GRAFO!$M$2:'GRAFO'!$M$41,MATCH(O41,GRAFO!$M$2:'GRAFO'!$M$41,0),1)&lt;&gt;0,1,0)</f>
        <v>#N/A</v>
      </c>
      <c r="U41" s="10">
        <f t="shared" ref="U41:U61" si="9">IFERROR(T41,0)</f>
        <v>0</v>
      </c>
    </row>
    <row r="42" spans="1:21">
      <c r="A42" s="10" t="s">
        <v>139</v>
      </c>
      <c r="B42" s="10" t="s">
        <v>7</v>
      </c>
      <c r="C42" s="9" t="str">
        <f t="shared" si="1"/>
        <v>OK</v>
      </c>
      <c r="D42" s="10" t="str">
        <f t="shared" si="2"/>
        <v>comandante_supremo</v>
      </c>
      <c r="E42" s="10" t="str">
        <f t="shared" si="3"/>
        <v>c2rm:responsible_for</v>
      </c>
      <c r="F42" s="10" t="str">
        <f t="shared" si="4"/>
        <v>md</v>
      </c>
      <c r="G42" s="3" t="str">
        <f t="shared" si="5"/>
        <v>NOK</v>
      </c>
      <c r="I42" s="10" t="str">
        <f t="shared" si="6"/>
        <v>comandante_supremo-md</v>
      </c>
      <c r="J42" s="10"/>
      <c r="K42" s="10"/>
      <c r="L42" s="3" t="e">
        <f>IF(VLOOKUP(I42,GRAFO!L4:L43,1,0)&lt;&gt;"",1,0)</f>
        <v>#N/A</v>
      </c>
      <c r="M42" s="3">
        <f t="shared" si="7"/>
        <v>0</v>
      </c>
      <c r="O42" s="10" t="str">
        <f t="shared" si="8"/>
        <v>comandante_supremo-c2rm:responsible_for-md</v>
      </c>
      <c r="P42" s="10"/>
      <c r="Q42" s="10"/>
      <c r="R42" s="10"/>
      <c r="S42" s="10"/>
      <c r="T42" s="10" t="e">
        <f>IF(INDEX(GRAFO!$M$2:'GRAFO'!$M$41,MATCH(O42,GRAFO!$M$2:'GRAFO'!$M$41,0),1)&lt;&gt;0,1,0)</f>
        <v>#N/A</v>
      </c>
      <c r="U42" s="10">
        <f t="shared" si="9"/>
        <v>0</v>
      </c>
    </row>
    <row r="43" spans="1:21">
      <c r="A43" s="10" t="s">
        <v>140</v>
      </c>
      <c r="B43" s="10" t="s">
        <v>205</v>
      </c>
      <c r="C43" s="9" t="str">
        <f t="shared" si="1"/>
        <v>NOK</v>
      </c>
      <c r="D43" s="10" t="str">
        <f t="shared" si="2"/>
        <v>md</v>
      </c>
      <c r="E43" s="10" t="str">
        <f t="shared" si="3"/>
        <v>c2rm:applied_to</v>
      </c>
      <c r="F43" s="10" t="str">
        <f t="shared" si="4"/>
        <v>dmed</v>
      </c>
      <c r="G43" s="3" t="str">
        <f t="shared" si="5"/>
        <v>NOK</v>
      </c>
      <c r="I43" s="10" t="str">
        <f t="shared" si="6"/>
        <v>md-dmed</v>
      </c>
      <c r="J43" s="10"/>
      <c r="K43" s="10"/>
      <c r="L43" s="3" t="e">
        <f>IF(VLOOKUP(I43,GRAFO!L5:L44,1,0)&lt;&gt;"",1,0)</f>
        <v>#N/A</v>
      </c>
      <c r="M43" s="3">
        <f t="shared" si="7"/>
        <v>0</v>
      </c>
      <c r="O43" s="10" t="str">
        <f t="shared" si="8"/>
        <v>md-c2rm:applied_to-dmed</v>
      </c>
      <c r="P43" s="10"/>
      <c r="Q43" s="10"/>
      <c r="R43" s="10"/>
      <c r="S43" s="10"/>
      <c r="T43" s="10" t="e">
        <f>IF(INDEX(GRAFO!$M$2:'GRAFO'!$M$41,MATCH(O43,GRAFO!$M$2:'GRAFO'!$M$41,0),1)&lt;&gt;0,1,0)</f>
        <v>#N/A</v>
      </c>
      <c r="U43" s="10">
        <f t="shared" si="9"/>
        <v>0</v>
      </c>
    </row>
    <row r="44" spans="1:21">
      <c r="A44" s="10" t="s">
        <v>142</v>
      </c>
      <c r="B44" s="10" t="s">
        <v>5</v>
      </c>
      <c r="C44" s="9" t="str">
        <f t="shared" si="1"/>
        <v>OK</v>
      </c>
      <c r="D44" s="10" t="str">
        <f t="shared" si="2"/>
        <v>comandos_operacionais</v>
      </c>
      <c r="E44" s="10" t="str">
        <f t="shared" si="3"/>
        <v>c2rm:responsible_for</v>
      </c>
      <c r="F44" s="10" t="str">
        <f t="shared" si="4"/>
        <v>operacao_conjunta</v>
      </c>
      <c r="G44" s="3" t="str">
        <f t="shared" si="5"/>
        <v>OK</v>
      </c>
      <c r="I44" s="10" t="str">
        <f t="shared" si="6"/>
        <v>comandos_operacionais-operacao_conjunta</v>
      </c>
      <c r="J44" s="10"/>
      <c r="K44" s="10"/>
      <c r="L44" s="3" t="e">
        <f>IF(VLOOKUP(I44,GRAFO!L6:L45,1,0)&lt;&gt;"",1,0)</f>
        <v>#N/A</v>
      </c>
      <c r="M44" s="3">
        <f t="shared" si="7"/>
        <v>0</v>
      </c>
      <c r="O44" s="10" t="str">
        <f t="shared" si="8"/>
        <v>comandos_operacionais-c2rm:responsible_for-operacao_conjunta</v>
      </c>
      <c r="P44" s="10"/>
      <c r="Q44" s="10"/>
      <c r="R44" s="10"/>
      <c r="S44" s="10"/>
      <c r="T44" s="10" t="e">
        <f>IF(INDEX(GRAFO!$M$2:'GRAFO'!$M$41,MATCH(O44,GRAFO!$M$2:'GRAFO'!$M$41,0),1)&lt;&gt;0,1,0)</f>
        <v>#N/A</v>
      </c>
      <c r="U44" s="10">
        <f t="shared" si="9"/>
        <v>0</v>
      </c>
    </row>
    <row r="45" spans="1:21">
      <c r="A45" s="10" t="s">
        <v>104</v>
      </c>
      <c r="B45" s="10" t="s">
        <v>7</v>
      </c>
      <c r="C45" s="9" t="str">
        <f t="shared" si="1"/>
        <v>NOK</v>
      </c>
      <c r="D45" s="10" t="str">
        <f t="shared" si="2"/>
        <v>md</v>
      </c>
      <c r="E45" s="10" t="str">
        <f t="shared" si="3"/>
        <v>c2rm:responsible_for</v>
      </c>
      <c r="F45" s="10" t="str">
        <f t="shared" si="4"/>
        <v>forcas_armadas</v>
      </c>
      <c r="G45" s="3" t="str">
        <f t="shared" si="5"/>
        <v>OK</v>
      </c>
      <c r="I45" s="10" t="str">
        <f t="shared" si="6"/>
        <v>md-forcas_armadas</v>
      </c>
      <c r="J45" s="10"/>
      <c r="K45" s="10"/>
      <c r="L45" s="3" t="e">
        <f>IF(VLOOKUP(I45,GRAFO!L7:L46,1,0)&lt;&gt;"",1,0)</f>
        <v>#N/A</v>
      </c>
      <c r="M45" s="3">
        <f t="shared" si="7"/>
        <v>0</v>
      </c>
      <c r="O45" s="10" t="str">
        <f t="shared" si="8"/>
        <v>md-c2rm:responsible_for-forcas_armadas</v>
      </c>
      <c r="P45" s="10"/>
      <c r="Q45" s="10"/>
      <c r="R45" s="10"/>
      <c r="S45" s="10"/>
      <c r="T45" s="10" t="e">
        <f>IF(INDEX(GRAFO!$M$2:'GRAFO'!$M$41,MATCH(O45,GRAFO!$M$2:'GRAFO'!$M$41,0),1)&lt;&gt;0,1,0)</f>
        <v>#N/A</v>
      </c>
      <c r="U45" s="10">
        <f t="shared" si="9"/>
        <v>0</v>
      </c>
    </row>
    <row r="46" spans="1:21">
      <c r="A46" s="10" t="s">
        <v>108</v>
      </c>
      <c r="B46" s="10" t="s">
        <v>4</v>
      </c>
      <c r="C46" s="9" t="str">
        <f t="shared" si="1"/>
        <v>OK</v>
      </c>
      <c r="D46" s="10" t="str">
        <f t="shared" si="2"/>
        <v>aeronautica</v>
      </c>
      <c r="E46" s="10" t="str">
        <f t="shared" si="3"/>
        <v>rdfs:subClassOf</v>
      </c>
      <c r="F46" s="10" t="str">
        <f t="shared" si="4"/>
        <v>forcas_armadas</v>
      </c>
      <c r="G46" s="3" t="str">
        <f t="shared" si="5"/>
        <v>OK</v>
      </c>
      <c r="I46" s="10" t="str">
        <f t="shared" si="6"/>
        <v>aeronautica-forcas_armadas</v>
      </c>
      <c r="J46" s="10"/>
      <c r="K46" s="10"/>
      <c r="L46" s="3">
        <f>IF(VLOOKUP(I46,GRAFO!L8:L47,1,0)&lt;&gt;"",1,0)</f>
        <v>1</v>
      </c>
      <c r="M46" s="3">
        <f t="shared" si="7"/>
        <v>1</v>
      </c>
      <c r="O46" s="10" t="str">
        <f t="shared" si="8"/>
        <v>aeronautica-rdfs:subClassOf-forcas_armadas</v>
      </c>
      <c r="P46" s="10"/>
      <c r="Q46" s="10"/>
      <c r="R46" s="10"/>
      <c r="S46" s="10"/>
      <c r="T46" s="10">
        <f>IF(INDEX(GRAFO!$M$2:'GRAFO'!$M$41,MATCH(O46,GRAFO!$M$2:'GRAFO'!$M$41,0),1)&lt;&gt;0,1,0)</f>
        <v>1</v>
      </c>
      <c r="U46" s="10">
        <f t="shared" si="9"/>
        <v>1</v>
      </c>
    </row>
    <row r="47" spans="1:21">
      <c r="A47" s="10" t="s">
        <v>167</v>
      </c>
      <c r="B47" s="10" t="s">
        <v>7</v>
      </c>
      <c r="C47" s="9" t="str">
        <f t="shared" si="1"/>
        <v>OK</v>
      </c>
      <c r="D47" s="10" t="str">
        <f t="shared" si="2"/>
        <v>exercito</v>
      </c>
      <c r="E47" s="10" t="str">
        <f t="shared" si="3"/>
        <v>rdfs:subClassOf</v>
      </c>
      <c r="F47" s="10" t="str">
        <f t="shared" si="4"/>
        <v>forcas_armadas</v>
      </c>
      <c r="G47" s="3" t="str">
        <f t="shared" si="5"/>
        <v>OK</v>
      </c>
      <c r="I47" s="10" t="str">
        <f t="shared" si="6"/>
        <v>exercito-forcas_armadas</v>
      </c>
      <c r="J47" s="10"/>
      <c r="K47" s="10"/>
      <c r="L47" s="3">
        <f>IF(VLOOKUP(I47,GRAFO!L9:L48,1,0)&lt;&gt;"",1,0)</f>
        <v>1</v>
      </c>
      <c r="M47" s="3">
        <f t="shared" si="7"/>
        <v>1</v>
      </c>
      <c r="O47" s="10" t="str">
        <f t="shared" si="8"/>
        <v>exercito-rdfs:subClassOf-forcas_armadas</v>
      </c>
      <c r="P47" s="10"/>
      <c r="Q47" s="10"/>
      <c r="R47" s="10"/>
      <c r="S47" s="10"/>
      <c r="T47" s="10">
        <f>IF(INDEX(GRAFO!$M$2:'GRAFO'!$M$41,MATCH(O47,GRAFO!$M$2:'GRAFO'!$M$41,0),1)&lt;&gt;0,1,0)</f>
        <v>1</v>
      </c>
      <c r="U47" s="10">
        <f t="shared" si="9"/>
        <v>1</v>
      </c>
    </row>
    <row r="48" spans="1:21">
      <c r="A48" s="10" t="s">
        <v>145</v>
      </c>
      <c r="B48" s="10" t="s">
        <v>4</v>
      </c>
      <c r="C48" s="9" t="str">
        <f t="shared" si="1"/>
        <v>OK</v>
      </c>
      <c r="D48" s="10" t="str">
        <f t="shared" si="2"/>
        <v>marinha</v>
      </c>
      <c r="E48" s="10" t="str">
        <f t="shared" si="3"/>
        <v>rdfs:subClassOf</v>
      </c>
      <c r="F48" s="10" t="str">
        <f t="shared" si="4"/>
        <v>forcas_armadas</v>
      </c>
      <c r="G48" s="3" t="str">
        <f t="shared" si="5"/>
        <v>OK</v>
      </c>
      <c r="I48" s="10" t="str">
        <f t="shared" si="6"/>
        <v>marinha-forcas_armadas</v>
      </c>
      <c r="J48" s="10"/>
      <c r="K48" s="10"/>
      <c r="L48" s="3">
        <f>IF(VLOOKUP(I48,GRAFO!L10:L49,1,0)&lt;&gt;"",1,0)</f>
        <v>1</v>
      </c>
      <c r="M48" s="3">
        <f t="shared" si="7"/>
        <v>1</v>
      </c>
      <c r="O48" s="10" t="str">
        <f t="shared" si="8"/>
        <v>marinha-rdfs:subClassOf-forcas_armadas</v>
      </c>
      <c r="P48" s="10"/>
      <c r="Q48" s="10"/>
      <c r="R48" s="10"/>
      <c r="S48" s="10"/>
      <c r="T48" s="10">
        <f>IF(INDEX(GRAFO!$M$2:'GRAFO'!$M$41,MATCH(O48,GRAFO!$M$2:'GRAFO'!$M$41,0),1)&lt;&gt;0,1,0)</f>
        <v>1</v>
      </c>
      <c r="U48" s="10">
        <f t="shared" si="9"/>
        <v>1</v>
      </c>
    </row>
    <row r="49" spans="1:21">
      <c r="A49" s="10" t="s">
        <v>218</v>
      </c>
      <c r="B49" s="10" t="s">
        <v>4</v>
      </c>
      <c r="C49" s="9" t="str">
        <f t="shared" si="1"/>
        <v>OK</v>
      </c>
      <c r="D49" s="10" t="str">
        <f t="shared" si="2"/>
        <v>forcas_armadas</v>
      </c>
      <c r="E49" s="10" t="str">
        <f t="shared" si="3"/>
        <v>c2rm:applied_to</v>
      </c>
      <c r="F49" s="10" t="str">
        <f t="shared" si="4"/>
        <v>operacao_conjunta</v>
      </c>
      <c r="G49" s="3" t="str">
        <f t="shared" si="5"/>
        <v>OK</v>
      </c>
      <c r="I49" s="10" t="str">
        <f t="shared" si="6"/>
        <v>forcas_armadas-operacao_conjunta</v>
      </c>
      <c r="J49" s="10"/>
      <c r="K49" s="10"/>
      <c r="L49" s="3">
        <f>IF(VLOOKUP(I49,GRAFO!L11:L50,1,0)&lt;&gt;"",1,0)</f>
        <v>1</v>
      </c>
      <c r="M49" s="3">
        <f t="shared" si="7"/>
        <v>1</v>
      </c>
      <c r="O49" s="10" t="str">
        <f t="shared" si="8"/>
        <v>forcas_armadas-c2rm:applied_to-operacao_conjunta</v>
      </c>
      <c r="P49" s="10"/>
      <c r="Q49" s="10"/>
      <c r="R49" s="10"/>
      <c r="S49" s="10"/>
      <c r="T49" s="10" t="e">
        <f>IF(INDEX(GRAFO!$M$2:'GRAFO'!$M$41,MATCH(O49,GRAFO!$M$2:'GRAFO'!$M$41,0),1)&lt;&gt;0,1,0)</f>
        <v>#N/A</v>
      </c>
      <c r="U49" s="10">
        <f t="shared" si="9"/>
        <v>0</v>
      </c>
    </row>
    <row r="50" spans="1:21">
      <c r="A50" s="10" t="s">
        <v>168</v>
      </c>
      <c r="B50" s="10" t="s">
        <v>7</v>
      </c>
      <c r="C50" s="9" t="str">
        <f t="shared" si="1"/>
        <v>OK</v>
      </c>
      <c r="D50" s="10" t="str">
        <f t="shared" si="2"/>
        <v>operacao_conjunta</v>
      </c>
      <c r="E50" s="10" t="str">
        <f t="shared" si="3"/>
        <v>c2rm:applied_to</v>
      </c>
      <c r="F50" s="10" t="str">
        <f t="shared" si="4"/>
        <v>planos_taticos</v>
      </c>
      <c r="G50" s="3" t="str">
        <f t="shared" si="5"/>
        <v>NOK</v>
      </c>
      <c r="I50" s="10" t="str">
        <f t="shared" si="6"/>
        <v>operacao_conjunta-planos_taticos</v>
      </c>
      <c r="J50" s="10"/>
      <c r="K50" s="10"/>
      <c r="L50" s="3" t="e">
        <f>IF(VLOOKUP(I50,GRAFO!L12:L51,1,0)&lt;&gt;"",1,0)</f>
        <v>#N/A</v>
      </c>
      <c r="M50" s="3">
        <f t="shared" si="7"/>
        <v>0</v>
      </c>
      <c r="O50" s="10" t="str">
        <f t="shared" si="8"/>
        <v>operacao_conjunta-c2rm:applied_to-planos_taticos</v>
      </c>
      <c r="P50" s="10"/>
      <c r="Q50" s="10"/>
      <c r="R50" s="10"/>
      <c r="S50" s="10"/>
      <c r="T50" s="10" t="e">
        <f>IF(INDEX(GRAFO!$M$2:'GRAFO'!$M$41,MATCH(O50,GRAFO!$M$2:'GRAFO'!$M$41,0),1)&lt;&gt;0,1,0)</f>
        <v>#N/A</v>
      </c>
      <c r="U50" s="10">
        <f t="shared" si="9"/>
        <v>0</v>
      </c>
    </row>
    <row r="51" spans="1:21">
      <c r="A51" s="10" t="s">
        <v>215</v>
      </c>
      <c r="B51" s="10" t="s">
        <v>7</v>
      </c>
      <c r="C51" s="9" t="str">
        <f t="shared" si="1"/>
        <v>NOK</v>
      </c>
      <c r="D51" s="10" t="str">
        <f t="shared" si="2"/>
        <v>ar_ai</v>
      </c>
      <c r="E51" s="10" t="str">
        <f t="shared" si="3"/>
        <v>c2rm:occurs_in</v>
      </c>
      <c r="F51" s="10" t="str">
        <f t="shared" si="4"/>
        <v>area_de_operacao</v>
      </c>
      <c r="G51" s="3" t="str">
        <f t="shared" si="5"/>
        <v>NOK</v>
      </c>
      <c r="I51" s="10" t="str">
        <f t="shared" si="6"/>
        <v>ar_ai-area_de_operacao</v>
      </c>
      <c r="J51" s="10"/>
      <c r="K51" s="10"/>
      <c r="L51" s="3" t="e">
        <f>IF(VLOOKUP(I51,GRAFO!L13:L52,1,0)&lt;&gt;"",1,0)</f>
        <v>#N/A</v>
      </c>
      <c r="M51" s="3">
        <f t="shared" si="7"/>
        <v>0</v>
      </c>
      <c r="O51" s="10" t="str">
        <f t="shared" si="8"/>
        <v>ar_ai-c2rm:occurs_in-area_de_operacao</v>
      </c>
      <c r="P51" s="10"/>
      <c r="Q51" s="10"/>
      <c r="R51" s="10"/>
      <c r="S51" s="10"/>
      <c r="T51" s="10" t="e">
        <f>IF(INDEX(GRAFO!$M$2:'GRAFO'!$M$41,MATCH(O51,GRAFO!$M$2:'GRAFO'!$M$41,0),1)&lt;&gt;0,1,0)</f>
        <v>#N/A</v>
      </c>
      <c r="U51" s="10">
        <f t="shared" si="9"/>
        <v>0</v>
      </c>
    </row>
    <row r="52" spans="1:21">
      <c r="A52" s="10" t="s">
        <v>169</v>
      </c>
      <c r="B52" s="10" t="s">
        <v>7</v>
      </c>
      <c r="C52" s="9" t="str">
        <f t="shared" si="1"/>
        <v>OK</v>
      </c>
      <c r="D52" s="10" t="str">
        <f t="shared" si="2"/>
        <v>operacao_conjunta</v>
      </c>
      <c r="E52" s="10" t="str">
        <f t="shared" si="3"/>
        <v>c2rm:applied_to</v>
      </c>
      <c r="F52" s="10" t="str">
        <f t="shared" si="4"/>
        <v>operacao_conjunta</v>
      </c>
      <c r="G52" s="3" t="str">
        <f t="shared" si="5"/>
        <v>OK</v>
      </c>
      <c r="I52" s="10" t="str">
        <f t="shared" si="6"/>
        <v>operacao_conjunta-operacao_conjunta</v>
      </c>
      <c r="J52" s="10"/>
      <c r="K52" s="10"/>
      <c r="L52" s="3" t="e">
        <f>IF(VLOOKUP(I52,GRAFO!L14:L53,1,0)&lt;&gt;"",1,0)</f>
        <v>#N/A</v>
      </c>
      <c r="M52" s="3">
        <f t="shared" si="7"/>
        <v>0</v>
      </c>
      <c r="O52" s="10" t="str">
        <f t="shared" si="8"/>
        <v>operacao_conjunta-c2rm:applied_to-operacao_conjunta</v>
      </c>
      <c r="P52" s="10"/>
      <c r="Q52" s="10"/>
      <c r="R52" s="10"/>
      <c r="S52" s="10"/>
      <c r="T52" s="10" t="e">
        <f>IF(INDEX(GRAFO!$M$2:'GRAFO'!$M$41,MATCH(O52,GRAFO!$M$2:'GRAFO'!$M$41,0),1)&lt;&gt;0,1,0)</f>
        <v>#N/A</v>
      </c>
      <c r="U52" s="10">
        <f t="shared" si="9"/>
        <v>0</v>
      </c>
    </row>
    <row r="53" spans="1:21">
      <c r="A53" s="10" t="s">
        <v>216</v>
      </c>
      <c r="B53" s="10" t="s">
        <v>208</v>
      </c>
      <c r="C53" s="9" t="str">
        <f t="shared" si="1"/>
        <v>NOK</v>
      </c>
      <c r="D53" s="10" t="str">
        <f t="shared" si="2"/>
        <v>comando_logistico</v>
      </c>
      <c r="E53" s="10" t="str">
        <f t="shared" si="3"/>
        <v>rdfs:seeAlso</v>
      </c>
      <c r="F53" s="10" t="str">
        <f t="shared" si="4"/>
        <v>planos_taticos</v>
      </c>
      <c r="G53" s="3" t="str">
        <f t="shared" si="5"/>
        <v>NOK</v>
      </c>
      <c r="I53" s="10" t="str">
        <f t="shared" si="6"/>
        <v>comando_logistico-planos_taticos</v>
      </c>
      <c r="J53" s="10"/>
      <c r="K53" s="10"/>
      <c r="L53" s="3" t="e">
        <f>IF(VLOOKUP(I53,GRAFO!L15:L54,1,0)&lt;&gt;"",1,0)</f>
        <v>#N/A</v>
      </c>
      <c r="M53" s="3">
        <f t="shared" si="7"/>
        <v>0</v>
      </c>
      <c r="O53" s="10" t="str">
        <f t="shared" si="8"/>
        <v>comando_logistico-rdfs:seeAlso-planos_taticos</v>
      </c>
      <c r="P53" s="10"/>
      <c r="Q53" s="10"/>
      <c r="R53" s="10"/>
      <c r="S53" s="10"/>
      <c r="T53" s="10" t="e">
        <f>IF(INDEX(GRAFO!$M$2:'GRAFO'!$M$41,MATCH(O53,GRAFO!$M$2:'GRAFO'!$M$41,0),1)&lt;&gt;0,1,0)</f>
        <v>#N/A</v>
      </c>
      <c r="U53" s="10">
        <f t="shared" si="9"/>
        <v>0</v>
      </c>
    </row>
    <row r="54" spans="1:21">
      <c r="A54" s="10" t="s">
        <v>170</v>
      </c>
      <c r="B54" s="10" t="s">
        <v>4</v>
      </c>
      <c r="C54" s="9" t="str">
        <f t="shared" si="1"/>
        <v>NOK</v>
      </c>
      <c r="D54" s="10" t="str">
        <f t="shared" si="2"/>
        <v>comando_logistico</v>
      </c>
      <c r="E54" s="10" t="str">
        <f t="shared" si="3"/>
        <v>c2rm:responsible_for</v>
      </c>
      <c r="F54" s="10" t="str">
        <f t="shared" si="4"/>
        <v>area_de_operacao</v>
      </c>
      <c r="G54" s="3" t="str">
        <f t="shared" si="5"/>
        <v>NOK</v>
      </c>
      <c r="I54" s="10" t="str">
        <f t="shared" si="6"/>
        <v>comando_logistico-area_de_operacao</v>
      </c>
      <c r="J54" s="10"/>
      <c r="K54" s="10"/>
      <c r="L54" s="3" t="e">
        <f>IF(VLOOKUP(I54,GRAFO!L16:L55,1,0)&lt;&gt;"",1,0)</f>
        <v>#N/A</v>
      </c>
      <c r="M54" s="3">
        <f t="shared" si="7"/>
        <v>0</v>
      </c>
      <c r="O54" s="10" t="str">
        <f t="shared" si="8"/>
        <v>comando_logistico-c2rm:responsible_for-area_de_operacao</v>
      </c>
      <c r="P54" s="10"/>
      <c r="Q54" s="10"/>
      <c r="R54" s="10"/>
      <c r="S54" s="10"/>
      <c r="T54" s="10" t="e">
        <f>IF(INDEX(GRAFO!$M$2:'GRAFO'!$M$41,MATCH(O54,GRAFO!$M$2:'GRAFO'!$M$41,0),1)&lt;&gt;0,1,0)</f>
        <v>#N/A</v>
      </c>
      <c r="U54" s="10">
        <f t="shared" si="9"/>
        <v>0</v>
      </c>
    </row>
    <row r="55" spans="1:21">
      <c r="A55" s="10" t="s">
        <v>217</v>
      </c>
      <c r="B55" s="10" t="s">
        <v>4</v>
      </c>
      <c r="C55" s="9" t="str">
        <f t="shared" si="1"/>
        <v>NOK</v>
      </c>
      <c r="D55" s="10" t="str">
        <f t="shared" si="2"/>
        <v>planos_taticos</v>
      </c>
      <c r="E55" s="10" t="str">
        <f t="shared" si="3"/>
        <v>rdfs:seeAlso</v>
      </c>
      <c r="F55" s="10" t="str">
        <f t="shared" si="4"/>
        <v>planos_operacionais</v>
      </c>
      <c r="G55" s="3" t="str">
        <f t="shared" si="5"/>
        <v>NOK</v>
      </c>
      <c r="I55" s="10" t="str">
        <f t="shared" si="6"/>
        <v>planos_taticos-planos_operacionais</v>
      </c>
      <c r="J55" s="10"/>
      <c r="K55" s="10"/>
      <c r="L55" s="3" t="e">
        <f>IF(VLOOKUP(I55,GRAFO!L17:L56,1,0)&lt;&gt;"",1,0)</f>
        <v>#N/A</v>
      </c>
      <c r="M55" s="3">
        <f t="shared" si="7"/>
        <v>0</v>
      </c>
      <c r="O55" s="10" t="str">
        <f t="shared" si="8"/>
        <v>planos_taticos-rdfs:seeAlso-planos_operacionais</v>
      </c>
      <c r="P55" s="10"/>
      <c r="Q55" s="10"/>
      <c r="R55" s="10"/>
      <c r="S55" s="10"/>
      <c r="T55" s="10" t="e">
        <f>IF(INDEX(GRAFO!$M$2:'GRAFO'!$M$41,MATCH(O55,GRAFO!$M$2:'GRAFO'!$M$41,0),1)&lt;&gt;0,1,0)</f>
        <v>#N/A</v>
      </c>
      <c r="U55" s="10">
        <f t="shared" si="9"/>
        <v>0</v>
      </c>
    </row>
    <row r="56" spans="1:21">
      <c r="A56" s="10" t="s">
        <v>109</v>
      </c>
      <c r="B56" s="10" t="s">
        <v>4</v>
      </c>
      <c r="C56" s="9" t="str">
        <f t="shared" si="1"/>
        <v>NOK</v>
      </c>
      <c r="D56" s="10" t="str">
        <f t="shared" si="2"/>
        <v>planos_operacionais</v>
      </c>
      <c r="E56" s="10" t="str">
        <f t="shared" si="3"/>
        <v>rdfs:seeAlso</v>
      </c>
      <c r="F56" s="10" t="str">
        <f t="shared" si="4"/>
        <v>operacao_conjunta</v>
      </c>
      <c r="G56" s="3" t="str">
        <f t="shared" si="5"/>
        <v>OK</v>
      </c>
      <c r="I56" s="10" t="str">
        <f t="shared" si="6"/>
        <v>planos_operacionais-operacao_conjunta</v>
      </c>
      <c r="J56" s="10"/>
      <c r="K56" s="10"/>
      <c r="L56" s="3" t="e">
        <f>IF(VLOOKUP(I56,GRAFO!L18:L57,1,0)&lt;&gt;"",1,0)</f>
        <v>#N/A</v>
      </c>
      <c r="M56" s="3">
        <f t="shared" si="7"/>
        <v>0</v>
      </c>
      <c r="O56" s="10" t="str">
        <f t="shared" si="8"/>
        <v>planos_operacionais-rdfs:seeAlso-operacao_conjunta</v>
      </c>
      <c r="P56" s="10"/>
      <c r="Q56" s="10"/>
      <c r="R56" s="10"/>
      <c r="S56" s="10"/>
      <c r="T56" s="10" t="e">
        <f>IF(INDEX(GRAFO!$M$2:'GRAFO'!$M$41,MATCH(O56,GRAFO!$M$2:'GRAFO'!$M$41,0),1)&lt;&gt;0,1,0)</f>
        <v>#N/A</v>
      </c>
      <c r="U56" s="10">
        <f t="shared" si="9"/>
        <v>0</v>
      </c>
    </row>
    <row r="57" spans="1:21">
      <c r="A57" s="10" t="s">
        <v>209</v>
      </c>
      <c r="B57" s="10" t="s">
        <v>7</v>
      </c>
      <c r="C57" s="9" t="str">
        <f t="shared" si="1"/>
        <v>OK</v>
      </c>
      <c r="D57" s="10" t="str">
        <f t="shared" si="2"/>
        <v>forca_componente</v>
      </c>
      <c r="E57" s="10" t="str">
        <f t="shared" si="3"/>
        <v>c2rm:responsible_for</v>
      </c>
      <c r="F57" s="10" t="str">
        <f t="shared" si="4"/>
        <v>planos_taticos</v>
      </c>
      <c r="G57" s="3" t="str">
        <f t="shared" si="5"/>
        <v>NOK</v>
      </c>
      <c r="I57" s="10" t="str">
        <f t="shared" si="6"/>
        <v>forca_componente-planos_taticos</v>
      </c>
      <c r="J57" s="10"/>
      <c r="K57" s="10"/>
      <c r="L57" s="3" t="e">
        <f>IF(VLOOKUP(I57,GRAFO!L19:L58,1,0)&lt;&gt;"",1,0)</f>
        <v>#N/A</v>
      </c>
      <c r="M57" s="3">
        <f t="shared" si="7"/>
        <v>0</v>
      </c>
      <c r="O57" s="10" t="str">
        <f t="shared" si="8"/>
        <v>forca_componente-c2rm:responsible_for-planos_taticos</v>
      </c>
      <c r="P57" s="10"/>
      <c r="Q57" s="10"/>
      <c r="R57" s="10"/>
      <c r="S57" s="10"/>
      <c r="T57" s="10" t="e">
        <f>IF(INDEX(GRAFO!$M$2:'GRAFO'!$M$41,MATCH(O57,GRAFO!$M$2:'GRAFO'!$M$41,0),1)&lt;&gt;0,1,0)</f>
        <v>#N/A</v>
      </c>
      <c r="U57" s="10">
        <f t="shared" si="9"/>
        <v>0</v>
      </c>
    </row>
    <row r="58" spans="1:21">
      <c r="A58" s="10" t="s">
        <v>214</v>
      </c>
      <c r="B58" s="10" t="s">
        <v>5</v>
      </c>
      <c r="D58" s="10" t="str">
        <f t="shared" si="2"/>
        <v>forca_terrestre</v>
      </c>
      <c r="E58" s="10" t="str">
        <f t="shared" si="3"/>
        <v>rdfs:subClassOf</v>
      </c>
      <c r="F58" s="10" t="str">
        <f t="shared" si="4"/>
        <v>forca_componente</v>
      </c>
      <c r="G58" s="3" t="str">
        <f t="shared" si="5"/>
        <v>OK</v>
      </c>
      <c r="I58" s="10" t="str">
        <f t="shared" si="6"/>
        <v>forca_terrestre-forca_componente</v>
      </c>
      <c r="J58" s="10"/>
      <c r="K58" s="10"/>
      <c r="L58" s="3" t="e">
        <f>IF(VLOOKUP(I58,GRAFO!L20:L59,1,0)&lt;&gt;"",1,0)</f>
        <v>#N/A</v>
      </c>
      <c r="M58" s="3">
        <f t="shared" si="7"/>
        <v>0</v>
      </c>
      <c r="O58" s="10" t="str">
        <f t="shared" si="8"/>
        <v>forca_terrestre-rdfs:subClassOf-forca_componente</v>
      </c>
      <c r="P58" s="10"/>
      <c r="Q58" s="10"/>
      <c r="R58" s="10"/>
      <c r="S58" s="10"/>
      <c r="T58" s="10" t="e">
        <f>IF(INDEX(GRAFO!$M$2:'GRAFO'!$M$41,MATCH(O58,GRAFO!$M$2:'GRAFO'!$M$41,0),1)&lt;&gt;0,1,0)</f>
        <v>#N/A</v>
      </c>
      <c r="U58" s="10">
        <f t="shared" si="9"/>
        <v>0</v>
      </c>
    </row>
    <row r="59" spans="1:21">
      <c r="D59" s="10" t="str">
        <f t="shared" si="2"/>
        <v>forca_naval</v>
      </c>
      <c r="E59" s="10" t="str">
        <f t="shared" si="3"/>
        <v>rdfs:subClassOf</v>
      </c>
      <c r="F59" s="10" t="str">
        <f t="shared" si="4"/>
        <v>forca_componente</v>
      </c>
      <c r="G59" s="3" t="str">
        <f t="shared" si="5"/>
        <v>OK</v>
      </c>
      <c r="I59" s="10" t="str">
        <f t="shared" si="6"/>
        <v>forca_naval-forca_componente</v>
      </c>
      <c r="J59" s="10"/>
      <c r="K59" s="10"/>
      <c r="L59" s="3" t="e">
        <f>IF(VLOOKUP(I59,GRAFO!L21:L60,1,0)&lt;&gt;"",1,0)</f>
        <v>#N/A</v>
      </c>
      <c r="M59" s="3">
        <f t="shared" si="7"/>
        <v>0</v>
      </c>
      <c r="O59" s="10" t="str">
        <f t="shared" si="8"/>
        <v>forca_naval-rdfs:subClassOf-forca_componente</v>
      </c>
      <c r="P59" s="10"/>
      <c r="Q59" s="10"/>
      <c r="R59" s="10"/>
      <c r="S59" s="10"/>
      <c r="T59" s="10" t="e">
        <f>IF(INDEX(GRAFO!$M$2:'GRAFO'!$M$41,MATCH(O59,GRAFO!$M$2:'GRAFO'!$M$41,0),1)&lt;&gt;0,1,0)</f>
        <v>#N/A</v>
      </c>
      <c r="U59" s="10">
        <f t="shared" si="9"/>
        <v>0</v>
      </c>
    </row>
    <row r="60" spans="1:21">
      <c r="D60" s="10" t="str">
        <f t="shared" si="2"/>
        <v>comando_logistico</v>
      </c>
      <c r="E60" s="10" t="str">
        <f t="shared" si="3"/>
        <v>c2rm:responsible_for</v>
      </c>
      <c r="F60" s="10" t="str">
        <f t="shared" si="4"/>
        <v>meios</v>
      </c>
      <c r="G60" s="3" t="str">
        <f t="shared" si="5"/>
        <v>NOK</v>
      </c>
      <c r="I60" s="10" t="str">
        <f t="shared" si="6"/>
        <v>comando_logistico-meios</v>
      </c>
      <c r="J60" s="10"/>
      <c r="K60" s="10"/>
      <c r="L60" s="3" t="e">
        <f>IF(VLOOKUP(I60,GRAFO!L22:L61,1,0)&lt;&gt;"",1,0)</f>
        <v>#N/A</v>
      </c>
      <c r="M60" s="3">
        <f t="shared" si="7"/>
        <v>0</v>
      </c>
      <c r="O60" s="10" t="str">
        <f t="shared" si="8"/>
        <v>comando_logistico-c2rm:responsible_for-meios</v>
      </c>
      <c r="P60" s="10"/>
      <c r="Q60" s="10"/>
      <c r="R60" s="10"/>
      <c r="S60" s="10"/>
      <c r="T60" s="10" t="e">
        <f>IF(INDEX(GRAFO!$M$2:'GRAFO'!$M$41,MATCH(O60,GRAFO!$M$2:'GRAFO'!$M$41,0),1)&lt;&gt;0,1,0)</f>
        <v>#N/A</v>
      </c>
      <c r="U60" s="10">
        <f t="shared" si="9"/>
        <v>0</v>
      </c>
    </row>
    <row r="61" spans="1:21">
      <c r="D61" s="10" t="str">
        <f t="shared" si="2"/>
        <v>forcas_armadas</v>
      </c>
      <c r="E61" s="10" t="str">
        <f t="shared" si="3"/>
        <v>c2rm:responsible_for</v>
      </c>
      <c r="F61" s="10" t="str">
        <f t="shared" si="4"/>
        <v>defesa_da_patria</v>
      </c>
      <c r="G61" s="3" t="str">
        <f t="shared" si="5"/>
        <v>OK</v>
      </c>
      <c r="I61" s="10" t="str">
        <f t="shared" si="6"/>
        <v>forcas_armadas-defesa_da_patria</v>
      </c>
      <c r="J61" s="10"/>
      <c r="K61" s="10"/>
      <c r="L61" s="3" t="e">
        <f>IF(VLOOKUP(I61,GRAFO!L23:L62,1,0)&lt;&gt;"",1,0)</f>
        <v>#N/A</v>
      </c>
      <c r="M61" s="3">
        <f t="shared" si="7"/>
        <v>0</v>
      </c>
      <c r="O61" s="10" t="str">
        <f t="shared" si="8"/>
        <v>forcas_armadas-c2rm:responsible_for-defesa_da_patria</v>
      </c>
      <c r="P61" s="10"/>
      <c r="Q61" s="10"/>
      <c r="R61" s="10"/>
      <c r="S61" s="10"/>
      <c r="T61" s="10" t="e">
        <f>IF(INDEX(GRAFO!$M$2:'GRAFO'!$M$41,MATCH(O61,GRAFO!$M$2:'GRAFO'!$M$41,0),1)&lt;&gt;0,1,0)</f>
        <v>#N/A</v>
      </c>
      <c r="U61" s="10">
        <f t="shared" si="9"/>
        <v>0</v>
      </c>
    </row>
  </sheetData>
  <mergeCells count="11">
    <mergeCell ref="I39:K39"/>
    <mergeCell ref="L39:M39"/>
    <mergeCell ref="O38:U38"/>
    <mergeCell ref="O39:S39"/>
    <mergeCell ref="T39:U39"/>
    <mergeCell ref="K4:K5"/>
    <mergeCell ref="A1:B1"/>
    <mergeCell ref="A38:B38"/>
    <mergeCell ref="D1:F1"/>
    <mergeCell ref="D38:G38"/>
    <mergeCell ref="I38:M38"/>
  </mergeCells>
  <dataValidations count="9">
    <dataValidation type="list" allowBlank="1" showInputMessage="1" showErrorMessage="1" sqref="E29:E36">
      <formula1>$A$40:$A$55</formula1>
    </dataValidation>
    <dataValidation type="list" allowBlank="1" showInputMessage="1" showErrorMessage="1" sqref="D29:D36 F29:F36">
      <formula1>$A$3:$A$36</formula1>
    </dataValidation>
    <dataValidation type="list" allowBlank="1" showInputMessage="1" showErrorMessage="1" sqref="H3:H39 F37:F38 G3:G38 D37">
      <formula1>$A$3:$A$30</formula1>
    </dataValidation>
    <dataValidation type="list" allowBlank="1" showInputMessage="1" showErrorMessage="1" sqref="C3:C29 B3:B37">
      <formula1>$Y$3:$Y$31</formula1>
    </dataValidation>
    <dataValidation type="list" allowBlank="1" showInputMessage="1" showErrorMessage="1" sqref="B40:B43 B45:B58">
      <formula1>$AE$2:$AE$12</formula1>
    </dataValidation>
    <dataValidation type="list" allowBlank="1" showInputMessage="1" showErrorMessage="1" sqref="D26:D28 D3:D24 F26:F28 F3:F23">
      <formula1>$A$3:$A$24</formula1>
    </dataValidation>
    <dataValidation type="list" allowBlank="1" showInputMessage="1" showErrorMessage="1" sqref="E5:E11 E21:E22">
      <formula1>$A$40:$A$57</formula1>
    </dataValidation>
    <dataValidation type="list" allowBlank="1" showInputMessage="1" showErrorMessage="1" sqref="E3:E4 E12:E20 E23:E28">
      <formula1>$A$40:$A$58</formula1>
    </dataValidation>
    <dataValidation type="list" allowBlank="1" showInputMessage="1" showErrorMessage="1" sqref="D25 F24:F25">
      <formula1>$A$3:$A$25</formula1>
    </dataValidation>
  </dataValidation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E60"/>
  <sheetViews>
    <sheetView topLeftCell="M1" zoomScaleNormal="100" workbookViewId="0">
      <selection activeCell="X4" sqref="X4:X7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9" t="s">
        <v>184</v>
      </c>
      <c r="AD2" s="9" t="s">
        <v>195</v>
      </c>
      <c r="AE2" s="9" t="s">
        <v>35</v>
      </c>
    </row>
    <row r="3" spans="1:31">
      <c r="A3" s="10" t="s">
        <v>232</v>
      </c>
      <c r="B3" s="10" t="s">
        <v>9</v>
      </c>
      <c r="D3" s="10" t="s">
        <v>8</v>
      </c>
      <c r="E3" s="10" t="s">
        <v>101</v>
      </c>
      <c r="F3" s="10" t="s">
        <v>232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t="s">
        <v>33</v>
      </c>
      <c r="AC3" s="9" t="s">
        <v>185</v>
      </c>
      <c r="AD3" s="9" t="s">
        <v>196</v>
      </c>
      <c r="AE3" s="9" t="s">
        <v>4</v>
      </c>
    </row>
    <row r="4" spans="1:31">
      <c r="A4" s="10" t="s">
        <v>8</v>
      </c>
      <c r="B4" s="10" t="s">
        <v>8</v>
      </c>
      <c r="D4" s="10" t="s">
        <v>10</v>
      </c>
      <c r="E4" s="10" t="s">
        <v>101</v>
      </c>
      <c r="F4" s="10" t="s">
        <v>232</v>
      </c>
      <c r="K4" s="85" t="s">
        <v>80</v>
      </c>
      <c r="L4" s="8" t="s">
        <v>0</v>
      </c>
      <c r="M4" s="4">
        <f>GRAFO!J2</f>
        <v>29</v>
      </c>
      <c r="N4" s="11">
        <f>COUNTA(A3:A23)</f>
        <v>21</v>
      </c>
      <c r="O4" s="11">
        <f>COUNTIF(B3:B23,"&lt;&gt;"&amp;"")</f>
        <v>14</v>
      </c>
      <c r="P4" s="2">
        <f>N4-R4</f>
        <v>14</v>
      </c>
      <c r="Q4" s="2">
        <f>M4-O4</f>
        <v>15</v>
      </c>
      <c r="R4" s="2">
        <f>N4-O4</f>
        <v>7</v>
      </c>
      <c r="S4" s="2">
        <f>O4+P4</f>
        <v>28</v>
      </c>
      <c r="T4" s="2">
        <f>Q4+R4</f>
        <v>22</v>
      </c>
      <c r="U4" s="6">
        <f>O4/(O4+R4)</f>
        <v>0.66666666666666663</v>
      </c>
      <c r="V4" s="6">
        <f>O4/(O4+Q4)</f>
        <v>0.48275862068965519</v>
      </c>
      <c r="W4" s="6">
        <f>(O4+P4)/(O4+P4+Q4+R4)</f>
        <v>0.56000000000000005</v>
      </c>
      <c r="X4" s="62">
        <f>AVERAGE(U4:W4)</f>
        <v>0.56980842911877394</v>
      </c>
      <c r="Y4" t="s">
        <v>21</v>
      </c>
      <c r="AC4" s="9" t="s">
        <v>186</v>
      </c>
      <c r="AD4" s="9" t="s">
        <v>197</v>
      </c>
      <c r="AE4" s="9" t="s">
        <v>205</v>
      </c>
    </row>
    <row r="5" spans="1:31">
      <c r="A5" s="10" t="s">
        <v>10</v>
      </c>
      <c r="B5" s="10" t="s">
        <v>10</v>
      </c>
      <c r="D5" s="10" t="s">
        <v>12</v>
      </c>
      <c r="E5" s="10" t="s">
        <v>101</v>
      </c>
      <c r="F5" s="10" t="s">
        <v>232</v>
      </c>
      <c r="K5" s="85"/>
      <c r="L5" s="8" t="s">
        <v>100</v>
      </c>
      <c r="M5" s="5">
        <f>GRAFO!J3</f>
        <v>41</v>
      </c>
      <c r="N5" s="12">
        <f>COUNTA(D37:D60)</f>
        <v>24</v>
      </c>
      <c r="O5" s="12">
        <f>COUNTIF(M37:M60,"=1")</f>
        <v>7</v>
      </c>
      <c r="P5" s="2">
        <f>N5-R5</f>
        <v>7</v>
      </c>
      <c r="Q5" s="2">
        <f>M5-O5</f>
        <v>34</v>
      </c>
      <c r="R5" s="2">
        <f>N5-O5</f>
        <v>17</v>
      </c>
      <c r="S5" s="2">
        <f>O5+P5</f>
        <v>14</v>
      </c>
      <c r="T5" s="2">
        <f>Q5+R5</f>
        <v>51</v>
      </c>
      <c r="U5" s="6">
        <f>O5/(O5+R5)</f>
        <v>0.29166666666666669</v>
      </c>
      <c r="V5" s="6">
        <f>O5/(O5+Q5)</f>
        <v>0.17073170731707318</v>
      </c>
      <c r="W5" s="6">
        <f>(O5+P5)/(O5+P5+Q5+R5)</f>
        <v>0.2153846153846154</v>
      </c>
      <c r="X5" s="62">
        <f t="shared" ref="X5:X6" si="0">AVERAGE(U5:W5)</f>
        <v>0.22592766312278509</v>
      </c>
      <c r="Y5" t="s">
        <v>17</v>
      </c>
      <c r="AC5" s="9" t="s">
        <v>187</v>
      </c>
      <c r="AD5" s="9" t="s">
        <v>198</v>
      </c>
      <c r="AE5" s="9" t="s">
        <v>3</v>
      </c>
    </row>
    <row r="6" spans="1:31">
      <c r="A6" s="10" t="s">
        <v>12</v>
      </c>
      <c r="B6" s="10" t="s">
        <v>12</v>
      </c>
      <c r="D6" s="10" t="s">
        <v>11</v>
      </c>
      <c r="E6" s="10" t="s">
        <v>101</v>
      </c>
      <c r="F6" s="10" t="s">
        <v>232</v>
      </c>
      <c r="L6" s="8" t="s">
        <v>99</v>
      </c>
      <c r="M6" s="5">
        <v>41</v>
      </c>
      <c r="N6" s="12">
        <f>COUNTA(D37:D60)</f>
        <v>24</v>
      </c>
      <c r="O6" s="12">
        <f>COUNTIF(U37:U60,"=1")</f>
        <v>11</v>
      </c>
      <c r="P6" s="2">
        <f>N6-R6</f>
        <v>11</v>
      </c>
      <c r="Q6" s="2">
        <f>M6-O6</f>
        <v>30</v>
      </c>
      <c r="R6" s="2">
        <f>N6-O6</f>
        <v>13</v>
      </c>
      <c r="S6" s="2">
        <f>O6+P6</f>
        <v>22</v>
      </c>
      <c r="T6" s="2">
        <f>Q6+R6</f>
        <v>43</v>
      </c>
      <c r="U6" s="6">
        <f>O6/(O6+R6)</f>
        <v>0.45833333333333331</v>
      </c>
      <c r="V6" s="6">
        <f>O6/(O6+Q6)</f>
        <v>0.26829268292682928</v>
      </c>
      <c r="W6" s="6">
        <f>(O6+P6)/(O6+P6+Q6+R6)</f>
        <v>0.33846153846153848</v>
      </c>
      <c r="X6" s="62">
        <f t="shared" si="0"/>
        <v>0.35502918490723373</v>
      </c>
      <c r="Y6" t="s">
        <v>40</v>
      </c>
      <c r="AC6" s="9" t="s">
        <v>188</v>
      </c>
      <c r="AD6" s="9" t="s">
        <v>199</v>
      </c>
      <c r="AE6" s="9" t="s">
        <v>6</v>
      </c>
    </row>
    <row r="7" spans="1:31">
      <c r="A7" s="10" t="s">
        <v>11</v>
      </c>
      <c r="B7" s="10" t="s">
        <v>11</v>
      </c>
      <c r="D7" s="10" t="s">
        <v>233</v>
      </c>
      <c r="E7" s="10" t="s">
        <v>141</v>
      </c>
      <c r="F7" s="10" t="s">
        <v>234</v>
      </c>
      <c r="X7" s="62">
        <f>AVERAGE(X4:X6)</f>
        <v>0.38358842571626428</v>
      </c>
      <c r="Y7" t="s">
        <v>13</v>
      </c>
      <c r="AC7" s="9" t="s">
        <v>189</v>
      </c>
      <c r="AD7" s="9" t="s">
        <v>200</v>
      </c>
      <c r="AE7" s="9" t="s">
        <v>206</v>
      </c>
    </row>
    <row r="8" spans="1:31">
      <c r="A8" s="10" t="s">
        <v>233</v>
      </c>
      <c r="B8" s="10" t="s">
        <v>40</v>
      </c>
      <c r="D8" s="10" t="s">
        <v>233</v>
      </c>
      <c r="E8" s="10" t="s">
        <v>104</v>
      </c>
      <c r="F8" s="10" t="s">
        <v>8</v>
      </c>
      <c r="Y8" t="s">
        <v>39</v>
      </c>
      <c r="AC8" s="9" t="s">
        <v>190</v>
      </c>
      <c r="AD8" s="9" t="s">
        <v>148</v>
      </c>
      <c r="AE8" s="9" t="s">
        <v>36</v>
      </c>
    </row>
    <row r="9" spans="1:31">
      <c r="A9" s="10" t="s">
        <v>53</v>
      </c>
      <c r="B9" s="10"/>
      <c r="D9" s="10" t="s">
        <v>53</v>
      </c>
      <c r="E9" s="10" t="s">
        <v>240</v>
      </c>
      <c r="F9" s="10" t="s">
        <v>10</v>
      </c>
      <c r="K9" t="s">
        <v>74</v>
      </c>
      <c r="L9" t="s">
        <v>75</v>
      </c>
      <c r="N9">
        <f>GRAFO!J2</f>
        <v>29</v>
      </c>
      <c r="Y9" t="s">
        <v>19</v>
      </c>
      <c r="AC9" s="9" t="s">
        <v>191</v>
      </c>
      <c r="AD9" s="9" t="s">
        <v>201</v>
      </c>
      <c r="AE9" s="9" t="s">
        <v>7</v>
      </c>
    </row>
    <row r="10" spans="1:31">
      <c r="A10" s="10" t="s">
        <v>234</v>
      </c>
      <c r="B10" s="10" t="s">
        <v>18</v>
      </c>
      <c r="D10" s="10" t="s">
        <v>53</v>
      </c>
      <c r="E10" s="10" t="s">
        <v>142</v>
      </c>
      <c r="F10" s="10" t="s">
        <v>235</v>
      </c>
      <c r="K10" t="s">
        <v>80</v>
      </c>
      <c r="L10" t="s">
        <v>76</v>
      </c>
      <c r="N10">
        <f>N4</f>
        <v>21</v>
      </c>
      <c r="Y10" t="s">
        <v>37</v>
      </c>
      <c r="AC10" s="9" t="s">
        <v>192</v>
      </c>
      <c r="AD10" s="9" t="s">
        <v>202</v>
      </c>
      <c r="AE10" s="9" t="s">
        <v>207</v>
      </c>
    </row>
    <row r="11" spans="1:31">
      <c r="A11" s="10" t="s">
        <v>235</v>
      </c>
      <c r="B11" s="10"/>
      <c r="D11" s="10" t="s">
        <v>53</v>
      </c>
      <c r="E11" s="10" t="s">
        <v>142</v>
      </c>
      <c r="F11" s="10" t="s">
        <v>236</v>
      </c>
      <c r="K11" t="s">
        <v>68</v>
      </c>
      <c r="L11" t="s">
        <v>77</v>
      </c>
      <c r="N11">
        <v>16</v>
      </c>
      <c r="Y11" t="s">
        <v>10</v>
      </c>
      <c r="AC11" s="9" t="s">
        <v>193</v>
      </c>
      <c r="AD11" s="9" t="s">
        <v>203</v>
      </c>
      <c r="AE11" s="9" t="s">
        <v>208</v>
      </c>
    </row>
    <row r="12" spans="1:31">
      <c r="A12" s="10" t="s">
        <v>236</v>
      </c>
      <c r="B12" s="10"/>
      <c r="D12" s="10" t="s">
        <v>54</v>
      </c>
      <c r="E12" s="10" t="s">
        <v>241</v>
      </c>
      <c r="F12" s="10" t="s">
        <v>53</v>
      </c>
      <c r="K12" t="s">
        <v>70</v>
      </c>
      <c r="L12" t="s">
        <v>78</v>
      </c>
      <c r="M12" t="s">
        <v>86</v>
      </c>
      <c r="N12">
        <f>N9-N11</f>
        <v>13</v>
      </c>
      <c r="Y12" t="s">
        <v>14</v>
      </c>
      <c r="AC12" s="9" t="s">
        <v>194</v>
      </c>
      <c r="AD12" s="9" t="s">
        <v>204</v>
      </c>
      <c r="AE12" s="9" t="s">
        <v>5</v>
      </c>
    </row>
    <row r="13" spans="1:31">
      <c r="A13" s="10" t="s">
        <v>66</v>
      </c>
      <c r="B13" s="10" t="s">
        <v>22</v>
      </c>
      <c r="D13" s="10" t="s">
        <v>64</v>
      </c>
      <c r="E13" s="10" t="s">
        <v>247</v>
      </c>
      <c r="F13" s="10" t="s">
        <v>237</v>
      </c>
      <c r="K13" t="s">
        <v>69</v>
      </c>
      <c r="L13" t="s">
        <v>79</v>
      </c>
      <c r="M13" t="s">
        <v>87</v>
      </c>
      <c r="Y13" t="s">
        <v>34</v>
      </c>
    </row>
    <row r="14" spans="1:31">
      <c r="A14" s="10" t="s">
        <v>237</v>
      </c>
      <c r="B14" s="10"/>
      <c r="D14" s="10" t="s">
        <v>64</v>
      </c>
      <c r="E14" s="10" t="s">
        <v>247</v>
      </c>
      <c r="F14" s="10" t="s">
        <v>11</v>
      </c>
      <c r="K14" t="s">
        <v>83</v>
      </c>
      <c r="M14" t="s">
        <v>88</v>
      </c>
      <c r="Y14" t="s">
        <v>27</v>
      </c>
    </row>
    <row r="15" spans="1:31">
      <c r="A15" s="10" t="s">
        <v>59</v>
      </c>
      <c r="B15" s="10"/>
      <c r="D15" s="10" t="s">
        <v>62</v>
      </c>
      <c r="E15" s="10" t="s">
        <v>244</v>
      </c>
      <c r="F15" s="10" t="s">
        <v>239</v>
      </c>
      <c r="K15" t="s">
        <v>89</v>
      </c>
      <c r="M15" t="s">
        <v>92</v>
      </c>
      <c r="Y15" t="s">
        <v>28</v>
      </c>
    </row>
    <row r="16" spans="1:31">
      <c r="A16" s="10" t="s">
        <v>54</v>
      </c>
      <c r="B16" s="10" t="s">
        <v>31</v>
      </c>
      <c r="D16" s="10" t="s">
        <v>56</v>
      </c>
      <c r="E16" s="10" t="s">
        <v>101</v>
      </c>
      <c r="F16" s="10" t="s">
        <v>54</v>
      </c>
      <c r="K16" t="s">
        <v>90</v>
      </c>
      <c r="M16" t="s">
        <v>93</v>
      </c>
      <c r="Y16" t="s">
        <v>30</v>
      </c>
    </row>
    <row r="17" spans="1:25">
      <c r="A17" s="10" t="s">
        <v>238</v>
      </c>
      <c r="B17" s="10" t="s">
        <v>13</v>
      </c>
      <c r="D17" s="10" t="s">
        <v>55</v>
      </c>
      <c r="E17" s="10" t="s">
        <v>101</v>
      </c>
      <c r="F17" s="10" t="s">
        <v>54</v>
      </c>
      <c r="K17" t="s">
        <v>91</v>
      </c>
      <c r="M17" t="s">
        <v>94</v>
      </c>
      <c r="Y17" t="s">
        <v>29</v>
      </c>
    </row>
    <row r="18" spans="1:25">
      <c r="A18" s="10" t="s">
        <v>239</v>
      </c>
      <c r="B18" s="10"/>
      <c r="D18" s="10" t="s">
        <v>57</v>
      </c>
      <c r="E18" s="10" t="s">
        <v>101</v>
      </c>
      <c r="F18" s="10" t="s">
        <v>54</v>
      </c>
      <c r="K18" t="s">
        <v>84</v>
      </c>
      <c r="M18" t="s">
        <v>95</v>
      </c>
      <c r="Y18" t="s">
        <v>31</v>
      </c>
    </row>
    <row r="19" spans="1:25">
      <c r="A19" s="10" t="s">
        <v>56</v>
      </c>
      <c r="B19" s="10" t="s">
        <v>34</v>
      </c>
      <c r="D19" s="10" t="s">
        <v>54</v>
      </c>
      <c r="E19" s="10" t="s">
        <v>245</v>
      </c>
      <c r="F19" s="10" t="s">
        <v>64</v>
      </c>
      <c r="K19" t="s">
        <v>85</v>
      </c>
      <c r="M19" t="s">
        <v>96</v>
      </c>
      <c r="Y19" t="s">
        <v>25</v>
      </c>
    </row>
    <row r="20" spans="1:25">
      <c r="A20" s="10" t="s">
        <v>55</v>
      </c>
      <c r="B20" s="10" t="s">
        <v>32</v>
      </c>
      <c r="D20" s="10" t="s">
        <v>54</v>
      </c>
      <c r="E20" s="10" t="s">
        <v>246</v>
      </c>
      <c r="F20" s="10" t="s">
        <v>66</v>
      </c>
      <c r="K20" t="s">
        <v>97</v>
      </c>
      <c r="M20" t="s">
        <v>98</v>
      </c>
      <c r="Y20" t="s">
        <v>15</v>
      </c>
    </row>
    <row r="21" spans="1:25">
      <c r="A21" s="10" t="s">
        <v>57</v>
      </c>
      <c r="B21" s="10" t="s">
        <v>33</v>
      </c>
      <c r="D21" s="10" t="s">
        <v>59</v>
      </c>
      <c r="E21" s="10" t="s">
        <v>242</v>
      </c>
      <c r="F21" s="10" t="s">
        <v>66</v>
      </c>
      <c r="Y21" t="s">
        <v>16</v>
      </c>
    </row>
    <row r="22" spans="1:25">
      <c r="A22" s="10" t="s">
        <v>62</v>
      </c>
      <c r="B22" s="10"/>
      <c r="D22" s="10" t="s">
        <v>59</v>
      </c>
      <c r="E22" s="10" t="s">
        <v>243</v>
      </c>
      <c r="F22" s="10" t="s">
        <v>238</v>
      </c>
      <c r="Y22" t="s">
        <v>32</v>
      </c>
    </row>
    <row r="23" spans="1:25">
      <c r="A23" s="10" t="s">
        <v>64</v>
      </c>
      <c r="B23" s="10" t="s">
        <v>28</v>
      </c>
      <c r="D23" s="10" t="s">
        <v>238</v>
      </c>
      <c r="E23" s="10" t="s">
        <v>215</v>
      </c>
      <c r="F23" s="10" t="s">
        <v>239</v>
      </c>
      <c r="Y23" t="s">
        <v>9</v>
      </c>
    </row>
    <row r="24" spans="1:25">
      <c r="D24" s="10" t="s">
        <v>66</v>
      </c>
      <c r="E24" s="10" t="s">
        <v>248</v>
      </c>
      <c r="F24" s="10" t="s">
        <v>232</v>
      </c>
      <c r="Y24" t="s">
        <v>18</v>
      </c>
    </row>
    <row r="25" spans="1:25">
      <c r="D25" s="10" t="s">
        <v>64</v>
      </c>
      <c r="E25" s="10" t="s">
        <v>215</v>
      </c>
      <c r="F25" s="10" t="s">
        <v>66</v>
      </c>
      <c r="Y25" t="s">
        <v>23</v>
      </c>
    </row>
    <row r="26" spans="1:25">
      <c r="D26" s="10" t="s">
        <v>238</v>
      </c>
      <c r="E26" s="10" t="s">
        <v>109</v>
      </c>
      <c r="F26" s="10" t="s">
        <v>12</v>
      </c>
      <c r="Y26" t="s">
        <v>22</v>
      </c>
    </row>
    <row r="27" spans="1:25">
      <c r="D27" s="10"/>
      <c r="E27" s="10"/>
      <c r="F27" s="10"/>
      <c r="Y27" t="s">
        <v>12</v>
      </c>
    </row>
    <row r="28" spans="1:25">
      <c r="D28" s="10"/>
      <c r="E28" s="10"/>
      <c r="F28" s="10"/>
      <c r="Y28" t="s">
        <v>24</v>
      </c>
    </row>
    <row r="29" spans="1:25">
      <c r="D29" s="10"/>
      <c r="E29" s="10"/>
      <c r="F29" s="10"/>
      <c r="Y29" t="s">
        <v>8</v>
      </c>
    </row>
    <row r="30" spans="1:25">
      <c r="D30" s="10"/>
      <c r="E30" s="10"/>
      <c r="F30" s="10"/>
      <c r="Y30" t="s">
        <v>20</v>
      </c>
    </row>
    <row r="31" spans="1:25">
      <c r="D31" s="10"/>
      <c r="E31" s="10"/>
      <c r="F31" s="10"/>
      <c r="Y31" t="s">
        <v>11</v>
      </c>
    </row>
    <row r="35" spans="1:21">
      <c r="A35" s="88" t="s">
        <v>182</v>
      </c>
      <c r="B35" s="88"/>
      <c r="D35" s="104" t="s">
        <v>222</v>
      </c>
      <c r="E35" s="105"/>
      <c r="F35" s="105"/>
      <c r="G35" s="106"/>
      <c r="I35" s="98" t="s">
        <v>224</v>
      </c>
      <c r="J35" s="99"/>
      <c r="K35" s="99"/>
      <c r="L35" s="99"/>
      <c r="M35" s="100"/>
      <c r="O35" s="94" t="s">
        <v>229</v>
      </c>
      <c r="P35" s="94"/>
      <c r="Q35" s="94"/>
      <c r="R35" s="94"/>
      <c r="S35" s="94"/>
      <c r="T35" s="94"/>
      <c r="U35" s="94"/>
    </row>
    <row r="36" spans="1:21">
      <c r="A36" s="32" t="s">
        <v>251</v>
      </c>
      <c r="B36" s="33" t="s">
        <v>252</v>
      </c>
      <c r="D36" s="34" t="s">
        <v>220</v>
      </c>
      <c r="E36" s="34" t="s">
        <v>219</v>
      </c>
      <c r="F36" s="34" t="s">
        <v>221</v>
      </c>
      <c r="G36" s="34" t="s">
        <v>223</v>
      </c>
      <c r="I36" s="101" t="s">
        <v>225</v>
      </c>
      <c r="J36" s="102"/>
      <c r="K36" s="103"/>
      <c r="L36" s="101" t="s">
        <v>226</v>
      </c>
      <c r="M36" s="103"/>
      <c r="O36" s="95" t="s">
        <v>227</v>
      </c>
      <c r="P36" s="96"/>
      <c r="Q36" s="96"/>
      <c r="R36" s="96"/>
      <c r="S36" s="97"/>
      <c r="T36" s="95" t="s">
        <v>228</v>
      </c>
      <c r="U36" s="97"/>
    </row>
    <row r="37" spans="1:21">
      <c r="A37" s="46" t="s">
        <v>101</v>
      </c>
      <c r="B37" s="10" t="s">
        <v>3</v>
      </c>
      <c r="D37" s="10" t="str">
        <f>IF(INDEX($A$3:$B$23,MATCH(D3,$A$3:$A$23,0),2)&lt;&gt;0,INDEX($A$3:$B$23,MATCH(D3,$A$3:$A$23,0),2),D3)</f>
        <v>politico</v>
      </c>
      <c r="E37" s="10" t="str">
        <f>IF(INDEX($A$37:$B$50,MATCH(E3,$A$37:$A$50,0),2)&lt;&gt;0,INDEX($A$37:$B$50,MATCH(E3,$A$37:$A$50,0),2),E3)</f>
        <v>rdfs:subClassOf</v>
      </c>
      <c r="F37" s="10" t="str">
        <f>IF(INDEX($A$3:$B$23,MATCH(F3,$A$3:$A$23,0),2)&lt;&gt;0,INDEX($A$3:$B$23,MATCH(F3,$A$3:$A$23,0),2),F3)</f>
        <v>nivel</v>
      </c>
      <c r="G37" s="3" t="str">
        <f>IF(INDEX($A$3:$B$23,MATCH(F3,$A$3:$A$23,0),2)&lt;&gt;0,"OK","NOK")</f>
        <v>OK</v>
      </c>
      <c r="H37">
        <f>COUNTIFS(GRAFO!C2:C42,"=D34",GRAFO!E2:E42,"=F34")</f>
        <v>0</v>
      </c>
      <c r="I37" s="10" t="str">
        <f>D37 &amp;"-"&amp;F37</f>
        <v>politico-nivel</v>
      </c>
      <c r="J37" s="10"/>
      <c r="K37" s="10"/>
      <c r="L37" s="3">
        <f>IF(INDEX(GRAFO!$L$2:'GRAFO'!$L$41,MATCH(I37,GRAFO!$L$2:'GRAFO'!$L$41,0),1)&lt;&gt;0,1,0)</f>
        <v>1</v>
      </c>
      <c r="M37" s="3">
        <f>IFERROR(L37,0)</f>
        <v>1</v>
      </c>
      <c r="O37" s="10" t="str">
        <f>D37 &amp; "-" &amp; E37 &amp; "-" &amp; F37</f>
        <v>politico-rdfs:subClassOf-nivel</v>
      </c>
      <c r="P37" s="10"/>
      <c r="Q37" s="10"/>
      <c r="R37" s="10"/>
      <c r="S37" s="10"/>
      <c r="T37" s="10">
        <f>IF(INDEX(GRAFO!$M$2:'GRAFO'!$M$41,MATCH(O37,GRAFO!$M$2:'GRAFO'!$M$41,0),1)&lt;&gt;0,1,0)</f>
        <v>1</v>
      </c>
      <c r="U37" s="10">
        <f>IFERROR(T37,0)</f>
        <v>1</v>
      </c>
    </row>
    <row r="38" spans="1:21">
      <c r="A38" s="46" t="s">
        <v>215</v>
      </c>
      <c r="B38" s="10" t="s">
        <v>7</v>
      </c>
      <c r="D38" s="10" t="str">
        <f t="shared" ref="D38:D60" si="1">IF(INDEX($A$3:$B$23,MATCH(D4,$A$3:$A$23,0),2)&lt;&gt;0,INDEX($A$3:$B$23,MATCH(D4,$A$3:$A$23,0),2),D4)</f>
        <v>estrategico</v>
      </c>
      <c r="E38" s="10" t="str">
        <f t="shared" ref="E38:E60" si="2">IF(INDEX($A$37:$B$50,MATCH(E4,$A$37:$A$50,0),2)&lt;&gt;0,INDEX($A$37:$B$50,MATCH(E4,$A$37:$A$50,0),2),E4)</f>
        <v>rdfs:subClassOf</v>
      </c>
      <c r="F38" s="10" t="str">
        <f t="shared" ref="F38:F60" si="3">IF(INDEX($A$3:$B$23,MATCH(F4,$A$3:$A$23,0),2)&lt;&gt;0,INDEX($A$3:$B$23,MATCH(F4,$A$3:$A$23,0),2),F4)</f>
        <v>nivel</v>
      </c>
      <c r="G38" s="3" t="str">
        <f t="shared" ref="G38:G60" si="4">IF(INDEX($A$3:$B$23,MATCH(F4,$A$3:$A$23,0),2)&lt;&gt;0,"OK","NOK")</f>
        <v>OK</v>
      </c>
      <c r="I38" s="10" t="str">
        <f t="shared" ref="I38:I58" si="5">D38 &amp;"-"&amp;F38</f>
        <v>estrategico-nivel</v>
      </c>
      <c r="J38" s="10"/>
      <c r="K38" s="10"/>
      <c r="L38" s="3">
        <f>IF(VLOOKUP(I38,GRAFO!L3:L42,1,0)&lt;&gt;"",1,0)</f>
        <v>1</v>
      </c>
      <c r="M38" s="3">
        <f t="shared" ref="M38:M58" si="6">IFERROR(L38,0)</f>
        <v>1</v>
      </c>
      <c r="O38" s="10" t="str">
        <f t="shared" ref="O38:O58" si="7">D38 &amp; "-" &amp; E38 &amp; "-" &amp; F38</f>
        <v>estrategico-rdfs:subClassOf-nivel</v>
      </c>
      <c r="P38" s="10"/>
      <c r="Q38" s="10"/>
      <c r="R38" s="10"/>
      <c r="S38" s="10"/>
      <c r="T38" s="10">
        <f>IF(INDEX(GRAFO!$M$2:'GRAFO'!$M$41,MATCH(O38,GRAFO!$M$2:'GRAFO'!$M$41,0),1)&lt;&gt;0,1,0)</f>
        <v>1</v>
      </c>
      <c r="U38" s="10">
        <f t="shared" ref="U38:U58" si="8">IFERROR(T38,0)</f>
        <v>1</v>
      </c>
    </row>
    <row r="39" spans="1:21">
      <c r="A39" s="46" t="s">
        <v>104</v>
      </c>
      <c r="B39" s="10" t="s">
        <v>7</v>
      </c>
      <c r="C39" s="24"/>
      <c r="D39" s="10" t="str">
        <f t="shared" si="1"/>
        <v>operacional</v>
      </c>
      <c r="E39" s="10" t="str">
        <f t="shared" si="2"/>
        <v>rdfs:subClassOf</v>
      </c>
      <c r="F39" s="10" t="str">
        <f t="shared" si="3"/>
        <v>nivel</v>
      </c>
      <c r="G39" s="3" t="str">
        <f t="shared" si="4"/>
        <v>OK</v>
      </c>
      <c r="I39" s="10" t="str">
        <f t="shared" si="5"/>
        <v>operacional-nivel</v>
      </c>
      <c r="J39" s="10"/>
      <c r="K39" s="10"/>
      <c r="L39" s="3">
        <f>IF(VLOOKUP(I39,GRAFO!L4:L43,1,0)&lt;&gt;"",1,0)</f>
        <v>1</v>
      </c>
      <c r="M39" s="3">
        <f t="shared" si="6"/>
        <v>1</v>
      </c>
      <c r="O39" s="10" t="str">
        <f t="shared" si="7"/>
        <v>operacional-rdfs:subClassOf-nivel</v>
      </c>
      <c r="P39" s="10"/>
      <c r="Q39" s="10"/>
      <c r="R39" s="10"/>
      <c r="S39" s="10"/>
      <c r="T39" s="10">
        <f>IF(INDEX(GRAFO!$M$2:'GRAFO'!$M$41,MATCH(O39,GRAFO!$M$2:'GRAFO'!$M$41,0),1)&lt;&gt;0,1,0)</f>
        <v>1</v>
      </c>
      <c r="U39" s="10">
        <f t="shared" si="8"/>
        <v>1</v>
      </c>
    </row>
    <row r="40" spans="1:21">
      <c r="A40" s="46" t="s">
        <v>141</v>
      </c>
      <c r="B40" s="10" t="s">
        <v>7</v>
      </c>
      <c r="C40" s="9" t="str">
        <f t="shared" ref="C40:C50" si="9">IF(INDEX($A$3:$B$22,MATCH(D3,$A$3:$A$22,0),2)&lt;&gt;0,"OK","NOK")</f>
        <v>OK</v>
      </c>
      <c r="D40" s="10" t="str">
        <f t="shared" si="1"/>
        <v>tatico</v>
      </c>
      <c r="E40" s="10" t="str">
        <f t="shared" si="2"/>
        <v>rdfs:subClassOf</v>
      </c>
      <c r="F40" s="10" t="str">
        <f t="shared" si="3"/>
        <v>nivel</v>
      </c>
      <c r="G40" s="3" t="str">
        <f t="shared" si="4"/>
        <v>OK</v>
      </c>
      <c r="I40" s="10" t="str">
        <f t="shared" si="5"/>
        <v>tatico-nivel</v>
      </c>
      <c r="J40" s="10"/>
      <c r="K40" s="10"/>
      <c r="L40" s="3">
        <f>IF(VLOOKUP(I40,GRAFO!L5:L44,1,0)&lt;&gt;"",1,0)</f>
        <v>1</v>
      </c>
      <c r="M40" s="3">
        <f t="shared" si="6"/>
        <v>1</v>
      </c>
      <c r="O40" s="10" t="str">
        <f t="shared" si="7"/>
        <v>tatico-rdfs:subClassOf-nivel</v>
      </c>
      <c r="P40" s="10"/>
      <c r="Q40" s="10"/>
      <c r="R40" s="10"/>
      <c r="S40" s="10"/>
      <c r="T40" s="10">
        <f>IF(INDEX(GRAFO!$M$2:'GRAFO'!$M$41,MATCH(O40,GRAFO!$M$2:'GRAFO'!$M$41,0),1)&lt;&gt;0,1,0)</f>
        <v>1</v>
      </c>
      <c r="U40" s="10">
        <f t="shared" si="8"/>
        <v>1</v>
      </c>
    </row>
    <row r="41" spans="1:21">
      <c r="A41" s="46" t="s">
        <v>142</v>
      </c>
      <c r="B41" s="10" t="s">
        <v>5</v>
      </c>
      <c r="C41" s="9" t="str">
        <f t="shared" si="9"/>
        <v>OK</v>
      </c>
      <c r="D41" s="10" t="str">
        <f t="shared" si="1"/>
        <v>comando_supremo</v>
      </c>
      <c r="E41" s="10" t="str">
        <f t="shared" si="2"/>
        <v>c2rm:responsible_for</v>
      </c>
      <c r="F41" s="10" t="str">
        <f t="shared" si="3"/>
        <v>objetivos_politicos</v>
      </c>
      <c r="G41" s="3" t="str">
        <f t="shared" si="4"/>
        <v>OK</v>
      </c>
      <c r="I41" s="10" t="str">
        <f t="shared" si="5"/>
        <v>comando_supremo-objetivos_politicos</v>
      </c>
      <c r="J41" s="10"/>
      <c r="K41" s="10"/>
      <c r="L41" s="3" t="e">
        <f>IF(VLOOKUP(I41,GRAFO!L6:L45,1,0)&lt;&gt;"",1,0)</f>
        <v>#N/A</v>
      </c>
      <c r="M41" s="3">
        <f t="shared" si="6"/>
        <v>0</v>
      </c>
      <c r="O41" s="10" t="str">
        <f t="shared" si="7"/>
        <v>comando_supremo-c2rm:responsible_for-objetivos_politicos</v>
      </c>
      <c r="P41" s="10"/>
      <c r="Q41" s="10"/>
      <c r="R41" s="10"/>
      <c r="S41" s="10"/>
      <c r="T41" s="10" t="e">
        <f>IF(INDEX(GRAFO!$M$2:'GRAFO'!$M$41,MATCH(O41,GRAFO!$M$2:'GRAFO'!$M$41,0),1)&lt;&gt;0,1,0)</f>
        <v>#N/A</v>
      </c>
      <c r="U41" s="10">
        <f t="shared" si="8"/>
        <v>0</v>
      </c>
    </row>
    <row r="42" spans="1:21">
      <c r="A42" s="46" t="s">
        <v>241</v>
      </c>
      <c r="B42" s="10" t="s">
        <v>4</v>
      </c>
      <c r="C42" s="9" t="str">
        <f t="shared" si="9"/>
        <v>OK</v>
      </c>
      <c r="D42" s="10" t="str">
        <f t="shared" si="1"/>
        <v>comando_supremo</v>
      </c>
      <c r="E42" s="10" t="str">
        <f t="shared" si="2"/>
        <v>c2rm:responsible_for</v>
      </c>
      <c r="F42" s="10" t="str">
        <f t="shared" si="3"/>
        <v>politico</v>
      </c>
      <c r="G42" s="3" t="str">
        <f t="shared" si="4"/>
        <v>OK</v>
      </c>
      <c r="I42" s="10" t="str">
        <f t="shared" si="5"/>
        <v>comando_supremo-politico</v>
      </c>
      <c r="J42" s="10"/>
      <c r="K42" s="10"/>
      <c r="L42" s="3" t="e">
        <f>IF(VLOOKUP(I42,GRAFO!L7:L46,1,0)&lt;&gt;"",1,0)</f>
        <v>#N/A</v>
      </c>
      <c r="M42" s="3">
        <f t="shared" si="6"/>
        <v>0</v>
      </c>
      <c r="O42" s="10" t="str">
        <f t="shared" si="7"/>
        <v>comando_supremo-c2rm:responsible_for-politico</v>
      </c>
      <c r="P42" s="10"/>
      <c r="Q42" s="10"/>
      <c r="R42" s="10"/>
      <c r="S42" s="10"/>
      <c r="T42" s="10" t="e">
        <f>IF(INDEX(GRAFO!$M$2:'GRAFO'!$M$41,MATCH(O42,GRAFO!$M$2:'GRAFO'!$M$41,0),1)&lt;&gt;0,1,0)</f>
        <v>#N/A</v>
      </c>
      <c r="U42" s="10">
        <f t="shared" si="8"/>
        <v>0</v>
      </c>
    </row>
    <row r="43" spans="1:21">
      <c r="A43" s="46" t="s">
        <v>109</v>
      </c>
      <c r="B43" s="10" t="s">
        <v>7</v>
      </c>
      <c r="C43" s="9" t="str">
        <f t="shared" si="9"/>
        <v>OK</v>
      </c>
      <c r="D43" s="10" t="str">
        <f t="shared" si="1"/>
        <v>md</v>
      </c>
      <c r="E43" s="10" t="e">
        <f t="shared" si="2"/>
        <v>#N/A</v>
      </c>
      <c r="F43" s="10" t="str">
        <f t="shared" si="3"/>
        <v>estrategico</v>
      </c>
      <c r="G43" s="3" t="str">
        <f t="shared" si="4"/>
        <v>OK</v>
      </c>
      <c r="I43" s="10" t="str">
        <f t="shared" si="5"/>
        <v>md-estrategico</v>
      </c>
      <c r="J43" s="10"/>
      <c r="K43" s="10"/>
      <c r="L43" s="3" t="e">
        <f>IF(VLOOKUP(I43,GRAFO!L8:L47,1,0)&lt;&gt;"",1,0)</f>
        <v>#N/A</v>
      </c>
      <c r="M43" s="3">
        <f t="shared" si="6"/>
        <v>0</v>
      </c>
      <c r="O43" s="10" t="e">
        <f t="shared" si="7"/>
        <v>#N/A</v>
      </c>
      <c r="P43" s="10"/>
      <c r="Q43" s="10"/>
      <c r="R43" s="10"/>
      <c r="S43" s="10"/>
      <c r="T43" s="10" t="e">
        <f>IF(INDEX(GRAFO!$M$2:'GRAFO'!$M$41,MATCH(O43,GRAFO!$M$2:'GRAFO'!$M$41,0),1)&lt;&gt;0,1,0)</f>
        <v>#N/A</v>
      </c>
      <c r="U43" s="10">
        <f t="shared" si="8"/>
        <v>0</v>
      </c>
    </row>
    <row r="44" spans="1:21">
      <c r="A44" s="46" t="s">
        <v>242</v>
      </c>
      <c r="B44" s="10" t="s">
        <v>5</v>
      </c>
      <c r="C44" s="9" t="str">
        <f t="shared" si="9"/>
        <v>OK</v>
      </c>
      <c r="D44" s="10" t="str">
        <f t="shared" si="1"/>
        <v>md</v>
      </c>
      <c r="E44" s="10" t="str">
        <f t="shared" si="2"/>
        <v>c2rm:applied_to</v>
      </c>
      <c r="F44" s="10" t="str">
        <f t="shared" si="3"/>
        <v>planos_logistico</v>
      </c>
      <c r="G44" s="3" t="str">
        <f t="shared" si="4"/>
        <v>NOK</v>
      </c>
      <c r="I44" s="10" t="str">
        <f t="shared" si="5"/>
        <v>md-planos_logistico</v>
      </c>
      <c r="J44" s="10"/>
      <c r="K44" s="10"/>
      <c r="L44" s="3" t="e">
        <f>IF(VLOOKUP(I44,GRAFO!L9:L48,1,0)&lt;&gt;"",1,0)</f>
        <v>#N/A</v>
      </c>
      <c r="M44" s="3">
        <f t="shared" si="6"/>
        <v>0</v>
      </c>
      <c r="O44" s="10" t="str">
        <f t="shared" si="7"/>
        <v>md-c2rm:applied_to-planos_logistico</v>
      </c>
      <c r="P44" s="10"/>
      <c r="Q44" s="10"/>
      <c r="R44" s="10"/>
      <c r="S44" s="10"/>
      <c r="T44" s="10" t="e">
        <f>IF(INDEX(GRAFO!$M$2:'GRAFO'!$M$41,MATCH(O44,GRAFO!$M$2:'GRAFO'!$M$41,0),1)&lt;&gt;0,1,0)</f>
        <v>#N/A</v>
      </c>
      <c r="U44" s="10">
        <f t="shared" si="8"/>
        <v>0</v>
      </c>
    </row>
    <row r="45" spans="1:21">
      <c r="A45" s="46" t="s">
        <v>243</v>
      </c>
      <c r="B45" s="10" t="s">
        <v>4</v>
      </c>
      <c r="C45" s="9" t="str">
        <f t="shared" si="9"/>
        <v>OK</v>
      </c>
      <c r="D45" s="10" t="str">
        <f t="shared" si="1"/>
        <v>md</v>
      </c>
      <c r="E45" s="10" t="str">
        <f t="shared" si="2"/>
        <v>c2rm:applied_to</v>
      </c>
      <c r="F45" s="10" t="str">
        <f t="shared" si="3"/>
        <v>diretrizes</v>
      </c>
      <c r="G45" s="3" t="str">
        <f t="shared" si="4"/>
        <v>NOK</v>
      </c>
      <c r="I45" s="10" t="str">
        <f t="shared" si="5"/>
        <v>md-diretrizes</v>
      </c>
      <c r="J45" s="10"/>
      <c r="K45" s="10"/>
      <c r="L45" s="3" t="e">
        <f>IF(VLOOKUP(I45,GRAFO!L10:L49,1,0)&lt;&gt;"",1,0)</f>
        <v>#N/A</v>
      </c>
      <c r="M45" s="3">
        <f t="shared" si="6"/>
        <v>0</v>
      </c>
      <c r="O45" s="10" t="str">
        <f t="shared" si="7"/>
        <v>md-c2rm:applied_to-diretrizes</v>
      </c>
      <c r="P45" s="10"/>
      <c r="Q45" s="10"/>
      <c r="R45" s="10"/>
      <c r="S45" s="10"/>
      <c r="T45" s="10" t="e">
        <f>IF(INDEX(GRAFO!$M$2:'GRAFO'!$M$41,MATCH(O45,GRAFO!$M$2:'GRAFO'!$M$41,0),1)&lt;&gt;0,1,0)</f>
        <v>#N/A</v>
      </c>
      <c r="U45" s="10">
        <f t="shared" si="8"/>
        <v>0</v>
      </c>
    </row>
    <row r="46" spans="1:21">
      <c r="A46" s="46" t="s">
        <v>244</v>
      </c>
      <c r="B46" s="10" t="s">
        <v>5</v>
      </c>
      <c r="C46" s="9" t="str">
        <f t="shared" si="9"/>
        <v>NOK</v>
      </c>
      <c r="D46" s="10" t="str">
        <f t="shared" si="1"/>
        <v>forcas_armadas</v>
      </c>
      <c r="E46" s="10" t="str">
        <f t="shared" si="2"/>
        <v>rdfs:seeAlso</v>
      </c>
      <c r="F46" s="10" t="str">
        <f t="shared" si="3"/>
        <v>md</v>
      </c>
      <c r="G46" s="3" t="str">
        <f t="shared" si="4"/>
        <v>NOK</v>
      </c>
      <c r="I46" s="10" t="str">
        <f t="shared" si="5"/>
        <v>forcas_armadas-md</v>
      </c>
      <c r="J46" s="10"/>
      <c r="K46" s="10"/>
      <c r="L46" s="3" t="e">
        <f>IF(VLOOKUP(I46,GRAFO!L11:L50,1,0)&lt;&gt;"",1,0)</f>
        <v>#N/A</v>
      </c>
      <c r="M46" s="3">
        <f t="shared" si="6"/>
        <v>0</v>
      </c>
      <c r="O46" s="10" t="str">
        <f t="shared" si="7"/>
        <v>forcas_armadas-rdfs:seeAlso-md</v>
      </c>
      <c r="P46" s="10"/>
      <c r="Q46" s="10"/>
      <c r="R46" s="10"/>
      <c r="S46" s="10"/>
      <c r="T46" s="10" t="e">
        <f>IF(INDEX(GRAFO!$M$2:'GRAFO'!$M$41,MATCH(O46,GRAFO!$M$2:'GRAFO'!$M$41,0),1)&lt;&gt;0,1,0)</f>
        <v>#N/A</v>
      </c>
      <c r="U46" s="10">
        <f t="shared" si="8"/>
        <v>0</v>
      </c>
    </row>
    <row r="47" spans="1:21">
      <c r="A47" s="46" t="s">
        <v>245</v>
      </c>
      <c r="B47" s="10" t="s">
        <v>205</v>
      </c>
      <c r="C47" s="9" t="str">
        <f t="shared" si="9"/>
        <v>NOK</v>
      </c>
      <c r="D47" s="10" t="str">
        <f t="shared" si="1"/>
        <v>forca_componente</v>
      </c>
      <c r="E47" s="10" t="str">
        <f t="shared" si="2"/>
        <v>c2rm:responsible_for</v>
      </c>
      <c r="F47" s="10" t="str">
        <f t="shared" si="3"/>
        <v>pln_exec_ordens</v>
      </c>
      <c r="G47" s="3" t="str">
        <f t="shared" si="4"/>
        <v>NOK</v>
      </c>
      <c r="I47" s="10" t="str">
        <f t="shared" si="5"/>
        <v>forca_componente-pln_exec_ordens</v>
      </c>
      <c r="J47" s="10"/>
      <c r="K47" s="10"/>
      <c r="L47" s="3" t="e">
        <f>IF(VLOOKUP(I47,GRAFO!L12:L51,1,0)&lt;&gt;"",1,0)</f>
        <v>#N/A</v>
      </c>
      <c r="M47" s="3">
        <f t="shared" si="6"/>
        <v>0</v>
      </c>
      <c r="O47" s="10" t="str">
        <f t="shared" si="7"/>
        <v>forca_componente-c2rm:responsible_for-pln_exec_ordens</v>
      </c>
      <c r="P47" s="10"/>
      <c r="Q47" s="10"/>
      <c r="R47" s="10"/>
      <c r="S47" s="10"/>
      <c r="T47" s="10" t="e">
        <f>IF(INDEX(GRAFO!$M$2:'GRAFO'!$M$41,MATCH(O47,GRAFO!$M$2:'GRAFO'!$M$41,0),1)&lt;&gt;0,1,0)</f>
        <v>#N/A</v>
      </c>
      <c r="U47" s="10">
        <f t="shared" si="8"/>
        <v>0</v>
      </c>
    </row>
    <row r="48" spans="1:21">
      <c r="A48" s="46" t="s">
        <v>246</v>
      </c>
      <c r="B48" s="10" t="s">
        <v>4</v>
      </c>
      <c r="C48" s="9" t="str">
        <f t="shared" si="9"/>
        <v>NOK</v>
      </c>
      <c r="D48" s="10" t="str">
        <f t="shared" si="1"/>
        <v>forca_componente</v>
      </c>
      <c r="E48" s="10" t="str">
        <f t="shared" si="2"/>
        <v>c2rm:responsible_for</v>
      </c>
      <c r="F48" s="10" t="str">
        <f t="shared" si="3"/>
        <v>tatico</v>
      </c>
      <c r="G48" s="3" t="str">
        <f t="shared" si="4"/>
        <v>OK</v>
      </c>
      <c r="I48" s="10" t="str">
        <f t="shared" si="5"/>
        <v>forca_componente-tatico</v>
      </c>
      <c r="J48" s="10"/>
      <c r="K48" s="10"/>
      <c r="L48" s="3">
        <f>IF(VLOOKUP(I48,GRAFO!L13:L52,1,0)&lt;&gt;"",1,0)</f>
        <v>1</v>
      </c>
      <c r="M48" s="3">
        <f t="shared" si="6"/>
        <v>1</v>
      </c>
      <c r="O48" s="10" t="str">
        <f t="shared" si="7"/>
        <v>forca_componente-c2rm:responsible_for-tatico</v>
      </c>
      <c r="P48" s="10"/>
      <c r="Q48" s="10"/>
      <c r="R48" s="10"/>
      <c r="S48" s="10"/>
      <c r="T48" s="10">
        <f>IF(INDEX(GRAFO!$M$2:'GRAFO'!$M$41,MATCH(O48,GRAFO!$M$2:'GRAFO'!$M$41,0),1)&lt;&gt;0,1,0)</f>
        <v>1</v>
      </c>
      <c r="U48" s="10">
        <f t="shared" si="8"/>
        <v>1</v>
      </c>
    </row>
    <row r="49" spans="1:21">
      <c r="A49" s="46" t="s">
        <v>247</v>
      </c>
      <c r="B49" s="10" t="s">
        <v>7</v>
      </c>
      <c r="C49" s="9" t="str">
        <f t="shared" si="9"/>
        <v>OK</v>
      </c>
      <c r="D49" s="10" t="str">
        <f t="shared" si="1"/>
        <v>ar</v>
      </c>
      <c r="E49" s="10" t="str">
        <f t="shared" si="2"/>
        <v>c2rm:applied_to</v>
      </c>
      <c r="F49" s="10" t="str">
        <f t="shared" si="3"/>
        <v>meios_defesa</v>
      </c>
      <c r="G49" s="3" t="str">
        <f t="shared" si="4"/>
        <v>NOK</v>
      </c>
      <c r="I49" s="10" t="str">
        <f t="shared" si="5"/>
        <v>ar-meios_defesa</v>
      </c>
      <c r="J49" s="10"/>
      <c r="K49" s="10"/>
      <c r="L49" s="3" t="e">
        <f>IF(VLOOKUP(I49,GRAFO!L14:L53,1,0)&lt;&gt;"",1,0)</f>
        <v>#N/A</v>
      </c>
      <c r="M49" s="3">
        <f t="shared" si="6"/>
        <v>0</v>
      </c>
      <c r="O49" s="10" t="str">
        <f t="shared" si="7"/>
        <v>ar-c2rm:applied_to-meios_defesa</v>
      </c>
      <c r="P49" s="10"/>
      <c r="Q49" s="10"/>
      <c r="R49" s="10"/>
      <c r="S49" s="10"/>
      <c r="T49" s="10" t="e">
        <f>IF(INDEX(GRAFO!$M$2:'GRAFO'!$M$41,MATCH(O49,GRAFO!$M$2:'GRAFO'!$M$41,0),1)&lt;&gt;0,1,0)</f>
        <v>#N/A</v>
      </c>
      <c r="U49" s="10">
        <f t="shared" si="8"/>
        <v>0</v>
      </c>
    </row>
    <row r="50" spans="1:21">
      <c r="A50" s="46" t="s">
        <v>248</v>
      </c>
      <c r="B50" s="10" t="s">
        <v>4</v>
      </c>
      <c r="C50" s="9" t="e">
        <f t="shared" si="9"/>
        <v>#N/A</v>
      </c>
      <c r="D50" s="10" t="str">
        <f t="shared" si="1"/>
        <v>exercito</v>
      </c>
      <c r="E50" s="10" t="str">
        <f t="shared" si="2"/>
        <v>rdfs:subClassOf</v>
      </c>
      <c r="F50" s="10" t="str">
        <f t="shared" si="3"/>
        <v>forcas_armadas</v>
      </c>
      <c r="G50" s="3" t="str">
        <f t="shared" si="4"/>
        <v>OK</v>
      </c>
      <c r="I50" s="10" t="str">
        <f t="shared" si="5"/>
        <v>exercito-forcas_armadas</v>
      </c>
      <c r="J50" s="10"/>
      <c r="K50" s="10"/>
      <c r="L50" s="3" t="e">
        <f>IF(VLOOKUP(I50,GRAFO!L15:L54,1,0)&lt;&gt;"",1,0)</f>
        <v>#N/A</v>
      </c>
      <c r="M50" s="3">
        <f t="shared" si="6"/>
        <v>0</v>
      </c>
      <c r="O50" s="10" t="str">
        <f t="shared" si="7"/>
        <v>exercito-rdfs:subClassOf-forcas_armadas</v>
      </c>
      <c r="P50" s="10"/>
      <c r="Q50" s="10"/>
      <c r="R50" s="10"/>
      <c r="S50" s="10"/>
      <c r="T50" s="10">
        <f>IF(INDEX(GRAFO!$M$2:'GRAFO'!$M$41,MATCH(O50,GRAFO!$M$2:'GRAFO'!$M$41,0),1)&lt;&gt;0,1,0)</f>
        <v>1</v>
      </c>
      <c r="U50" s="10">
        <f t="shared" si="8"/>
        <v>1</v>
      </c>
    </row>
    <row r="51" spans="1:21">
      <c r="A51" s="46" t="s">
        <v>240</v>
      </c>
      <c r="B51" s="10" t="s">
        <v>4</v>
      </c>
      <c r="D51" s="10" t="str">
        <f t="shared" si="1"/>
        <v>marinha</v>
      </c>
      <c r="E51" s="10" t="str">
        <f t="shared" si="2"/>
        <v>rdfs:subClassOf</v>
      </c>
      <c r="F51" s="10" t="str">
        <f t="shared" si="3"/>
        <v>forcas_armadas</v>
      </c>
      <c r="G51" s="3" t="str">
        <f t="shared" si="4"/>
        <v>OK</v>
      </c>
      <c r="I51" s="10" t="str">
        <f t="shared" si="5"/>
        <v>marinha-forcas_armadas</v>
      </c>
      <c r="J51" s="10"/>
      <c r="K51" s="10"/>
      <c r="L51" s="3" t="e">
        <f>IF(VLOOKUP(I51,GRAFO!L16:L55,1,0)&lt;&gt;"",1,0)</f>
        <v>#N/A</v>
      </c>
      <c r="M51" s="3">
        <f t="shared" si="6"/>
        <v>0</v>
      </c>
      <c r="O51" s="10" t="str">
        <f t="shared" si="7"/>
        <v>marinha-rdfs:subClassOf-forcas_armadas</v>
      </c>
      <c r="P51" s="10"/>
      <c r="Q51" s="10"/>
      <c r="R51" s="10"/>
      <c r="S51" s="10"/>
      <c r="T51" s="10">
        <f>IF(INDEX(GRAFO!$M$2:'GRAFO'!$M$41,MATCH(O51,GRAFO!$M$2:'GRAFO'!$M$41,0),1)&lt;&gt;0,1,0)</f>
        <v>1</v>
      </c>
      <c r="U51" s="10">
        <f t="shared" si="8"/>
        <v>1</v>
      </c>
    </row>
    <row r="52" spans="1:21">
      <c r="D52" s="10" t="str">
        <f t="shared" si="1"/>
        <v>aeronautica</v>
      </c>
      <c r="E52" s="10" t="str">
        <f t="shared" si="2"/>
        <v>rdfs:subClassOf</v>
      </c>
      <c r="F52" s="10" t="str">
        <f t="shared" si="3"/>
        <v>forcas_armadas</v>
      </c>
      <c r="G52" s="3" t="str">
        <f t="shared" si="4"/>
        <v>OK</v>
      </c>
      <c r="I52" s="10" t="str">
        <f t="shared" si="5"/>
        <v>aeronautica-forcas_armadas</v>
      </c>
      <c r="J52" s="10"/>
      <c r="K52" s="10"/>
      <c r="L52" s="3" t="e">
        <f>IF(VLOOKUP(I52,GRAFO!L17:L56,1,0)&lt;&gt;"",1,0)</f>
        <v>#N/A</v>
      </c>
      <c r="M52" s="3">
        <f t="shared" si="6"/>
        <v>0</v>
      </c>
      <c r="O52" s="10" t="str">
        <f t="shared" si="7"/>
        <v>aeronautica-rdfs:subClassOf-forcas_armadas</v>
      </c>
      <c r="P52" s="10"/>
      <c r="Q52" s="10"/>
      <c r="R52" s="10"/>
      <c r="S52" s="10"/>
      <c r="T52" s="10">
        <f>IF(INDEX(GRAFO!$M$2:'GRAFO'!$M$41,MATCH(O52,GRAFO!$M$2:'GRAFO'!$M$41,0),1)&lt;&gt;0,1,0)</f>
        <v>1</v>
      </c>
      <c r="U52" s="10">
        <f t="shared" si="8"/>
        <v>1</v>
      </c>
    </row>
    <row r="53" spans="1:21">
      <c r="D53" s="10" t="str">
        <f t="shared" si="1"/>
        <v>forcas_armadas</v>
      </c>
      <c r="E53" s="10" t="str">
        <f t="shared" si="2"/>
        <v>rdf:Bag</v>
      </c>
      <c r="F53" s="10" t="str">
        <f t="shared" si="3"/>
        <v>forca_componente</v>
      </c>
      <c r="G53" s="3" t="str">
        <f t="shared" si="4"/>
        <v>OK</v>
      </c>
      <c r="I53" s="10" t="str">
        <f t="shared" si="5"/>
        <v>forcas_armadas-forca_componente</v>
      </c>
      <c r="J53" s="10"/>
      <c r="K53" s="10"/>
      <c r="L53" s="3" t="e">
        <f>IF(VLOOKUP(I53,GRAFO!L18:L57,1,0)&lt;&gt;"",1,0)</f>
        <v>#N/A</v>
      </c>
      <c r="M53" s="3">
        <f t="shared" si="6"/>
        <v>0</v>
      </c>
      <c r="O53" s="10" t="str">
        <f t="shared" si="7"/>
        <v>forcas_armadas-rdf:Bag-forca_componente</v>
      </c>
      <c r="P53" s="10"/>
      <c r="Q53" s="10"/>
      <c r="R53" s="10"/>
      <c r="S53" s="10"/>
      <c r="T53" s="10" t="e">
        <f>IF(INDEX(GRAFO!$M$2:'GRAFO'!$M$41,MATCH(O53,GRAFO!$M$2:'GRAFO'!$M$41,0),1)&lt;&gt;0,1,0)</f>
        <v>#N/A</v>
      </c>
      <c r="U53" s="10">
        <f t="shared" si="8"/>
        <v>0</v>
      </c>
    </row>
    <row r="54" spans="1:21">
      <c r="D54" s="10" t="str">
        <f t="shared" si="1"/>
        <v>forcas_armadas</v>
      </c>
      <c r="E54" s="10" t="str">
        <f t="shared" si="2"/>
        <v>rdfs:seeAlso</v>
      </c>
      <c r="F54" s="10" t="str">
        <f t="shared" si="3"/>
        <v>operacao_conjunta</v>
      </c>
      <c r="G54" s="3" t="str">
        <f t="shared" si="4"/>
        <v>OK</v>
      </c>
      <c r="I54" s="10" t="str">
        <f t="shared" si="5"/>
        <v>forcas_armadas-operacao_conjunta</v>
      </c>
      <c r="J54" s="10"/>
      <c r="K54" s="10"/>
      <c r="L54" s="3">
        <f>IF(VLOOKUP(I54,GRAFO!L19:L58,1,0)&lt;&gt;"",1,0)</f>
        <v>1</v>
      </c>
      <c r="M54" s="3">
        <f t="shared" si="6"/>
        <v>1</v>
      </c>
      <c r="O54" s="10" t="str">
        <f t="shared" si="7"/>
        <v>forcas_armadas-rdfs:seeAlso-operacao_conjunta</v>
      </c>
      <c r="P54" s="10"/>
      <c r="Q54" s="10"/>
      <c r="R54" s="10"/>
      <c r="S54" s="10"/>
      <c r="T54" s="10">
        <f>IF(INDEX(GRAFO!$M$2:'GRAFO'!$M$41,MATCH(O54,GRAFO!$M$2:'GRAFO'!$M$41,0),1)&lt;&gt;0,1,0)</f>
        <v>1</v>
      </c>
      <c r="U54" s="10">
        <f t="shared" si="8"/>
        <v>1</v>
      </c>
    </row>
    <row r="55" spans="1:21">
      <c r="D55" s="10" t="str">
        <f t="shared" si="1"/>
        <v>c_log</v>
      </c>
      <c r="E55" s="10" t="str">
        <f t="shared" si="2"/>
        <v>c2rm:applied_to</v>
      </c>
      <c r="F55" s="10" t="str">
        <f t="shared" si="3"/>
        <v>operacao_conjunta</v>
      </c>
      <c r="G55" s="3" t="str">
        <f t="shared" si="4"/>
        <v>OK</v>
      </c>
      <c r="I55" s="10" t="str">
        <f t="shared" si="5"/>
        <v>c_log-operacao_conjunta</v>
      </c>
      <c r="J55" s="10"/>
      <c r="K55" s="10"/>
      <c r="L55" s="3" t="e">
        <f>IF(VLOOKUP(I55,GRAFO!L20:L59,1,0)&lt;&gt;"",1,0)</f>
        <v>#N/A</v>
      </c>
      <c r="M55" s="3">
        <f t="shared" si="6"/>
        <v>0</v>
      </c>
      <c r="O55" s="10" t="str">
        <f t="shared" si="7"/>
        <v>c_log-c2rm:applied_to-operacao_conjunta</v>
      </c>
      <c r="P55" s="10"/>
      <c r="Q55" s="10"/>
      <c r="R55" s="10"/>
      <c r="S55" s="10"/>
      <c r="T55" s="10" t="e">
        <f>IF(INDEX(GRAFO!$M$2:'GRAFO'!$M$41,MATCH(O55,GRAFO!$M$2:'GRAFO'!$M$41,0),1)&lt;&gt;0,1,0)</f>
        <v>#N/A</v>
      </c>
      <c r="U55" s="10">
        <f t="shared" si="8"/>
        <v>0</v>
      </c>
    </row>
    <row r="56" spans="1:21">
      <c r="D56" s="10" t="str">
        <f t="shared" si="1"/>
        <v>c_log</v>
      </c>
      <c r="E56" s="10" t="str">
        <f t="shared" si="2"/>
        <v>rdfs:seeAlso</v>
      </c>
      <c r="F56" s="10" t="str">
        <f t="shared" si="3"/>
        <v>comandos_operacionais</v>
      </c>
      <c r="G56" s="3" t="str">
        <f t="shared" si="4"/>
        <v>OK</v>
      </c>
      <c r="I56" s="10" t="str">
        <f t="shared" si="5"/>
        <v>c_log-comandos_operacionais</v>
      </c>
      <c r="J56" s="10"/>
      <c r="K56" s="10"/>
      <c r="L56" s="3" t="e">
        <f>IF(VLOOKUP(I56,GRAFO!L21:L60,1,0)&lt;&gt;"",1,0)</f>
        <v>#N/A</v>
      </c>
      <c r="M56" s="3">
        <f t="shared" si="6"/>
        <v>0</v>
      </c>
      <c r="O56" s="10" t="str">
        <f t="shared" si="7"/>
        <v>c_log-rdfs:seeAlso-comandos_operacionais</v>
      </c>
      <c r="P56" s="10"/>
      <c r="Q56" s="10"/>
      <c r="R56" s="10"/>
      <c r="S56" s="10"/>
      <c r="T56" s="10" t="e">
        <f>IF(INDEX(GRAFO!$M$2:'GRAFO'!$M$41,MATCH(O56,GRAFO!$M$2:'GRAFO'!$M$41,0),1)&lt;&gt;0,1,0)</f>
        <v>#N/A</v>
      </c>
      <c r="U56" s="10">
        <f t="shared" si="8"/>
        <v>0</v>
      </c>
    </row>
    <row r="57" spans="1:21">
      <c r="D57" s="10" t="str">
        <f t="shared" si="1"/>
        <v>comandos_operacionais</v>
      </c>
      <c r="E57" s="10" t="str">
        <f t="shared" si="2"/>
        <v>c2rm:responsible_for</v>
      </c>
      <c r="F57" s="10" t="str">
        <f t="shared" si="3"/>
        <v>meios_defesa</v>
      </c>
      <c r="G57" s="3" t="str">
        <f t="shared" si="4"/>
        <v>NOK</v>
      </c>
      <c r="I57" s="10" t="str">
        <f t="shared" si="5"/>
        <v>comandos_operacionais-meios_defesa</v>
      </c>
      <c r="J57" s="10"/>
      <c r="K57" s="10"/>
      <c r="L57" s="3" t="e">
        <f>IF(VLOOKUP(I57,GRAFO!L22:L61,1,0)&lt;&gt;"",1,0)</f>
        <v>#N/A</v>
      </c>
      <c r="M57" s="3">
        <f t="shared" si="6"/>
        <v>0</v>
      </c>
      <c r="O57" s="10" t="str">
        <f t="shared" si="7"/>
        <v>comandos_operacionais-c2rm:responsible_for-meios_defesa</v>
      </c>
      <c r="P57" s="10"/>
      <c r="Q57" s="10"/>
      <c r="R57" s="10"/>
      <c r="S57" s="10"/>
      <c r="T57" s="10" t="e">
        <f>IF(INDEX(GRAFO!$M$2:'GRAFO'!$M$41,MATCH(O57,GRAFO!$M$2:'GRAFO'!$M$41,0),1)&lt;&gt;0,1,0)</f>
        <v>#N/A</v>
      </c>
      <c r="U57" s="10">
        <f t="shared" si="8"/>
        <v>0</v>
      </c>
    </row>
    <row r="58" spans="1:21">
      <c r="D58" s="10" t="str">
        <f t="shared" si="1"/>
        <v>operacao_conjunta</v>
      </c>
      <c r="E58" s="10" t="str">
        <f t="shared" si="2"/>
        <v>rdfs:seeAlso</v>
      </c>
      <c r="F58" s="10" t="str">
        <f t="shared" si="3"/>
        <v>nivel</v>
      </c>
      <c r="G58" s="3" t="str">
        <f t="shared" si="4"/>
        <v>OK</v>
      </c>
      <c r="I58" s="10" t="str">
        <f t="shared" si="5"/>
        <v>operacao_conjunta-nivel</v>
      </c>
      <c r="J58" s="10"/>
      <c r="K58" s="10"/>
      <c r="L58" s="3" t="e">
        <f>IF(VLOOKUP(I58,GRAFO!L23:L62,1,0)&lt;&gt;"",1,0)</f>
        <v>#N/A</v>
      </c>
      <c r="M58" s="3">
        <f t="shared" si="6"/>
        <v>0</v>
      </c>
      <c r="O58" s="10" t="str">
        <f t="shared" si="7"/>
        <v>operacao_conjunta-rdfs:seeAlso-nivel</v>
      </c>
      <c r="P58" s="10"/>
      <c r="Q58" s="10"/>
      <c r="R58" s="10"/>
      <c r="S58" s="10"/>
      <c r="T58" s="10" t="e">
        <f>IF(INDEX(GRAFO!$M$2:'GRAFO'!$M$41,MATCH(O58,GRAFO!$M$2:'GRAFO'!$M$41,0),1)&lt;&gt;0,1,0)</f>
        <v>#N/A</v>
      </c>
      <c r="U58" s="10">
        <f t="shared" si="8"/>
        <v>0</v>
      </c>
    </row>
    <row r="59" spans="1:21">
      <c r="D59" s="10" t="str">
        <f t="shared" si="1"/>
        <v>forca_componente</v>
      </c>
      <c r="E59" s="10" t="str">
        <f t="shared" si="2"/>
        <v>c2rm:responsible_for</v>
      </c>
      <c r="F59" s="10" t="str">
        <f t="shared" si="3"/>
        <v>operacao_conjunta</v>
      </c>
      <c r="G59" s="3" t="str">
        <f t="shared" si="4"/>
        <v>OK</v>
      </c>
      <c r="I59" s="10" t="str">
        <f t="shared" ref="I59:I60" si="10">D59 &amp;"-"&amp;F59</f>
        <v>forca_componente-operacao_conjunta</v>
      </c>
      <c r="J59" s="10"/>
      <c r="K59" s="10"/>
      <c r="L59" s="3">
        <f>IF(VLOOKUP(I59,GRAFO!L24:L63,1,0)&lt;&gt;"",1,0)</f>
        <v>1</v>
      </c>
      <c r="M59" s="3">
        <f t="shared" ref="M59:M60" si="11">IFERROR(L59,0)</f>
        <v>1</v>
      </c>
      <c r="O59" s="10" t="str">
        <f t="shared" ref="O59:O60" si="12">D59 &amp; "-" &amp; E59 &amp; "-" &amp; F59</f>
        <v>forca_componente-c2rm:responsible_for-operacao_conjunta</v>
      </c>
      <c r="P59" s="10"/>
      <c r="Q59" s="10"/>
      <c r="R59" s="10"/>
      <c r="S59" s="10"/>
      <c r="T59" s="10">
        <f>IF(INDEX(GRAFO!$M$2:'GRAFO'!$M$41,MATCH(O59,GRAFO!$M$2:'GRAFO'!$M$41,0),1)&lt;&gt;0,1,0)</f>
        <v>1</v>
      </c>
      <c r="U59" s="10">
        <f t="shared" ref="U59:U60" si="13">IFERROR(T59,0)</f>
        <v>1</v>
      </c>
    </row>
    <row r="60" spans="1:21">
      <c r="D60" s="10" t="str">
        <f t="shared" si="1"/>
        <v>comandos_operacionais</v>
      </c>
      <c r="E60" s="10" t="str">
        <f t="shared" si="2"/>
        <v>c2rm:responsible_for</v>
      </c>
      <c r="F60" s="10" t="str">
        <f t="shared" si="3"/>
        <v>operacional</v>
      </c>
      <c r="G60" s="3" t="str">
        <f t="shared" si="4"/>
        <v>OK</v>
      </c>
      <c r="I60" s="10" t="str">
        <f t="shared" si="10"/>
        <v>comandos_operacionais-operacional</v>
      </c>
      <c r="J60" s="10"/>
      <c r="K60" s="10"/>
      <c r="L60" s="3" t="e">
        <f>IF(VLOOKUP(I60,GRAFO!L25:L64,1,0)&lt;&gt;"",1,0)</f>
        <v>#N/A</v>
      </c>
      <c r="M60" s="3">
        <f t="shared" si="11"/>
        <v>0</v>
      </c>
      <c r="O60" s="10" t="str">
        <f t="shared" si="12"/>
        <v>comandos_operacionais-c2rm:responsible_for-operacional</v>
      </c>
      <c r="P60" s="10"/>
      <c r="Q60" s="10"/>
      <c r="R60" s="10"/>
      <c r="S60" s="10"/>
      <c r="T60" s="10">
        <f>IF(INDEX(GRAFO!$M$2:'GRAFO'!$M$41,MATCH(O60,GRAFO!$M$2:'GRAFO'!$M$41,0),1)&lt;&gt;0,1,0)</f>
        <v>1</v>
      </c>
      <c r="U60" s="10">
        <f t="shared" si="13"/>
        <v>1</v>
      </c>
    </row>
  </sheetData>
  <mergeCells count="11">
    <mergeCell ref="A1:B1"/>
    <mergeCell ref="D1:F1"/>
    <mergeCell ref="K4:K5"/>
    <mergeCell ref="A35:B35"/>
    <mergeCell ref="D35:G35"/>
    <mergeCell ref="I35:M35"/>
    <mergeCell ref="O35:U35"/>
    <mergeCell ref="I36:K36"/>
    <mergeCell ref="L36:M36"/>
    <mergeCell ref="O36:S36"/>
    <mergeCell ref="T36:U36"/>
  </mergeCells>
  <dataValidations count="7">
    <dataValidation type="list" allowBlank="1" showInputMessage="1" showErrorMessage="1" sqref="B37:B40 B42:B51">
      <formula1>$AE$2:$AE$12</formula1>
    </dataValidation>
    <dataValidation type="list" allowBlank="1" showInputMessage="1" showErrorMessage="1" sqref="E3:E8 E16:E18 E32:E34">
      <formula1>$A$37:$A$50</formula1>
    </dataValidation>
    <dataValidation type="list" allowBlank="1" showInputMessage="1" showErrorMessage="1" sqref="C3:C29 B3:B34">
      <formula1>$Y$3:$Y$31</formula1>
    </dataValidation>
    <dataValidation type="list" allowBlank="1" showInputMessage="1" showErrorMessage="1" sqref="F35 G3:G35 H3:H36">
      <formula1>$A$3:$A$27</formula1>
    </dataValidation>
    <dataValidation type="list" allowBlank="1" showInputMessage="1" showErrorMessage="1" sqref="D32:D34 F32:F34">
      <formula1>$A$3:$A$33</formula1>
    </dataValidation>
    <dataValidation type="list" allowBlank="1" showInputMessage="1" showErrorMessage="1" sqref="D3:D31 F3:F31">
      <formula1>$A$3:$A$23</formula1>
    </dataValidation>
    <dataValidation type="list" allowBlank="1" showInputMessage="1" showErrorMessage="1" sqref="E9:E15 E19:E31">
      <formula1>$A$37:$A$51</formula1>
    </dataValidation>
  </dataValidation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E55"/>
  <sheetViews>
    <sheetView topLeftCell="M1" workbookViewId="0">
      <selection activeCell="X4" sqref="X4:X7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9" t="s">
        <v>184</v>
      </c>
      <c r="AD2" s="9" t="s">
        <v>195</v>
      </c>
      <c r="AE2" s="9" t="s">
        <v>35</v>
      </c>
    </row>
    <row r="3" spans="1:31">
      <c r="A3" s="46" t="s">
        <v>255</v>
      </c>
      <c r="B3" s="10" t="s">
        <v>9</v>
      </c>
      <c r="D3" s="10" t="s">
        <v>8</v>
      </c>
      <c r="E3" s="10" t="s">
        <v>101</v>
      </c>
      <c r="F3" s="10" t="s">
        <v>255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t="s">
        <v>33</v>
      </c>
      <c r="AC3" s="9" t="s">
        <v>185</v>
      </c>
      <c r="AD3" s="9" t="s">
        <v>196</v>
      </c>
      <c r="AE3" s="9" t="s">
        <v>4</v>
      </c>
    </row>
    <row r="4" spans="1:31">
      <c r="A4" s="46" t="s">
        <v>8</v>
      </c>
      <c r="B4" s="10" t="s">
        <v>8</v>
      </c>
      <c r="D4" s="10" t="s">
        <v>10</v>
      </c>
      <c r="E4" s="10" t="s">
        <v>101</v>
      </c>
      <c r="F4" s="10" t="s">
        <v>255</v>
      </c>
      <c r="K4" s="85" t="s">
        <v>80</v>
      </c>
      <c r="L4" s="8" t="s">
        <v>0</v>
      </c>
      <c r="M4" s="4">
        <f>GRAFO!J2</f>
        <v>29</v>
      </c>
      <c r="N4" s="11">
        <f>COUNTA(A3:A23)</f>
        <v>21</v>
      </c>
      <c r="O4" s="11">
        <f>COUNTIF(B3:B23,"&lt;&gt;"&amp;"")</f>
        <v>12</v>
      </c>
      <c r="P4" s="2">
        <f>N4-R4</f>
        <v>12</v>
      </c>
      <c r="Q4" s="2">
        <f>M4-O4</f>
        <v>17</v>
      </c>
      <c r="R4" s="2">
        <f>N4-O4</f>
        <v>9</v>
      </c>
      <c r="S4" s="2">
        <f>O4+P4</f>
        <v>24</v>
      </c>
      <c r="T4" s="2">
        <f>Q4+R4</f>
        <v>26</v>
      </c>
      <c r="U4" s="6">
        <f>O4/(O4+R4)</f>
        <v>0.5714285714285714</v>
      </c>
      <c r="V4" s="6">
        <f>O4/(O4+Q4)</f>
        <v>0.41379310344827586</v>
      </c>
      <c r="W4" s="6">
        <f>(O4+P4)/(O4+P4+Q4+R4)</f>
        <v>0.48</v>
      </c>
      <c r="X4" s="62">
        <f>AVERAGE(U4:W4)</f>
        <v>0.48840722495894906</v>
      </c>
      <c r="Y4" t="s">
        <v>21</v>
      </c>
      <c r="AC4" s="9" t="s">
        <v>186</v>
      </c>
      <c r="AD4" s="9" t="s">
        <v>197</v>
      </c>
      <c r="AE4" s="9" t="s">
        <v>205</v>
      </c>
    </row>
    <row r="5" spans="1:31">
      <c r="A5" s="46" t="s">
        <v>10</v>
      </c>
      <c r="B5" s="10" t="s">
        <v>10</v>
      </c>
      <c r="D5" s="10" t="s">
        <v>12</v>
      </c>
      <c r="E5" s="10" t="s">
        <v>101</v>
      </c>
      <c r="F5" s="10" t="s">
        <v>255</v>
      </c>
      <c r="K5" s="85"/>
      <c r="L5" s="8" t="s">
        <v>100</v>
      </c>
      <c r="M5" s="5">
        <f>GRAFO!J3</f>
        <v>41</v>
      </c>
      <c r="N5" s="12">
        <f>COUNTA(D32:D55)</f>
        <v>24</v>
      </c>
      <c r="O5" s="12">
        <f>COUNTIF(M32:M55,"=1")</f>
        <v>10</v>
      </c>
      <c r="P5" s="2">
        <f>N5-R5</f>
        <v>10</v>
      </c>
      <c r="Q5" s="2">
        <f>M5-O5</f>
        <v>31</v>
      </c>
      <c r="R5" s="2">
        <f>N5-O5</f>
        <v>14</v>
      </c>
      <c r="S5" s="2">
        <f>O5+P5</f>
        <v>20</v>
      </c>
      <c r="T5" s="2">
        <f>Q5+R5</f>
        <v>45</v>
      </c>
      <c r="U5" s="6">
        <f>O5/(O5+R5)</f>
        <v>0.41666666666666669</v>
      </c>
      <c r="V5" s="6">
        <f>O5/(O5+Q5)</f>
        <v>0.24390243902439024</v>
      </c>
      <c r="W5" s="6">
        <f>(O5+P5)/(O5+P5+Q5+R5)</f>
        <v>0.30769230769230771</v>
      </c>
      <c r="X5" s="62">
        <f t="shared" ref="X5:X6" si="0">AVERAGE(U5:W5)</f>
        <v>0.32275380446112156</v>
      </c>
      <c r="Y5" t="s">
        <v>17</v>
      </c>
      <c r="AC5" s="9" t="s">
        <v>187</v>
      </c>
      <c r="AD5" s="9" t="s">
        <v>198</v>
      </c>
      <c r="AE5" s="9" t="s">
        <v>3</v>
      </c>
    </row>
    <row r="6" spans="1:31">
      <c r="A6" s="46" t="s">
        <v>12</v>
      </c>
      <c r="B6" s="10" t="s">
        <v>12</v>
      </c>
      <c r="D6" s="10" t="s">
        <v>11</v>
      </c>
      <c r="E6" s="10" t="s">
        <v>101</v>
      </c>
      <c r="F6" s="10" t="s">
        <v>255</v>
      </c>
      <c r="L6" s="8" t="s">
        <v>99</v>
      </c>
      <c r="M6" s="5">
        <v>41</v>
      </c>
      <c r="N6" s="12">
        <f>COUNTA(D32:D55)</f>
        <v>24</v>
      </c>
      <c r="O6" s="12">
        <f>COUNTIF(U32:U55,"=1")</f>
        <v>10</v>
      </c>
      <c r="P6" s="2">
        <f>N6-R6</f>
        <v>10</v>
      </c>
      <c r="Q6" s="2">
        <f>M6-O6</f>
        <v>31</v>
      </c>
      <c r="R6" s="2">
        <f>N6-O6</f>
        <v>14</v>
      </c>
      <c r="S6" s="2">
        <f>O6+P6</f>
        <v>20</v>
      </c>
      <c r="T6" s="2">
        <f>Q6+R6</f>
        <v>45</v>
      </c>
      <c r="U6" s="6">
        <f>O6/(O6+R6)</f>
        <v>0.41666666666666669</v>
      </c>
      <c r="V6" s="6">
        <f>O6/(O6+Q6)</f>
        <v>0.24390243902439024</v>
      </c>
      <c r="W6" s="6">
        <f>(O6+P6)/(O6+P6+Q6+R6)</f>
        <v>0.30769230769230771</v>
      </c>
      <c r="X6" s="62">
        <f t="shared" si="0"/>
        <v>0.32275380446112156</v>
      </c>
      <c r="Y6" t="s">
        <v>40</v>
      </c>
      <c r="AC6" s="9" t="s">
        <v>188</v>
      </c>
      <c r="AD6" s="9" t="s">
        <v>199</v>
      </c>
      <c r="AE6" s="9" t="s">
        <v>6</v>
      </c>
    </row>
    <row r="7" spans="1:31">
      <c r="A7" s="46" t="s">
        <v>11</v>
      </c>
      <c r="B7" s="10" t="s">
        <v>11</v>
      </c>
      <c r="D7" s="10" t="s">
        <v>20</v>
      </c>
      <c r="E7" s="10" t="s">
        <v>261</v>
      </c>
      <c r="F7" s="10" t="s">
        <v>8</v>
      </c>
      <c r="X7" s="62">
        <f>AVERAGE(X4:X6)</f>
        <v>0.37797161129373075</v>
      </c>
      <c r="Y7" t="s">
        <v>13</v>
      </c>
      <c r="AC7" s="9" t="s">
        <v>189</v>
      </c>
      <c r="AD7" s="9" t="s">
        <v>200</v>
      </c>
      <c r="AE7" s="9" t="s">
        <v>206</v>
      </c>
    </row>
    <row r="8" spans="1:31">
      <c r="A8" s="46" t="s">
        <v>20</v>
      </c>
      <c r="B8" s="10" t="s">
        <v>20</v>
      </c>
      <c r="D8" s="10" t="s">
        <v>256</v>
      </c>
      <c r="E8" s="10" t="s">
        <v>261</v>
      </c>
      <c r="F8" s="10" t="s">
        <v>10</v>
      </c>
      <c r="Y8" t="s">
        <v>39</v>
      </c>
      <c r="AC8" s="9" t="s">
        <v>190</v>
      </c>
      <c r="AD8" s="9" t="s">
        <v>148</v>
      </c>
      <c r="AE8" s="9" t="s">
        <v>36</v>
      </c>
    </row>
    <row r="9" spans="1:31">
      <c r="A9" s="46" t="s">
        <v>256</v>
      </c>
      <c r="B9" s="10"/>
      <c r="D9" s="10" t="s">
        <v>20</v>
      </c>
      <c r="E9" s="10" t="s">
        <v>142</v>
      </c>
      <c r="F9" s="10" t="s">
        <v>123</v>
      </c>
      <c r="K9" t="s">
        <v>74</v>
      </c>
      <c r="L9" t="s">
        <v>75</v>
      </c>
      <c r="N9">
        <f>GRAFO!J2</f>
        <v>29</v>
      </c>
      <c r="Y9" t="s">
        <v>19</v>
      </c>
      <c r="AC9" s="9" t="s">
        <v>191</v>
      </c>
      <c r="AD9" s="9" t="s">
        <v>201</v>
      </c>
      <c r="AE9" s="9" t="s">
        <v>7</v>
      </c>
    </row>
    <row r="10" spans="1:31">
      <c r="A10" s="10" t="s">
        <v>123</v>
      </c>
      <c r="B10" s="10"/>
      <c r="D10" s="10" t="s">
        <v>256</v>
      </c>
      <c r="E10" s="10" t="s">
        <v>142</v>
      </c>
      <c r="F10" s="10" t="s">
        <v>124</v>
      </c>
      <c r="K10" t="s">
        <v>80</v>
      </c>
      <c r="L10" t="s">
        <v>76</v>
      </c>
      <c r="N10">
        <f>N4</f>
        <v>21</v>
      </c>
      <c r="Y10" t="s">
        <v>37</v>
      </c>
      <c r="AC10" s="9" t="s">
        <v>192</v>
      </c>
      <c r="AD10" s="9" t="s">
        <v>202</v>
      </c>
      <c r="AE10" s="9" t="s">
        <v>207</v>
      </c>
    </row>
    <row r="11" spans="1:31">
      <c r="A11" s="10" t="s">
        <v>124</v>
      </c>
      <c r="B11" s="10"/>
      <c r="D11" s="10" t="s">
        <v>123</v>
      </c>
      <c r="E11" s="10" t="s">
        <v>262</v>
      </c>
      <c r="F11" s="10" t="s">
        <v>259</v>
      </c>
      <c r="K11" t="s">
        <v>68</v>
      </c>
      <c r="L11" t="s">
        <v>77</v>
      </c>
      <c r="N11">
        <v>16</v>
      </c>
      <c r="Y11" t="s">
        <v>10</v>
      </c>
      <c r="AC11" s="9" t="s">
        <v>193</v>
      </c>
      <c r="AD11" s="9" t="s">
        <v>203</v>
      </c>
      <c r="AE11" s="9" t="s">
        <v>208</v>
      </c>
    </row>
    <row r="12" spans="1:31">
      <c r="A12" s="10" t="s">
        <v>259</v>
      </c>
      <c r="B12" s="10"/>
      <c r="D12" s="10" t="s">
        <v>124</v>
      </c>
      <c r="E12" s="10" t="s">
        <v>262</v>
      </c>
      <c r="F12" s="10" t="s">
        <v>259</v>
      </c>
      <c r="K12" t="s">
        <v>70</v>
      </c>
      <c r="L12" t="s">
        <v>78</v>
      </c>
      <c r="M12" t="s">
        <v>86</v>
      </c>
      <c r="N12">
        <f>N9-N11</f>
        <v>13</v>
      </c>
      <c r="Y12" t="s">
        <v>14</v>
      </c>
      <c r="AC12" s="9" t="s">
        <v>194</v>
      </c>
      <c r="AD12" s="9" t="s">
        <v>204</v>
      </c>
      <c r="AE12" s="9" t="s">
        <v>5</v>
      </c>
    </row>
    <row r="13" spans="1:31">
      <c r="A13" s="10" t="s">
        <v>258</v>
      </c>
      <c r="B13" s="10"/>
      <c r="D13" s="10" t="s">
        <v>13</v>
      </c>
      <c r="E13" s="10" t="s">
        <v>266</v>
      </c>
      <c r="F13" s="10" t="s">
        <v>259</v>
      </c>
      <c r="K13" t="s">
        <v>69</v>
      </c>
      <c r="L13" t="s">
        <v>79</v>
      </c>
      <c r="M13" t="s">
        <v>87</v>
      </c>
      <c r="Y13" t="s">
        <v>34</v>
      </c>
    </row>
    <row r="14" spans="1:31">
      <c r="A14" s="10" t="s">
        <v>161</v>
      </c>
      <c r="B14" s="10"/>
      <c r="D14" s="10" t="s">
        <v>258</v>
      </c>
      <c r="E14" s="10" t="s">
        <v>263</v>
      </c>
      <c r="F14" s="10" t="s">
        <v>259</v>
      </c>
      <c r="K14" t="s">
        <v>83</v>
      </c>
      <c r="M14" t="s">
        <v>88</v>
      </c>
      <c r="Y14" t="s">
        <v>27</v>
      </c>
    </row>
    <row r="15" spans="1:31">
      <c r="A15" s="10" t="s">
        <v>165</v>
      </c>
      <c r="B15" s="10"/>
      <c r="D15" s="10" t="s">
        <v>13</v>
      </c>
      <c r="E15" s="10" t="s">
        <v>107</v>
      </c>
      <c r="F15" s="10" t="s">
        <v>258</v>
      </c>
      <c r="K15" t="s">
        <v>89</v>
      </c>
      <c r="M15" t="s">
        <v>92</v>
      </c>
      <c r="Y15" t="s">
        <v>28</v>
      </c>
    </row>
    <row r="16" spans="1:31">
      <c r="A16" s="46" t="s">
        <v>13</v>
      </c>
      <c r="B16" s="10" t="s">
        <v>13</v>
      </c>
      <c r="D16" s="10" t="s">
        <v>13</v>
      </c>
      <c r="E16" s="10" t="s">
        <v>109</v>
      </c>
      <c r="F16" s="10" t="s">
        <v>257</v>
      </c>
      <c r="K16" t="s">
        <v>90</v>
      </c>
      <c r="M16" t="s">
        <v>93</v>
      </c>
      <c r="Y16" t="s">
        <v>30</v>
      </c>
    </row>
    <row r="17" spans="1:25">
      <c r="A17" s="46" t="s">
        <v>257</v>
      </c>
      <c r="B17" s="10"/>
      <c r="D17" s="10" t="s">
        <v>13</v>
      </c>
      <c r="E17" s="10" t="s">
        <v>261</v>
      </c>
      <c r="F17" s="10" t="s">
        <v>12</v>
      </c>
      <c r="K17" t="s">
        <v>91</v>
      </c>
      <c r="M17" t="s">
        <v>94</v>
      </c>
      <c r="Y17" t="s">
        <v>29</v>
      </c>
    </row>
    <row r="18" spans="1:25">
      <c r="A18" s="10" t="s">
        <v>260</v>
      </c>
      <c r="B18" s="10" t="s">
        <v>28</v>
      </c>
      <c r="D18" s="10" t="s">
        <v>165</v>
      </c>
      <c r="E18" s="10" t="s">
        <v>266</v>
      </c>
      <c r="F18" s="10" t="s">
        <v>259</v>
      </c>
      <c r="K18" t="s">
        <v>84</v>
      </c>
      <c r="M18" t="s">
        <v>95</v>
      </c>
      <c r="Y18" t="s">
        <v>31</v>
      </c>
    </row>
    <row r="19" spans="1:25">
      <c r="A19" s="10" t="s">
        <v>32</v>
      </c>
      <c r="B19" s="10" t="s">
        <v>32</v>
      </c>
      <c r="D19" s="10" t="s">
        <v>165</v>
      </c>
      <c r="E19" s="10" t="s">
        <v>218</v>
      </c>
      <c r="F19" s="10" t="s">
        <v>267</v>
      </c>
      <c r="K19" t="s">
        <v>85</v>
      </c>
      <c r="M19" t="s">
        <v>96</v>
      </c>
      <c r="Y19" t="s">
        <v>25</v>
      </c>
    </row>
    <row r="20" spans="1:25">
      <c r="A20" s="10" t="s">
        <v>34</v>
      </c>
      <c r="B20" s="10" t="s">
        <v>34</v>
      </c>
      <c r="D20" s="10" t="s">
        <v>161</v>
      </c>
      <c r="E20" s="10" t="s">
        <v>264</v>
      </c>
      <c r="F20" s="10" t="s">
        <v>165</v>
      </c>
      <c r="K20" t="s">
        <v>97</v>
      </c>
      <c r="M20" t="s">
        <v>98</v>
      </c>
      <c r="Y20" t="s">
        <v>15</v>
      </c>
    </row>
    <row r="21" spans="1:25">
      <c r="A21" s="10" t="s">
        <v>33</v>
      </c>
      <c r="B21" s="10" t="s">
        <v>33</v>
      </c>
      <c r="D21" s="10" t="s">
        <v>260</v>
      </c>
      <c r="E21" s="10" t="s">
        <v>218</v>
      </c>
      <c r="F21" s="10" t="s">
        <v>161</v>
      </c>
      <c r="Y21" t="s">
        <v>16</v>
      </c>
    </row>
    <row r="22" spans="1:25">
      <c r="A22" s="10" t="s">
        <v>265</v>
      </c>
      <c r="B22" s="10" t="s">
        <v>31</v>
      </c>
      <c r="D22" s="10" t="s">
        <v>260</v>
      </c>
      <c r="E22" s="10" t="s">
        <v>261</v>
      </c>
      <c r="F22" s="10" t="s">
        <v>11</v>
      </c>
      <c r="Y22" t="s">
        <v>32</v>
      </c>
    </row>
    <row r="23" spans="1:25">
      <c r="A23" s="10" t="s">
        <v>267</v>
      </c>
      <c r="B23" s="10"/>
      <c r="D23" s="10" t="s">
        <v>265</v>
      </c>
      <c r="E23" s="10" t="s">
        <v>104</v>
      </c>
      <c r="F23" s="10" t="s">
        <v>260</v>
      </c>
      <c r="Y23" t="s">
        <v>9</v>
      </c>
    </row>
    <row r="24" spans="1:25">
      <c r="D24" s="10" t="s">
        <v>32</v>
      </c>
      <c r="E24" s="10" t="s">
        <v>101</v>
      </c>
      <c r="F24" s="10" t="s">
        <v>265</v>
      </c>
      <c r="Y24" t="s">
        <v>18</v>
      </c>
    </row>
    <row r="25" spans="1:25">
      <c r="D25" s="10" t="s">
        <v>34</v>
      </c>
      <c r="E25" s="10" t="s">
        <v>101</v>
      </c>
      <c r="F25" s="10" t="s">
        <v>265</v>
      </c>
      <c r="Y25" t="s">
        <v>23</v>
      </c>
    </row>
    <row r="26" spans="1:25">
      <c r="D26" s="10" t="s">
        <v>33</v>
      </c>
      <c r="E26" s="10" t="s">
        <v>101</v>
      </c>
      <c r="F26" s="10" t="s">
        <v>265</v>
      </c>
      <c r="Y26" t="s">
        <v>22</v>
      </c>
    </row>
    <row r="27" spans="1:25">
      <c r="Y27" t="s">
        <v>12</v>
      </c>
    </row>
    <row r="28" spans="1:25">
      <c r="Y28" t="s">
        <v>24</v>
      </c>
    </row>
    <row r="29" spans="1:25">
      <c r="Y29" t="s">
        <v>8</v>
      </c>
    </row>
    <row r="30" spans="1:25">
      <c r="A30" s="30" t="s">
        <v>182</v>
      </c>
      <c r="B30" s="30"/>
      <c r="D30" s="104" t="s">
        <v>222</v>
      </c>
      <c r="E30" s="105"/>
      <c r="F30" s="105"/>
      <c r="G30" s="106"/>
      <c r="I30" s="98" t="s">
        <v>224</v>
      </c>
      <c r="J30" s="99"/>
      <c r="K30" s="99"/>
      <c r="L30" s="99"/>
      <c r="M30" s="100"/>
      <c r="O30" s="94" t="s">
        <v>229</v>
      </c>
      <c r="P30" s="94"/>
      <c r="Q30" s="94"/>
      <c r="R30" s="94"/>
      <c r="S30" s="94"/>
      <c r="T30" s="94"/>
      <c r="U30" s="94"/>
      <c r="Y30" t="s">
        <v>20</v>
      </c>
    </row>
    <row r="31" spans="1:25">
      <c r="A31" s="32" t="s">
        <v>251</v>
      </c>
      <c r="B31" s="33" t="s">
        <v>252</v>
      </c>
      <c r="D31" s="34" t="s">
        <v>220</v>
      </c>
      <c r="E31" s="34" t="s">
        <v>219</v>
      </c>
      <c r="F31" s="34" t="s">
        <v>221</v>
      </c>
      <c r="G31" s="34" t="s">
        <v>223</v>
      </c>
      <c r="I31" s="35" t="s">
        <v>225</v>
      </c>
      <c r="J31" s="36"/>
      <c r="K31" s="37"/>
      <c r="L31" s="35" t="s">
        <v>226</v>
      </c>
      <c r="M31" s="37"/>
      <c r="O31" s="95" t="s">
        <v>227</v>
      </c>
      <c r="P31" s="96"/>
      <c r="Q31" s="96"/>
      <c r="R31" s="96"/>
      <c r="S31" s="97"/>
      <c r="T31" s="95" t="s">
        <v>228</v>
      </c>
      <c r="U31" s="97"/>
      <c r="Y31" t="s">
        <v>11</v>
      </c>
    </row>
    <row r="32" spans="1:25">
      <c r="A32" s="46" t="s">
        <v>101</v>
      </c>
      <c r="B32" s="10" t="s">
        <v>3</v>
      </c>
      <c r="D32" s="10" t="str">
        <f>IF(INDEX($A$3:$B$23,MATCH(D3,$A$3:$A$23,0),2)&lt;&gt;0,INDEX($A$3:$B$23,MATCH(D3,$A$3:$A$23,0),2),D3)</f>
        <v>politico</v>
      </c>
      <c r="E32" s="10" t="str">
        <f>IF(INDEX($A$32:$B$42,MATCH(E3,$A$32:$A$42,0),2)&lt;&gt;0,INDEX($A$32:$B$42,MATCH(E3,$A$32:$A$42,0),2),E3)</f>
        <v>rdfs:subClassOf</v>
      </c>
      <c r="F32" s="10" t="str">
        <f>IF(INDEX($A$3:$B$23,MATCH(F3,$A$3:$A$23,0),2)&lt;&gt;0,INDEX($A$3:$B$23,MATCH(F3,$A$3:$A$23,0),2),F3)</f>
        <v>nivel</v>
      </c>
      <c r="G32" s="3" t="str">
        <f>IF(INDEX($A$3:$B$23,MATCH(F3,$A$3:$A$23,0),2)&lt;&gt;0,"OK","NOK")</f>
        <v>OK</v>
      </c>
      <c r="I32" s="10" t="str">
        <f t="shared" ref="I32:I55" si="1">D32 &amp;"-"&amp;F32</f>
        <v>politico-nivel</v>
      </c>
      <c r="J32" s="10"/>
      <c r="K32" s="10"/>
      <c r="L32" s="3">
        <f>IF(INDEX(GRAFO!$L$2:'GRAFO'!$L$41,MATCH(I32,GRAFO!$L$2:'GRAFO'!$L$41,0),1)&lt;&gt;0,1,0)</f>
        <v>1</v>
      </c>
      <c r="M32" s="3">
        <f>IFERROR(L32,0)</f>
        <v>1</v>
      </c>
      <c r="O32" s="10" t="str">
        <f t="shared" ref="O32:O55" si="2">D32 &amp; "-" &amp; E32 &amp; "-" &amp; F32</f>
        <v>politico-rdfs:subClassOf-nivel</v>
      </c>
      <c r="P32" s="10"/>
      <c r="Q32" s="10"/>
      <c r="R32" s="10"/>
      <c r="S32" s="10"/>
      <c r="T32" s="10">
        <f>IF(INDEX(GRAFO!$M$2:'GRAFO'!$M$41,MATCH(O32,GRAFO!$M$2:'GRAFO'!$M$41,0),1)&lt;&gt;0,1,0)</f>
        <v>1</v>
      </c>
      <c r="U32" s="10">
        <f>IFERROR(T32,0)</f>
        <v>1</v>
      </c>
    </row>
    <row r="33" spans="1:21">
      <c r="A33" s="46" t="s">
        <v>261</v>
      </c>
      <c r="B33" s="10" t="s">
        <v>7</v>
      </c>
      <c r="D33" s="10" t="str">
        <f t="shared" ref="D33:D52" si="3">IF(INDEX($A$3:$B$23,MATCH(D4,$A$3:$A$23,0),2)&lt;&gt;0,INDEX($A$3:$B$23,MATCH(D4,$A$3:$A$23,0),2),D4)</f>
        <v>estrategico</v>
      </c>
      <c r="E33" s="10" t="str">
        <f t="shared" ref="E33:E55" si="4">IF(INDEX($A$32:$B$42,MATCH(E4,$A$32:$A$42,0),2)&lt;&gt;0,INDEX($A$32:$B$42,MATCH(E4,$A$32:$A$42,0),2),E4)</f>
        <v>rdfs:subClassOf</v>
      </c>
      <c r="F33" s="10" t="str">
        <f t="shared" ref="F33:F55" si="5">IF(INDEX($A$3:$B$23,MATCH(F4,$A$3:$A$23,0),2)&lt;&gt;0,INDEX($A$3:$B$23,MATCH(F4,$A$3:$A$23,0),2),F4)</f>
        <v>nivel</v>
      </c>
      <c r="G33" s="3" t="str">
        <f t="shared" ref="G33:G55" si="6">IF(INDEX($A$3:$B$23,MATCH(F4,$A$3:$A$23,0),2)&lt;&gt;0,"OK","NOK")</f>
        <v>OK</v>
      </c>
      <c r="I33" s="10" t="str">
        <f t="shared" si="1"/>
        <v>estrategico-nivel</v>
      </c>
      <c r="J33" s="10"/>
      <c r="K33" s="10"/>
      <c r="L33" s="3">
        <f>IF(INDEX(GRAFO!$L$2:'GRAFO'!$L$41,MATCH(I33,GRAFO!$L$2:'GRAFO'!$L$41,0),1)&lt;&gt;0,1,0)</f>
        <v>1</v>
      </c>
      <c r="M33" s="3">
        <f t="shared" ref="M33:M55" si="7">IFERROR(L33,0)</f>
        <v>1</v>
      </c>
      <c r="O33" s="10" t="str">
        <f t="shared" si="2"/>
        <v>estrategico-rdfs:subClassOf-nivel</v>
      </c>
      <c r="P33" s="10"/>
      <c r="Q33" s="10"/>
      <c r="R33" s="10"/>
      <c r="S33" s="10"/>
      <c r="T33" s="10">
        <f>IF(INDEX(GRAFO!$M$2:'GRAFO'!$M$41,MATCH(O33,GRAFO!$M$2:'GRAFO'!$M$41,0),1)&lt;&gt;0,1,0)</f>
        <v>1</v>
      </c>
      <c r="U33" s="10">
        <f t="shared" ref="U33:U55" si="8">IFERROR(T33,0)</f>
        <v>1</v>
      </c>
    </row>
    <row r="34" spans="1:21">
      <c r="A34" s="46" t="s">
        <v>142</v>
      </c>
      <c r="B34" s="10" t="s">
        <v>7</v>
      </c>
      <c r="D34" s="10" t="str">
        <f t="shared" si="3"/>
        <v>operacional</v>
      </c>
      <c r="E34" s="10" t="str">
        <f t="shared" si="4"/>
        <v>rdfs:subClassOf</v>
      </c>
      <c r="F34" s="10" t="str">
        <f t="shared" si="5"/>
        <v>nivel</v>
      </c>
      <c r="G34" s="3" t="str">
        <f t="shared" si="6"/>
        <v>OK</v>
      </c>
      <c r="I34" s="10" t="str">
        <f t="shared" si="1"/>
        <v>operacional-nivel</v>
      </c>
      <c r="J34" s="10"/>
      <c r="K34" s="10"/>
      <c r="L34" s="3">
        <f>IF(INDEX(GRAFO!$L$2:'GRAFO'!$L$41,MATCH(I34,GRAFO!$L$2:'GRAFO'!$L$41,0),1)&lt;&gt;0,1,0)</f>
        <v>1</v>
      </c>
      <c r="M34" s="3">
        <f t="shared" si="7"/>
        <v>1</v>
      </c>
      <c r="O34" s="10" t="str">
        <f t="shared" si="2"/>
        <v>operacional-rdfs:subClassOf-nivel</v>
      </c>
      <c r="P34" s="10"/>
      <c r="Q34" s="10"/>
      <c r="R34" s="10"/>
      <c r="S34" s="10"/>
      <c r="T34" s="10">
        <f>IF(INDEX(GRAFO!$M$2:'GRAFO'!$M$41,MATCH(O34,GRAFO!$M$2:'GRAFO'!$M$41,0),1)&lt;&gt;0,1,0)</f>
        <v>1</v>
      </c>
      <c r="U34" s="10">
        <f t="shared" si="8"/>
        <v>1</v>
      </c>
    </row>
    <row r="35" spans="1:21">
      <c r="A35" s="46" t="s">
        <v>262</v>
      </c>
      <c r="B35" s="10" t="s">
        <v>205</v>
      </c>
      <c r="D35" s="10" t="str">
        <f t="shared" si="3"/>
        <v>tatico</v>
      </c>
      <c r="E35" s="10" t="str">
        <f t="shared" si="4"/>
        <v>rdfs:subClassOf</v>
      </c>
      <c r="F35" s="10" t="str">
        <f t="shared" si="5"/>
        <v>nivel</v>
      </c>
      <c r="G35" s="3" t="str">
        <f t="shared" si="6"/>
        <v>OK</v>
      </c>
      <c r="I35" s="10" t="str">
        <f t="shared" si="1"/>
        <v>tatico-nivel</v>
      </c>
      <c r="J35" s="10"/>
      <c r="K35" s="10"/>
      <c r="L35" s="3">
        <f>IF(INDEX(GRAFO!$L$2:'GRAFO'!$L$41,MATCH(I35,GRAFO!$L$2:'GRAFO'!$L$41,0),1)&lt;&gt;0,1,0)</f>
        <v>1</v>
      </c>
      <c r="M35" s="3">
        <f t="shared" si="7"/>
        <v>1</v>
      </c>
      <c r="O35" s="10" t="str">
        <f t="shared" si="2"/>
        <v>tatico-rdfs:subClassOf-nivel</v>
      </c>
      <c r="P35" s="10"/>
      <c r="Q35" s="10"/>
      <c r="R35" s="10"/>
      <c r="S35" s="10"/>
      <c r="T35" s="10">
        <f>IF(INDEX(GRAFO!$M$2:'GRAFO'!$M$41,MATCH(O35,GRAFO!$M$2:'GRAFO'!$M$41,0),1)&lt;&gt;0,1,0)</f>
        <v>1</v>
      </c>
      <c r="U35" s="10">
        <f t="shared" si="8"/>
        <v>1</v>
      </c>
    </row>
    <row r="36" spans="1:21">
      <c r="A36" s="46" t="s">
        <v>263</v>
      </c>
      <c r="B36" s="10" t="s">
        <v>4</v>
      </c>
      <c r="D36" s="10" t="str">
        <f t="shared" si="3"/>
        <v>presidente_da_republica</v>
      </c>
      <c r="E36" s="10" t="str">
        <f t="shared" si="4"/>
        <v>c2rm:responsible_for</v>
      </c>
      <c r="F36" s="10" t="str">
        <f t="shared" si="5"/>
        <v>politico</v>
      </c>
      <c r="G36" s="3" t="str">
        <f t="shared" si="6"/>
        <v>OK</v>
      </c>
      <c r="I36" s="10" t="str">
        <f t="shared" si="1"/>
        <v>presidente_da_republica-politico</v>
      </c>
      <c r="J36" s="10"/>
      <c r="K36" s="10"/>
      <c r="L36" s="3">
        <f>IF(INDEX(GRAFO!$L$2:'GRAFO'!$L$41,MATCH(I36,GRAFO!$L$2:'GRAFO'!$L$41,0),1)&lt;&gt;0,1,0)</f>
        <v>1</v>
      </c>
      <c r="M36" s="3">
        <f t="shared" si="7"/>
        <v>1</v>
      </c>
      <c r="O36" s="10" t="str">
        <f t="shared" si="2"/>
        <v>presidente_da_republica-c2rm:responsible_for-politico</v>
      </c>
      <c r="P36" s="10"/>
      <c r="Q36" s="10"/>
      <c r="R36" s="10"/>
      <c r="S36" s="10"/>
      <c r="T36" s="10">
        <f>IF(INDEX(GRAFO!$M$2:'GRAFO'!$M$41,MATCH(O36,GRAFO!$M$2:'GRAFO'!$M$41,0),1)&lt;&gt;0,1,0)</f>
        <v>1</v>
      </c>
      <c r="U36" s="10">
        <f t="shared" si="8"/>
        <v>1</v>
      </c>
    </row>
    <row r="37" spans="1:21">
      <c r="A37" s="46" t="s">
        <v>218</v>
      </c>
      <c r="B37" s="10" t="s">
        <v>5</v>
      </c>
      <c r="D37" s="10" t="str">
        <f t="shared" si="3"/>
        <v>ministerio_da_defesa</v>
      </c>
      <c r="E37" s="10" t="str">
        <f t="shared" si="4"/>
        <v>c2rm:responsible_for</v>
      </c>
      <c r="F37" s="10" t="str">
        <f t="shared" si="5"/>
        <v>estrategico</v>
      </c>
      <c r="G37" s="3" t="str">
        <f t="shared" si="6"/>
        <v>OK</v>
      </c>
      <c r="H37">
        <f>COUNTIFS(GRAFO!C2:C42,"=D34",GRAFO!E2:E42,"=F34")</f>
        <v>0</v>
      </c>
      <c r="I37" s="10" t="str">
        <f t="shared" si="1"/>
        <v>ministerio_da_defesa-estrategico</v>
      </c>
      <c r="J37" s="10"/>
      <c r="K37" s="10"/>
      <c r="L37" s="3" t="e">
        <f>IF(INDEX(GRAFO!$L$2:'GRAFO'!$L$41,MATCH(I37,GRAFO!$L$2:'GRAFO'!$L$41,0),1)&lt;&gt;0,1,0)</f>
        <v>#N/A</v>
      </c>
      <c r="M37" s="3">
        <f t="shared" si="7"/>
        <v>0</v>
      </c>
      <c r="O37" s="10" t="str">
        <f t="shared" si="2"/>
        <v>ministerio_da_defesa-c2rm:responsible_for-estrategico</v>
      </c>
      <c r="P37" s="10"/>
      <c r="Q37" s="10"/>
      <c r="R37" s="10"/>
      <c r="S37" s="10"/>
      <c r="T37" s="10" t="e">
        <f>IF(INDEX(GRAFO!$M$2:'GRAFO'!$M$41,MATCH(O37,GRAFO!$M$2:'GRAFO'!$M$41,0),1)&lt;&gt;0,1,0)</f>
        <v>#N/A</v>
      </c>
      <c r="U37" s="10">
        <f t="shared" si="8"/>
        <v>0</v>
      </c>
    </row>
    <row r="38" spans="1:21">
      <c r="A38" s="46" t="s">
        <v>264</v>
      </c>
      <c r="B38" s="10" t="s">
        <v>4</v>
      </c>
      <c r="D38" s="10" t="str">
        <f t="shared" si="3"/>
        <v>presidente_da_republica</v>
      </c>
      <c r="E38" s="10" t="str">
        <f t="shared" si="4"/>
        <v>c2rm:responsible_for</v>
      </c>
      <c r="F38" s="10" t="str">
        <f t="shared" si="5"/>
        <v>dped</v>
      </c>
      <c r="G38" s="3" t="str">
        <f t="shared" si="6"/>
        <v>NOK</v>
      </c>
      <c r="I38" s="10" t="str">
        <f t="shared" si="1"/>
        <v>presidente_da_republica-dped</v>
      </c>
      <c r="J38" s="10"/>
      <c r="K38" s="10"/>
      <c r="L38" s="3" t="e">
        <f>IF(INDEX(GRAFO!$L$2:'GRAFO'!$L$41,MATCH(I38,GRAFO!$L$2:'GRAFO'!$L$41,0),1)&lt;&gt;0,1,0)</f>
        <v>#N/A</v>
      </c>
      <c r="M38" s="3">
        <f t="shared" si="7"/>
        <v>0</v>
      </c>
      <c r="O38" s="10" t="str">
        <f t="shared" si="2"/>
        <v>presidente_da_republica-c2rm:responsible_for-dped</v>
      </c>
      <c r="P38" s="10"/>
      <c r="Q38" s="10"/>
      <c r="R38" s="10"/>
      <c r="S38" s="10"/>
      <c r="T38" s="10" t="e">
        <f>IF(INDEX(GRAFO!$M$2:'GRAFO'!$M$41,MATCH(O38,GRAFO!$M$2:'GRAFO'!$M$41,0),1)&lt;&gt;0,1,0)</f>
        <v>#N/A</v>
      </c>
      <c r="U38" s="10">
        <f t="shared" si="8"/>
        <v>0</v>
      </c>
    </row>
    <row r="39" spans="1:21">
      <c r="A39" s="46" t="s">
        <v>109</v>
      </c>
      <c r="B39" s="10" t="s">
        <v>7</v>
      </c>
      <c r="C39" s="24"/>
      <c r="D39" s="10" t="str">
        <f t="shared" si="3"/>
        <v>ministerio_da_defesa</v>
      </c>
      <c r="E39" s="10" t="str">
        <f t="shared" si="4"/>
        <v>c2rm:responsible_for</v>
      </c>
      <c r="F39" s="10" t="str">
        <f t="shared" si="5"/>
        <v>dmed</v>
      </c>
      <c r="G39" s="3" t="str">
        <f t="shared" si="6"/>
        <v>NOK</v>
      </c>
      <c r="I39" s="10" t="str">
        <f t="shared" si="1"/>
        <v>ministerio_da_defesa-dmed</v>
      </c>
      <c r="J39" s="10"/>
      <c r="K39" s="10"/>
      <c r="L39" s="3" t="e">
        <f>IF(INDEX(GRAFO!$L$2:'GRAFO'!$L$41,MATCH(I39,GRAFO!$L$2:'GRAFO'!$L$41,0),1)&lt;&gt;0,1,0)</f>
        <v>#N/A</v>
      </c>
      <c r="M39" s="3">
        <f t="shared" si="7"/>
        <v>0</v>
      </c>
      <c r="O39" s="10" t="str">
        <f t="shared" si="2"/>
        <v>ministerio_da_defesa-c2rm:responsible_for-dmed</v>
      </c>
      <c r="P39" s="10"/>
      <c r="Q39" s="10"/>
      <c r="R39" s="10"/>
      <c r="S39" s="10"/>
      <c r="T39" s="10" t="e">
        <f>IF(INDEX(GRAFO!$M$2:'GRAFO'!$M$41,MATCH(O39,GRAFO!$M$2:'GRAFO'!$M$41,0),1)&lt;&gt;0,1,0)</f>
        <v>#N/A</v>
      </c>
      <c r="U39" s="10">
        <f t="shared" si="8"/>
        <v>0</v>
      </c>
    </row>
    <row r="40" spans="1:21">
      <c r="A40" s="46" t="s">
        <v>104</v>
      </c>
      <c r="B40" s="10" t="s">
        <v>7</v>
      </c>
      <c r="C40" s="9" t="str">
        <f t="shared" ref="C40:C50" si="9">IF(INDEX($A$3:$B$18,MATCH(D3,$A$3:$A$17,0),2)&lt;&gt;0,"OK","NOK")</f>
        <v>OK</v>
      </c>
      <c r="D40" s="10" t="str">
        <f t="shared" si="3"/>
        <v>dped</v>
      </c>
      <c r="E40" s="10" t="str">
        <f t="shared" si="4"/>
        <v>rdf:Bag</v>
      </c>
      <c r="F40" s="10" t="str">
        <f t="shared" si="5"/>
        <v>planos_estrategicos</v>
      </c>
      <c r="G40" s="3" t="str">
        <f t="shared" si="6"/>
        <v>NOK</v>
      </c>
      <c r="I40" s="10" t="str">
        <f t="shared" si="1"/>
        <v>dped-planos_estrategicos</v>
      </c>
      <c r="J40" s="10"/>
      <c r="K40" s="10"/>
      <c r="L40" s="3" t="e">
        <f>IF(INDEX(GRAFO!$L$2:'GRAFO'!$L$41,MATCH(I40,GRAFO!$L$2:'GRAFO'!$L$41,0),1)&lt;&gt;0,1,0)</f>
        <v>#N/A</v>
      </c>
      <c r="M40" s="3">
        <f t="shared" si="7"/>
        <v>0</v>
      </c>
      <c r="O40" s="10" t="str">
        <f t="shared" si="2"/>
        <v>dped-rdf:Bag-planos_estrategicos</v>
      </c>
      <c r="P40" s="10"/>
      <c r="Q40" s="10"/>
      <c r="R40" s="10"/>
      <c r="S40" s="10"/>
      <c r="T40" s="10" t="e">
        <f>IF(INDEX(GRAFO!$M$2:'GRAFO'!$M$41,MATCH(O40,GRAFO!$M$2:'GRAFO'!$M$41,0),1)&lt;&gt;0,1,0)</f>
        <v>#N/A</v>
      </c>
      <c r="U40" s="10">
        <f t="shared" si="8"/>
        <v>0</v>
      </c>
    </row>
    <row r="41" spans="1:21">
      <c r="A41" s="46" t="s">
        <v>266</v>
      </c>
      <c r="B41" s="10" t="s">
        <v>4</v>
      </c>
      <c r="C41" s="9" t="str">
        <f t="shared" si="9"/>
        <v>OK</v>
      </c>
      <c r="D41" s="10" t="str">
        <f t="shared" si="3"/>
        <v>dmed</v>
      </c>
      <c r="E41" s="10" t="str">
        <f t="shared" si="4"/>
        <v>rdf:Bag</v>
      </c>
      <c r="F41" s="10" t="str">
        <f t="shared" si="5"/>
        <v>planos_estrategicos</v>
      </c>
      <c r="G41" s="3" t="str">
        <f t="shared" si="6"/>
        <v>NOK</v>
      </c>
      <c r="I41" s="10" t="str">
        <f t="shared" si="1"/>
        <v>dmed-planos_estrategicos</v>
      </c>
      <c r="J41" s="10"/>
      <c r="K41" s="10"/>
      <c r="L41" s="3" t="e">
        <f>IF(INDEX(GRAFO!$L$2:'GRAFO'!$L$41,MATCH(I41,GRAFO!$L$2:'GRAFO'!$L$41,0),1)&lt;&gt;0,1,0)</f>
        <v>#N/A</v>
      </c>
      <c r="M41" s="3">
        <f t="shared" si="7"/>
        <v>0</v>
      </c>
      <c r="O41" s="10" t="str">
        <f t="shared" si="2"/>
        <v>dmed-rdf:Bag-planos_estrategicos</v>
      </c>
      <c r="P41" s="10"/>
      <c r="Q41" s="10"/>
      <c r="R41" s="10"/>
      <c r="S41" s="10"/>
      <c r="T41" s="10" t="e">
        <f>IF(INDEX(GRAFO!$M$2:'GRAFO'!$M$41,MATCH(O41,GRAFO!$M$2:'GRAFO'!$M$41,0),1)&lt;&gt;0,1,0)</f>
        <v>#N/A</v>
      </c>
      <c r="U41" s="10">
        <f t="shared" si="8"/>
        <v>0</v>
      </c>
    </row>
    <row r="42" spans="1:21">
      <c r="A42" s="46" t="s">
        <v>107</v>
      </c>
      <c r="B42" s="10" t="s">
        <v>7</v>
      </c>
      <c r="C42" s="9" t="str">
        <f t="shared" si="9"/>
        <v>OK</v>
      </c>
      <c r="D42" s="10" t="str">
        <f t="shared" si="3"/>
        <v>comandos_operacionais</v>
      </c>
      <c r="E42" s="10" t="str">
        <f t="shared" si="4"/>
        <v>rdfs:seeAlso</v>
      </c>
      <c r="F42" s="10" t="str">
        <f t="shared" si="5"/>
        <v>planos_estrategicos</v>
      </c>
      <c r="G42" s="3" t="str">
        <f t="shared" si="6"/>
        <v>NOK</v>
      </c>
      <c r="I42" s="10" t="str">
        <f t="shared" si="1"/>
        <v>comandos_operacionais-planos_estrategicos</v>
      </c>
      <c r="J42" s="10"/>
      <c r="K42" s="10"/>
      <c r="L42" s="3" t="e">
        <f>IF(INDEX(GRAFO!$L$2:'GRAFO'!$L$41,MATCH(I42,GRAFO!$L$2:'GRAFO'!$L$41,0),1)&lt;&gt;0,1,0)</f>
        <v>#N/A</v>
      </c>
      <c r="M42" s="3">
        <f t="shared" si="7"/>
        <v>0</v>
      </c>
      <c r="O42" s="10" t="str">
        <f t="shared" si="2"/>
        <v>comandos_operacionais-rdfs:seeAlso-planos_estrategicos</v>
      </c>
      <c r="P42" s="10"/>
      <c r="Q42" s="10"/>
      <c r="R42" s="10"/>
      <c r="S42" s="10"/>
      <c r="T42" s="10" t="e">
        <f>IF(INDEX(GRAFO!$M$2:'GRAFO'!$M$41,MATCH(O42,GRAFO!$M$2:'GRAFO'!$M$41,0),1)&lt;&gt;0,1,0)</f>
        <v>#N/A</v>
      </c>
      <c r="U42" s="10">
        <f t="shared" si="8"/>
        <v>0</v>
      </c>
    </row>
    <row r="43" spans="1:21">
      <c r="C43" s="9" t="str">
        <f t="shared" si="9"/>
        <v>OK</v>
      </c>
      <c r="D43" s="10" t="str">
        <f t="shared" si="3"/>
        <v>planejamento_campanha</v>
      </c>
      <c r="E43" s="10" t="str">
        <f t="shared" si="4"/>
        <v>rdfs:seeAlso</v>
      </c>
      <c r="F43" s="10" t="str">
        <f t="shared" si="5"/>
        <v>planos_estrategicos</v>
      </c>
      <c r="G43" s="3" t="str">
        <f t="shared" si="6"/>
        <v>NOK</v>
      </c>
      <c r="I43" s="10" t="str">
        <f t="shared" si="1"/>
        <v>planejamento_campanha-planos_estrategicos</v>
      </c>
      <c r="J43" s="10"/>
      <c r="K43" s="10"/>
      <c r="L43" s="3" t="e">
        <f>IF(INDEX(GRAFO!$L$2:'GRAFO'!$L$41,MATCH(I43,GRAFO!$L$2:'GRAFO'!$L$41,0),1)&lt;&gt;0,1,0)</f>
        <v>#N/A</v>
      </c>
      <c r="M43" s="3">
        <f t="shared" si="7"/>
        <v>0</v>
      </c>
      <c r="O43" s="10" t="str">
        <f t="shared" si="2"/>
        <v>planejamento_campanha-rdfs:seeAlso-planos_estrategicos</v>
      </c>
      <c r="P43" s="10"/>
      <c r="Q43" s="10"/>
      <c r="R43" s="10"/>
      <c r="S43" s="10"/>
      <c r="T43" s="10" t="e">
        <f>IF(INDEX(GRAFO!$M$2:'GRAFO'!$M$41,MATCH(O43,GRAFO!$M$2:'GRAFO'!$M$41,0),1)&lt;&gt;0,1,0)</f>
        <v>#N/A</v>
      </c>
      <c r="U43" s="10">
        <f t="shared" si="8"/>
        <v>0</v>
      </c>
    </row>
    <row r="44" spans="1:21">
      <c r="C44" s="9" t="str">
        <f t="shared" si="9"/>
        <v>OK</v>
      </c>
      <c r="D44" s="10" t="str">
        <f t="shared" si="3"/>
        <v>comandos_operacionais</v>
      </c>
      <c r="E44" s="10" t="str">
        <f t="shared" si="4"/>
        <v>c2rm:responsible_for</v>
      </c>
      <c r="F44" s="10" t="str">
        <f t="shared" si="5"/>
        <v>planejamento_campanha</v>
      </c>
      <c r="G44" s="3" t="str">
        <f t="shared" si="6"/>
        <v>NOK</v>
      </c>
      <c r="I44" s="10" t="str">
        <f t="shared" si="1"/>
        <v>comandos_operacionais-planejamento_campanha</v>
      </c>
      <c r="J44" s="10"/>
      <c r="K44" s="10"/>
      <c r="L44" s="3" t="e">
        <f>IF(INDEX(GRAFO!$L$2:'GRAFO'!$L$41,MATCH(I44,GRAFO!$L$2:'GRAFO'!$L$41,0),1)&lt;&gt;0,1,0)</f>
        <v>#N/A</v>
      </c>
      <c r="M44" s="3">
        <f t="shared" si="7"/>
        <v>0</v>
      </c>
      <c r="O44" s="10" t="str">
        <f t="shared" si="2"/>
        <v>comandos_operacionais-c2rm:responsible_for-planejamento_campanha</v>
      </c>
      <c r="P44" s="10"/>
      <c r="Q44" s="10"/>
      <c r="R44" s="10"/>
      <c r="S44" s="10"/>
      <c r="T44" s="10" t="e">
        <f>IF(INDEX(GRAFO!$M$2:'GRAFO'!$M$41,MATCH(O44,GRAFO!$M$2:'GRAFO'!$M$41,0),1)&lt;&gt;0,1,0)</f>
        <v>#N/A</v>
      </c>
      <c r="U44" s="10">
        <f t="shared" si="8"/>
        <v>0</v>
      </c>
    </row>
    <row r="45" spans="1:21">
      <c r="C45" s="9" t="str">
        <f t="shared" si="9"/>
        <v>NOK</v>
      </c>
      <c r="D45" s="10" t="str">
        <f t="shared" si="3"/>
        <v>comandos_operacionais</v>
      </c>
      <c r="E45" s="10" t="str">
        <f t="shared" si="4"/>
        <v>c2rm:responsible_for</v>
      </c>
      <c r="F45" s="10" t="str">
        <f t="shared" si="5"/>
        <v>area_de_interesse</v>
      </c>
      <c r="G45" s="3" t="str">
        <f t="shared" si="6"/>
        <v>NOK</v>
      </c>
      <c r="I45" s="10" t="str">
        <f t="shared" si="1"/>
        <v>comandos_operacionais-area_de_interesse</v>
      </c>
      <c r="J45" s="10"/>
      <c r="K45" s="10"/>
      <c r="L45" s="3" t="e">
        <f>IF(INDEX(GRAFO!$L$2:'GRAFO'!$L$41,MATCH(I45,GRAFO!$L$2:'GRAFO'!$L$41,0),1)&lt;&gt;0,1,0)</f>
        <v>#N/A</v>
      </c>
      <c r="M45" s="3">
        <f t="shared" si="7"/>
        <v>0</v>
      </c>
      <c r="O45" s="10" t="str">
        <f t="shared" si="2"/>
        <v>comandos_operacionais-c2rm:responsible_for-area_de_interesse</v>
      </c>
      <c r="P45" s="10"/>
      <c r="Q45" s="10"/>
      <c r="R45" s="10"/>
      <c r="S45" s="10"/>
      <c r="T45" s="10" t="e">
        <f>IF(INDEX(GRAFO!$M$2:'GRAFO'!$M$41,MATCH(O45,GRAFO!$M$2:'GRAFO'!$M$41,0),1)&lt;&gt;0,1,0)</f>
        <v>#N/A</v>
      </c>
      <c r="U45" s="10">
        <f t="shared" si="8"/>
        <v>0</v>
      </c>
    </row>
    <row r="46" spans="1:21">
      <c r="C46" s="9" t="str">
        <f t="shared" si="9"/>
        <v>OK</v>
      </c>
      <c r="D46" s="10" t="str">
        <f t="shared" si="3"/>
        <v>comandos_operacionais</v>
      </c>
      <c r="E46" s="10" t="str">
        <f t="shared" si="4"/>
        <v>c2rm:responsible_for</v>
      </c>
      <c r="F46" s="10" t="str">
        <f t="shared" si="5"/>
        <v>operacional</v>
      </c>
      <c r="G46" s="3" t="str">
        <f t="shared" si="6"/>
        <v>OK</v>
      </c>
      <c r="I46" s="10" t="str">
        <f t="shared" si="1"/>
        <v>comandos_operacionais-operacional</v>
      </c>
      <c r="J46" s="10"/>
      <c r="K46" s="10"/>
      <c r="L46" s="3">
        <f>IF(INDEX(GRAFO!$L$2:'GRAFO'!$L$41,MATCH(I46,GRAFO!$L$2:'GRAFO'!$L$41,0),1)&lt;&gt;0,1,0)</f>
        <v>1</v>
      </c>
      <c r="M46" s="3">
        <f t="shared" si="7"/>
        <v>1</v>
      </c>
      <c r="O46" s="10" t="str">
        <f t="shared" si="2"/>
        <v>comandos_operacionais-c2rm:responsible_for-operacional</v>
      </c>
      <c r="P46" s="10"/>
      <c r="Q46" s="10"/>
      <c r="R46" s="10"/>
      <c r="S46" s="10"/>
      <c r="T46" s="10">
        <f>IF(INDEX(GRAFO!$M$2:'GRAFO'!$M$41,MATCH(O46,GRAFO!$M$2:'GRAFO'!$M$41,0),1)&lt;&gt;0,1,0)</f>
        <v>1</v>
      </c>
      <c r="U46" s="10">
        <f t="shared" si="8"/>
        <v>1</v>
      </c>
    </row>
    <row r="47" spans="1:21">
      <c r="C47" s="9" t="str">
        <f t="shared" si="9"/>
        <v>NOK</v>
      </c>
      <c r="D47" s="10" t="str">
        <f t="shared" si="3"/>
        <v>planos_operacionais</v>
      </c>
      <c r="E47" s="10" t="str">
        <f t="shared" si="4"/>
        <v>rdfs:seeAlso</v>
      </c>
      <c r="F47" s="10" t="str">
        <f t="shared" si="5"/>
        <v>planos_estrategicos</v>
      </c>
      <c r="G47" s="3" t="str">
        <f t="shared" si="6"/>
        <v>NOK</v>
      </c>
      <c r="I47" s="10" t="str">
        <f t="shared" si="1"/>
        <v>planos_operacionais-planos_estrategicos</v>
      </c>
      <c r="J47" s="10"/>
      <c r="K47" s="10"/>
      <c r="L47" s="3" t="e">
        <f>IF(INDEX(GRAFO!$L$2:'GRAFO'!$L$41,MATCH(I47,GRAFO!$L$2:'GRAFO'!$L$41,0),1)&lt;&gt;0,1,0)</f>
        <v>#N/A</v>
      </c>
      <c r="M47" s="3">
        <f t="shared" si="7"/>
        <v>0</v>
      </c>
      <c r="O47" s="10" t="str">
        <f t="shared" si="2"/>
        <v>planos_operacionais-rdfs:seeAlso-planos_estrategicos</v>
      </c>
      <c r="P47" s="10"/>
      <c r="Q47" s="10"/>
      <c r="R47" s="10"/>
      <c r="S47" s="10"/>
      <c r="T47" s="10" t="e">
        <f>IF(INDEX(GRAFO!$M$2:'GRAFO'!$M$41,MATCH(O47,GRAFO!$M$2:'GRAFO'!$M$41,0),1)&lt;&gt;0,1,0)</f>
        <v>#N/A</v>
      </c>
      <c r="U47" s="10">
        <f t="shared" si="8"/>
        <v>0</v>
      </c>
    </row>
    <row r="48" spans="1:21">
      <c r="C48" s="9" t="str">
        <f t="shared" si="9"/>
        <v>NOK</v>
      </c>
      <c r="D48" s="10" t="str">
        <f t="shared" si="3"/>
        <v>planos_operacionais</v>
      </c>
      <c r="E48" s="10" t="str">
        <f t="shared" si="4"/>
        <v>c2rm:applied_to</v>
      </c>
      <c r="F48" s="10" t="str">
        <f t="shared" si="5"/>
        <v>planos_baseia-se</v>
      </c>
      <c r="G48" s="3" t="str">
        <f t="shared" si="6"/>
        <v>NOK</v>
      </c>
      <c r="I48" s="10" t="str">
        <f t="shared" si="1"/>
        <v>planos_operacionais-planos_baseia-se</v>
      </c>
      <c r="J48" s="10"/>
      <c r="K48" s="10"/>
      <c r="L48" s="3" t="e">
        <f>IF(INDEX(GRAFO!$L$2:'GRAFO'!$L$41,MATCH(I48,GRAFO!$L$2:'GRAFO'!$L$41,0),1)&lt;&gt;0,1,0)</f>
        <v>#N/A</v>
      </c>
      <c r="M48" s="3">
        <f t="shared" si="7"/>
        <v>0</v>
      </c>
      <c r="O48" s="10" t="str">
        <f t="shared" si="2"/>
        <v>planos_operacionais-c2rm:applied_to-planos_baseia-se</v>
      </c>
      <c r="P48" s="10"/>
      <c r="Q48" s="10"/>
      <c r="R48" s="10"/>
      <c r="S48" s="10"/>
      <c r="T48" s="10" t="e">
        <f>IF(INDEX(GRAFO!$M$2:'GRAFO'!$M$41,MATCH(O48,GRAFO!$M$2:'GRAFO'!$M$41,0),1)&lt;&gt;0,1,0)</f>
        <v>#N/A</v>
      </c>
      <c r="U48" s="10">
        <f t="shared" si="8"/>
        <v>0</v>
      </c>
    </row>
    <row r="49" spans="3:21">
      <c r="C49" s="9" t="str">
        <f t="shared" si="9"/>
        <v>NOK</v>
      </c>
      <c r="D49" s="10" t="str">
        <f t="shared" si="3"/>
        <v>planos_taticos</v>
      </c>
      <c r="E49" s="10" t="str">
        <f t="shared" si="4"/>
        <v>rdfs:seeAlso</v>
      </c>
      <c r="F49" s="10" t="str">
        <f t="shared" si="5"/>
        <v>planos_operacionais</v>
      </c>
      <c r="G49" s="3" t="str">
        <f t="shared" si="6"/>
        <v>NOK</v>
      </c>
      <c r="I49" s="10" t="str">
        <f t="shared" si="1"/>
        <v>planos_taticos-planos_operacionais</v>
      </c>
      <c r="J49" s="10"/>
      <c r="K49" s="10"/>
      <c r="L49" s="3" t="e">
        <f>IF(INDEX(GRAFO!$L$2:'GRAFO'!$L$41,MATCH(I49,GRAFO!$L$2:'GRAFO'!$L$41,0),1)&lt;&gt;0,1,0)</f>
        <v>#N/A</v>
      </c>
      <c r="M49" s="3">
        <f t="shared" si="7"/>
        <v>0</v>
      </c>
      <c r="O49" s="10" t="str">
        <f t="shared" si="2"/>
        <v>planos_taticos-rdfs:seeAlso-planos_operacionais</v>
      </c>
      <c r="P49" s="10"/>
      <c r="Q49" s="10"/>
      <c r="R49" s="10"/>
      <c r="S49" s="10"/>
      <c r="T49" s="10" t="e">
        <f>IF(INDEX(GRAFO!$M$2:'GRAFO'!$M$41,MATCH(O49,GRAFO!$M$2:'GRAFO'!$M$41,0),1)&lt;&gt;0,1,0)</f>
        <v>#N/A</v>
      </c>
      <c r="U49" s="10">
        <f t="shared" si="8"/>
        <v>0</v>
      </c>
    </row>
    <row r="50" spans="3:21">
      <c r="C50" s="9" t="str">
        <f t="shared" si="9"/>
        <v>OK</v>
      </c>
      <c r="D50" s="10" t="str">
        <f t="shared" si="3"/>
        <v>forca_componente</v>
      </c>
      <c r="E50" s="10" t="str">
        <f t="shared" si="4"/>
        <v>c2rm:applied_to</v>
      </c>
      <c r="F50" s="10" t="str">
        <f t="shared" si="5"/>
        <v>planos_taticos</v>
      </c>
      <c r="G50" s="3" t="str">
        <f t="shared" si="6"/>
        <v>NOK</v>
      </c>
      <c r="I50" s="10" t="str">
        <f t="shared" si="1"/>
        <v>forca_componente-planos_taticos</v>
      </c>
      <c r="J50" s="10"/>
      <c r="K50" s="10"/>
      <c r="L50" s="3" t="e">
        <f>IF(INDEX(GRAFO!$L$2:'GRAFO'!$L$41,MATCH(I50,GRAFO!$L$2:'GRAFO'!$L$41,0),1)&lt;&gt;0,1,0)</f>
        <v>#N/A</v>
      </c>
      <c r="M50" s="3">
        <f t="shared" si="7"/>
        <v>0</v>
      </c>
      <c r="O50" s="10" t="str">
        <f t="shared" si="2"/>
        <v>forca_componente-c2rm:applied_to-planos_taticos</v>
      </c>
      <c r="P50" s="10"/>
      <c r="Q50" s="10"/>
      <c r="R50" s="10"/>
      <c r="S50" s="10"/>
      <c r="T50" s="10" t="e">
        <f>IF(INDEX(GRAFO!$M$2:'GRAFO'!$M$41,MATCH(O50,GRAFO!$M$2:'GRAFO'!$M$41,0),1)&lt;&gt;0,1,0)</f>
        <v>#N/A</v>
      </c>
      <c r="U50" s="10">
        <f t="shared" si="8"/>
        <v>0</v>
      </c>
    </row>
    <row r="51" spans="3:21">
      <c r="C51" s="9" t="str">
        <f t="shared" ref="C51:C55" si="10">IF(INDEX($A$3:$B$18,MATCH(D14,$A$3:$A$17,0),2)&lt;&gt;0,"OK","NOK")</f>
        <v>NOK</v>
      </c>
      <c r="D51" s="10" t="str">
        <f t="shared" si="3"/>
        <v>forca_componente</v>
      </c>
      <c r="E51" s="10" t="str">
        <f t="shared" si="4"/>
        <v>c2rm:responsible_for</v>
      </c>
      <c r="F51" s="10" t="str">
        <f t="shared" si="5"/>
        <v>tatico</v>
      </c>
      <c r="G51" s="3" t="str">
        <f t="shared" si="6"/>
        <v>OK</v>
      </c>
      <c r="I51" s="10" t="str">
        <f t="shared" si="1"/>
        <v>forca_componente-tatico</v>
      </c>
      <c r="J51" s="10"/>
      <c r="K51" s="10"/>
      <c r="L51" s="3">
        <f>IF(INDEX(GRAFO!$L$2:'GRAFO'!$L$41,MATCH(I51,GRAFO!$L$2:'GRAFO'!$L$41,0),1)&lt;&gt;0,1,0)</f>
        <v>1</v>
      </c>
      <c r="M51" s="3">
        <f t="shared" si="7"/>
        <v>1</v>
      </c>
      <c r="O51" s="10" t="str">
        <f t="shared" si="2"/>
        <v>forca_componente-c2rm:responsible_for-tatico</v>
      </c>
      <c r="P51" s="10"/>
      <c r="Q51" s="10"/>
      <c r="R51" s="10"/>
      <c r="S51" s="10"/>
      <c r="T51" s="10">
        <f>IF(INDEX(GRAFO!$M$2:'GRAFO'!$M$41,MATCH(O51,GRAFO!$M$2:'GRAFO'!$M$41,0),1)&lt;&gt;0,1,0)</f>
        <v>1</v>
      </c>
      <c r="U51" s="10">
        <f t="shared" si="8"/>
        <v>1</v>
      </c>
    </row>
    <row r="52" spans="3:21">
      <c r="C52" s="9" t="str">
        <f t="shared" si="10"/>
        <v>OK</v>
      </c>
      <c r="D52" s="10" t="str">
        <f t="shared" si="3"/>
        <v>forcas_armadas</v>
      </c>
      <c r="E52" s="10" t="str">
        <f t="shared" si="4"/>
        <v>c2rm:responsible_for</v>
      </c>
      <c r="F52" s="10" t="str">
        <f t="shared" si="5"/>
        <v>forca_componente</v>
      </c>
      <c r="G52" s="3" t="str">
        <f t="shared" si="6"/>
        <v>OK</v>
      </c>
      <c r="I52" s="10" t="str">
        <f t="shared" si="1"/>
        <v>forcas_armadas-forca_componente</v>
      </c>
      <c r="J52" s="10"/>
      <c r="K52" s="10"/>
      <c r="L52" s="3" t="e">
        <f>IF(INDEX(GRAFO!$L$2:'GRAFO'!$L$41,MATCH(I52,GRAFO!$L$2:'GRAFO'!$L$41,0),1)&lt;&gt;0,1,0)</f>
        <v>#N/A</v>
      </c>
      <c r="M52" s="3">
        <f t="shared" si="7"/>
        <v>0</v>
      </c>
      <c r="O52" s="10" t="str">
        <f t="shared" si="2"/>
        <v>forcas_armadas-c2rm:responsible_for-forca_componente</v>
      </c>
      <c r="P52" s="10"/>
      <c r="Q52" s="10"/>
      <c r="R52" s="10"/>
      <c r="S52" s="10"/>
      <c r="T52" s="10" t="e">
        <f>IF(INDEX(GRAFO!$M$2:'GRAFO'!$M$41,MATCH(O52,GRAFO!$M$2:'GRAFO'!$M$41,0),1)&lt;&gt;0,1,0)</f>
        <v>#N/A</v>
      </c>
      <c r="U52" s="10">
        <f t="shared" si="8"/>
        <v>0</v>
      </c>
    </row>
    <row r="53" spans="3:21">
      <c r="C53" s="9" t="str">
        <f t="shared" si="10"/>
        <v>OK</v>
      </c>
      <c r="D53" s="10" t="str">
        <f>IF(INDEX($A$3:$B$23,MATCH(D24,$A$3:$A$23,0),2)&lt;&gt;0,INDEX($A$3:$B$23,MATCH(D24,$A$3:$A$23,0),2),D24)</f>
        <v>marinha</v>
      </c>
      <c r="E53" s="10" t="str">
        <f t="shared" si="4"/>
        <v>rdfs:subClassOf</v>
      </c>
      <c r="F53" s="10" t="str">
        <f t="shared" si="5"/>
        <v>forcas_armadas</v>
      </c>
      <c r="G53" s="3" t="str">
        <f t="shared" si="6"/>
        <v>OK</v>
      </c>
      <c r="I53" s="10" t="str">
        <f t="shared" si="1"/>
        <v>marinha-forcas_armadas</v>
      </c>
      <c r="J53" s="10"/>
      <c r="K53" s="10"/>
      <c r="L53" s="3">
        <f>IF(INDEX(GRAFO!$L$2:'GRAFO'!$L$41,MATCH(I53,GRAFO!$L$2:'GRAFO'!$L$41,0),1)&lt;&gt;0,1,0)</f>
        <v>1</v>
      </c>
      <c r="M53" s="3">
        <f t="shared" si="7"/>
        <v>1</v>
      </c>
      <c r="O53" s="10" t="str">
        <f t="shared" si="2"/>
        <v>marinha-rdfs:subClassOf-forcas_armadas</v>
      </c>
      <c r="P53" s="10"/>
      <c r="Q53" s="10"/>
      <c r="R53" s="10"/>
      <c r="S53" s="10"/>
      <c r="T53" s="10">
        <f>IF(INDEX(GRAFO!$M$2:'GRAFO'!$M$41,MATCH(O53,GRAFO!$M$2:'GRAFO'!$M$41,0),1)&lt;&gt;0,1,0)</f>
        <v>1</v>
      </c>
      <c r="U53" s="10">
        <f t="shared" si="8"/>
        <v>1</v>
      </c>
    </row>
    <row r="54" spans="3:21">
      <c r="C54" s="9" t="str">
        <f t="shared" si="10"/>
        <v>OK</v>
      </c>
      <c r="D54" s="10" t="str">
        <f>IF(INDEX($A$3:$B$23,MATCH(D25,$A$3:$A$23,0),2)&lt;&gt;0,INDEX($A$3:$B$23,MATCH(D25,$A$3:$A$23,0),2),D25)</f>
        <v>exercito</v>
      </c>
      <c r="E54" s="10" t="str">
        <f t="shared" si="4"/>
        <v>rdfs:subClassOf</v>
      </c>
      <c r="F54" s="10" t="str">
        <f t="shared" si="5"/>
        <v>forcas_armadas</v>
      </c>
      <c r="G54" s="3" t="str">
        <f t="shared" si="6"/>
        <v>OK</v>
      </c>
      <c r="I54" s="10" t="str">
        <f t="shared" si="1"/>
        <v>exercito-forcas_armadas</v>
      </c>
      <c r="J54" s="10"/>
      <c r="K54" s="10"/>
      <c r="L54" s="3">
        <f>IF(INDEX(GRAFO!$L$2:'GRAFO'!$L$41,MATCH(I54,GRAFO!$L$2:'GRAFO'!$L$41,0),1)&lt;&gt;0,1,0)</f>
        <v>1</v>
      </c>
      <c r="M54" s="3">
        <f t="shared" si="7"/>
        <v>1</v>
      </c>
      <c r="O54" s="10" t="str">
        <f t="shared" si="2"/>
        <v>exercito-rdfs:subClassOf-forcas_armadas</v>
      </c>
      <c r="P54" s="10"/>
      <c r="Q54" s="10"/>
      <c r="R54" s="10"/>
      <c r="S54" s="10"/>
      <c r="T54" s="10">
        <f>IF(INDEX(GRAFO!$M$2:'GRAFO'!$M$41,MATCH(O54,GRAFO!$M$2:'GRAFO'!$M$41,0),1)&lt;&gt;0,1,0)</f>
        <v>1</v>
      </c>
      <c r="U54" s="10">
        <f t="shared" si="8"/>
        <v>1</v>
      </c>
    </row>
    <row r="55" spans="3:21">
      <c r="C55" s="9" t="str">
        <f t="shared" si="10"/>
        <v>NOK</v>
      </c>
      <c r="D55" s="10" t="str">
        <f>IF(INDEX($A$3:$B$23,MATCH(D26,$A$3:$A$23,0),2)&lt;&gt;0,INDEX($A$3:$B$23,MATCH(D26,$A$3:$A$23,0),2),D26)</f>
        <v>aeronautica</v>
      </c>
      <c r="E55" s="10" t="str">
        <f t="shared" si="4"/>
        <v>rdfs:subClassOf</v>
      </c>
      <c r="F55" s="10" t="str">
        <f t="shared" si="5"/>
        <v>forcas_armadas</v>
      </c>
      <c r="G55" s="3" t="str">
        <f t="shared" si="6"/>
        <v>OK</v>
      </c>
      <c r="I55" s="10" t="str">
        <f t="shared" si="1"/>
        <v>aeronautica-forcas_armadas</v>
      </c>
      <c r="J55" s="10"/>
      <c r="K55" s="10"/>
      <c r="L55" s="3">
        <f>IF(INDEX(GRAFO!$L$2:'GRAFO'!$L$41,MATCH(I55,GRAFO!$L$2:'GRAFO'!$L$41,0),1)&lt;&gt;0,1,0)</f>
        <v>1</v>
      </c>
      <c r="M55" s="3">
        <f t="shared" si="7"/>
        <v>1</v>
      </c>
      <c r="O55" s="10" t="str">
        <f t="shared" si="2"/>
        <v>aeronautica-rdfs:subClassOf-forcas_armadas</v>
      </c>
      <c r="P55" s="10"/>
      <c r="Q55" s="10"/>
      <c r="R55" s="10"/>
      <c r="S55" s="10"/>
      <c r="T55" s="10">
        <f>IF(INDEX(GRAFO!$M$2:'GRAFO'!$M$41,MATCH(O55,GRAFO!$M$2:'GRAFO'!$M$41,0),1)&lt;&gt;0,1,0)</f>
        <v>1</v>
      </c>
      <c r="U55" s="10">
        <f t="shared" si="8"/>
        <v>1</v>
      </c>
    </row>
  </sheetData>
  <mergeCells count="8">
    <mergeCell ref="O30:U30"/>
    <mergeCell ref="O31:S31"/>
    <mergeCell ref="T31:U31"/>
    <mergeCell ref="A1:B1"/>
    <mergeCell ref="D1:F1"/>
    <mergeCell ref="K4:K5"/>
    <mergeCell ref="D30:G30"/>
    <mergeCell ref="I30:M30"/>
  </mergeCells>
  <dataValidations count="9">
    <dataValidation type="list" allowBlank="1" showInputMessage="1" showErrorMessage="1" sqref="E24:E29 E17 E22 E3:E12">
      <formula1>$A$32:$A$40</formula1>
    </dataValidation>
    <dataValidation type="list" allowBlank="1" showInputMessage="1" showErrorMessage="1" sqref="D27:D29 F27:F29">
      <formula1>$A$3:$A$28</formula1>
    </dataValidation>
    <dataValidation type="list" allowBlank="1" showInputMessage="1" showErrorMessage="1" sqref="B32:B36 B38:B42">
      <formula1>$AE$2:$AE$12</formula1>
    </dataValidation>
    <dataValidation type="list" allowBlank="1" showInputMessage="1" showErrorMessage="1" sqref="H3:H36 G3:G29 F22 D3:D19 F3:F18 F20">
      <formula1>$A$3:$A$22</formula1>
    </dataValidation>
    <dataValidation type="list" allowBlank="1" showInputMessage="1" showErrorMessage="1" sqref="B3:C29">
      <formula1>$Y$3:$Y$31</formula1>
    </dataValidation>
    <dataValidation type="list" allowBlank="1" showInputMessage="1" showErrorMessage="1" sqref="E13:E14">
      <formula1>$A$32:$A$41</formula1>
    </dataValidation>
    <dataValidation type="list" allowBlank="1" showInputMessage="1" showErrorMessage="1" sqref="E15:E16 E18:E21 E23">
      <formula1>$A$32:$A$42</formula1>
    </dataValidation>
    <dataValidation type="list" allowBlank="1" showInputMessage="1" showErrorMessage="1" sqref="D20:D26 F19 F21 F23:F26">
      <formula1>$A$3:$A$23</formula1>
    </dataValidation>
    <dataValidation type="list" allowBlank="1" showInputMessage="1" showErrorMessage="1" sqref="F30:G30">
      <formula1>$A$3:$A$27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E73"/>
  <sheetViews>
    <sheetView topLeftCell="M1" workbookViewId="0">
      <selection activeCell="X4" sqref="X4:X7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9" t="s">
        <v>184</v>
      </c>
      <c r="AD2" s="9" t="s">
        <v>195</v>
      </c>
      <c r="AE2" s="9" t="s">
        <v>35</v>
      </c>
    </row>
    <row r="3" spans="1:31" ht="16.75">
      <c r="A3" s="46" t="s">
        <v>268</v>
      </c>
      <c r="B3" s="10" t="s">
        <v>9</v>
      </c>
      <c r="D3" s="10" t="s">
        <v>8</v>
      </c>
      <c r="E3" s="10" t="s">
        <v>101</v>
      </c>
      <c r="F3" s="10" t="s">
        <v>268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s="16" t="s">
        <v>33</v>
      </c>
      <c r="AC3" s="9" t="s">
        <v>185</v>
      </c>
      <c r="AD3" s="9" t="s">
        <v>196</v>
      </c>
      <c r="AE3" s="9" t="s">
        <v>4</v>
      </c>
    </row>
    <row r="4" spans="1:31" ht="16.75">
      <c r="A4" s="46" t="s">
        <v>8</v>
      </c>
      <c r="B4" s="10" t="s">
        <v>8</v>
      </c>
      <c r="D4" s="10" t="s">
        <v>10</v>
      </c>
      <c r="E4" s="10" t="s">
        <v>101</v>
      </c>
      <c r="F4" s="10" t="s">
        <v>268</v>
      </c>
      <c r="K4" s="85" t="s">
        <v>80</v>
      </c>
      <c r="L4" s="8" t="s">
        <v>0</v>
      </c>
      <c r="M4" s="4">
        <f>GRAFO!J2</f>
        <v>29</v>
      </c>
      <c r="N4" s="11">
        <f>COUNTA(A3:A31)</f>
        <v>29</v>
      </c>
      <c r="O4" s="11">
        <f>COUNTIF(B3:B31,"&lt;&gt;"&amp;"")</f>
        <v>14</v>
      </c>
      <c r="P4" s="2">
        <f>N4-R4</f>
        <v>14</v>
      </c>
      <c r="Q4" s="2">
        <f>M4-O4</f>
        <v>15</v>
      </c>
      <c r="R4" s="2">
        <f>N4-O4</f>
        <v>15</v>
      </c>
      <c r="S4" s="2">
        <f>O4+P4</f>
        <v>28</v>
      </c>
      <c r="T4" s="2">
        <f>Q4+R4</f>
        <v>30</v>
      </c>
      <c r="U4" s="6">
        <f>O4/(O4+R4)</f>
        <v>0.48275862068965519</v>
      </c>
      <c r="V4" s="6">
        <f>O4/(O4+Q4)</f>
        <v>0.48275862068965519</v>
      </c>
      <c r="W4" s="6">
        <f>(O4+P4)/(O4+P4+Q4+R4)</f>
        <v>0.48275862068965519</v>
      </c>
      <c r="X4" s="62">
        <f>AVERAGE(U4:W4)</f>
        <v>0.48275862068965519</v>
      </c>
      <c r="Y4" s="16" t="s">
        <v>21</v>
      </c>
      <c r="AC4" s="9" t="s">
        <v>186</v>
      </c>
      <c r="AD4" s="9" t="s">
        <v>197</v>
      </c>
      <c r="AE4" s="9" t="s">
        <v>205</v>
      </c>
    </row>
    <row r="5" spans="1:31" ht="16.75">
      <c r="A5" s="46" t="s">
        <v>10</v>
      </c>
      <c r="B5" s="10" t="s">
        <v>10</v>
      </c>
      <c r="D5" s="10" t="s">
        <v>12</v>
      </c>
      <c r="E5" s="10" t="s">
        <v>101</v>
      </c>
      <c r="F5" s="10" t="s">
        <v>268</v>
      </c>
      <c r="K5" s="85"/>
      <c r="L5" s="8" t="s">
        <v>100</v>
      </c>
      <c r="M5" s="5">
        <f>GRAFO!J3</f>
        <v>41</v>
      </c>
      <c r="N5" s="12">
        <f>COUNTA(D40:D73)</f>
        <v>34</v>
      </c>
      <c r="O5" s="12">
        <f>COUNTIF(M40:M73,"=1")</f>
        <v>8</v>
      </c>
      <c r="P5" s="2">
        <f>N5-R5</f>
        <v>8</v>
      </c>
      <c r="Q5" s="2">
        <f>M5-O5</f>
        <v>33</v>
      </c>
      <c r="R5" s="2">
        <f>N5-O5</f>
        <v>26</v>
      </c>
      <c r="S5" s="2">
        <f>O5+P5</f>
        <v>16</v>
      </c>
      <c r="T5" s="2">
        <f>Q5+R5</f>
        <v>59</v>
      </c>
      <c r="U5" s="6">
        <f>O5/(O5+R5)</f>
        <v>0.23529411764705882</v>
      </c>
      <c r="V5" s="6">
        <f>O5/(O5+Q5)</f>
        <v>0.1951219512195122</v>
      </c>
      <c r="W5" s="6">
        <f>(O5+P5)/(O5+P5+Q5+R5)</f>
        <v>0.21333333333333335</v>
      </c>
      <c r="X5" s="62">
        <f t="shared" ref="X5:X6" si="0">AVERAGE(U5:W5)</f>
        <v>0.21458313406663479</v>
      </c>
      <c r="Y5" s="16" t="s">
        <v>17</v>
      </c>
      <c r="AC5" s="9" t="s">
        <v>187</v>
      </c>
      <c r="AD5" s="9" t="s">
        <v>198</v>
      </c>
      <c r="AE5" s="9" t="s">
        <v>3</v>
      </c>
    </row>
    <row r="6" spans="1:31" ht="16.75">
      <c r="A6" s="46" t="s">
        <v>12</v>
      </c>
      <c r="B6" s="10" t="s">
        <v>12</v>
      </c>
      <c r="D6" s="10" t="s">
        <v>11</v>
      </c>
      <c r="E6" s="10" t="s">
        <v>101</v>
      </c>
      <c r="F6" s="10" t="s">
        <v>268</v>
      </c>
      <c r="L6" s="8" t="s">
        <v>99</v>
      </c>
      <c r="M6" s="5">
        <v>41</v>
      </c>
      <c r="N6" s="12">
        <f>COUNTA(D40:D73)</f>
        <v>34</v>
      </c>
      <c r="O6" s="12">
        <f>COUNTIF(U40:U73,"=1")</f>
        <v>8</v>
      </c>
      <c r="P6" s="2">
        <f>N6-R6</f>
        <v>8</v>
      </c>
      <c r="Q6" s="2">
        <f>M6-O6</f>
        <v>33</v>
      </c>
      <c r="R6" s="2">
        <f>N6-O6</f>
        <v>26</v>
      </c>
      <c r="S6" s="2">
        <f>O6+P6</f>
        <v>16</v>
      </c>
      <c r="T6" s="2">
        <f>Q6+R6</f>
        <v>59</v>
      </c>
      <c r="U6" s="6">
        <f>O6/(O6+R6)</f>
        <v>0.23529411764705882</v>
      </c>
      <c r="V6" s="6">
        <f>O6/(O6+Q6)</f>
        <v>0.1951219512195122</v>
      </c>
      <c r="W6" s="6">
        <f>(O6+P6)/(O6+P6+Q6+R6)</f>
        <v>0.21333333333333335</v>
      </c>
      <c r="X6" s="62">
        <f t="shared" si="0"/>
        <v>0.21458313406663479</v>
      </c>
      <c r="Y6" s="16" t="s">
        <v>40</v>
      </c>
      <c r="AC6" s="9" t="s">
        <v>188</v>
      </c>
      <c r="AD6" s="9" t="s">
        <v>199</v>
      </c>
      <c r="AE6" s="9" t="s">
        <v>6</v>
      </c>
    </row>
    <row r="7" spans="1:31" ht="16.75">
      <c r="A7" s="46" t="s">
        <v>11</v>
      </c>
      <c r="B7" s="10" t="s">
        <v>11</v>
      </c>
      <c r="D7" s="10" t="s">
        <v>233</v>
      </c>
      <c r="E7" s="10" t="s">
        <v>142</v>
      </c>
      <c r="F7" s="10" t="s">
        <v>283</v>
      </c>
      <c r="X7" s="62">
        <f>AVERAGE(X4:X6)</f>
        <v>0.30397496294097492</v>
      </c>
      <c r="Y7" s="16" t="s">
        <v>13</v>
      </c>
      <c r="AC7" s="9" t="s">
        <v>189</v>
      </c>
      <c r="AD7" s="9" t="s">
        <v>200</v>
      </c>
      <c r="AE7" s="9" t="s">
        <v>206</v>
      </c>
    </row>
    <row r="8" spans="1:31" ht="16.75">
      <c r="A8" s="46" t="s">
        <v>233</v>
      </c>
      <c r="B8" s="10" t="s">
        <v>40</v>
      </c>
      <c r="D8" s="10" t="s">
        <v>8</v>
      </c>
      <c r="E8" s="10" t="s">
        <v>278</v>
      </c>
      <c r="F8" s="10" t="s">
        <v>233</v>
      </c>
      <c r="Y8" s="16" t="s">
        <v>39</v>
      </c>
      <c r="AC8" s="9" t="s">
        <v>190</v>
      </c>
      <c r="AD8" s="9" t="s">
        <v>148</v>
      </c>
      <c r="AE8" s="9" t="s">
        <v>36</v>
      </c>
    </row>
    <row r="9" spans="1:31" ht="16.75">
      <c r="A9" s="46" t="s">
        <v>53</v>
      </c>
      <c r="B9" s="10"/>
      <c r="D9" s="10" t="s">
        <v>233</v>
      </c>
      <c r="E9" s="10" t="s">
        <v>277</v>
      </c>
      <c r="F9" s="10" t="s">
        <v>123</v>
      </c>
      <c r="K9" t="s">
        <v>74</v>
      </c>
      <c r="L9" t="s">
        <v>75</v>
      </c>
      <c r="N9">
        <f>GRAFO!J2</f>
        <v>29</v>
      </c>
      <c r="Y9" s="16" t="s">
        <v>19</v>
      </c>
      <c r="AC9" s="9" t="s">
        <v>191</v>
      </c>
      <c r="AD9" s="9" t="s">
        <v>201</v>
      </c>
      <c r="AE9" s="9" t="s">
        <v>7</v>
      </c>
    </row>
    <row r="10" spans="1:31" ht="16.75">
      <c r="A10" s="46" t="s">
        <v>123</v>
      </c>
      <c r="B10" s="10"/>
      <c r="D10" s="10" t="s">
        <v>10</v>
      </c>
      <c r="E10" s="10" t="s">
        <v>278</v>
      </c>
      <c r="F10" s="10" t="s">
        <v>53</v>
      </c>
      <c r="K10" t="s">
        <v>80</v>
      </c>
      <c r="L10" t="s">
        <v>76</v>
      </c>
      <c r="N10">
        <f>N4</f>
        <v>29</v>
      </c>
      <c r="Y10" s="16" t="s">
        <v>37</v>
      </c>
      <c r="AC10" s="9" t="s">
        <v>192</v>
      </c>
      <c r="AD10" s="9" t="s">
        <v>202</v>
      </c>
      <c r="AE10" s="9" t="s">
        <v>207</v>
      </c>
    </row>
    <row r="11" spans="1:31" ht="16.75">
      <c r="A11" s="46" t="s">
        <v>124</v>
      </c>
      <c r="B11" s="10"/>
      <c r="D11" s="10" t="s">
        <v>53</v>
      </c>
      <c r="E11" s="10" t="s">
        <v>277</v>
      </c>
      <c r="F11" s="10" t="s">
        <v>124</v>
      </c>
      <c r="K11" t="s">
        <v>68</v>
      </c>
      <c r="L11" t="s">
        <v>77</v>
      </c>
      <c r="N11">
        <v>16</v>
      </c>
      <c r="Y11" s="16" t="s">
        <v>10</v>
      </c>
      <c r="AC11" s="9" t="s">
        <v>193</v>
      </c>
      <c r="AD11" s="9" t="s">
        <v>203</v>
      </c>
      <c r="AE11" s="9" t="s">
        <v>208</v>
      </c>
    </row>
    <row r="12" spans="1:31" ht="16.75">
      <c r="A12" s="46" t="s">
        <v>269</v>
      </c>
      <c r="B12" s="10" t="s">
        <v>22</v>
      </c>
      <c r="D12" s="10" t="s">
        <v>32</v>
      </c>
      <c r="E12" s="10" t="s">
        <v>101</v>
      </c>
      <c r="F12" s="10" t="s">
        <v>265</v>
      </c>
      <c r="K12" t="s">
        <v>70</v>
      </c>
      <c r="L12" t="s">
        <v>78</v>
      </c>
      <c r="M12" t="s">
        <v>86</v>
      </c>
      <c r="N12">
        <f>N9-N11</f>
        <v>13</v>
      </c>
      <c r="Y12" s="16" t="s">
        <v>14</v>
      </c>
      <c r="AC12" s="9" t="s">
        <v>194</v>
      </c>
      <c r="AD12" s="9" t="s">
        <v>204</v>
      </c>
      <c r="AE12" s="9" t="s">
        <v>5</v>
      </c>
    </row>
    <row r="13" spans="1:31" ht="16.75">
      <c r="A13" s="46" t="s">
        <v>271</v>
      </c>
      <c r="B13" s="10"/>
      <c r="D13" s="10" t="s">
        <v>34</v>
      </c>
      <c r="E13" s="10" t="s">
        <v>101</v>
      </c>
      <c r="F13" s="10" t="s">
        <v>265</v>
      </c>
      <c r="K13" t="s">
        <v>69</v>
      </c>
      <c r="L13" t="s">
        <v>79</v>
      </c>
      <c r="M13" t="s">
        <v>87</v>
      </c>
      <c r="Y13" s="16" t="s">
        <v>34</v>
      </c>
    </row>
    <row r="14" spans="1:31" ht="16.75">
      <c r="A14" s="46" t="s">
        <v>161</v>
      </c>
      <c r="B14" s="10"/>
      <c r="D14" s="10" t="s">
        <v>33</v>
      </c>
      <c r="E14" s="10" t="s">
        <v>101</v>
      </c>
      <c r="F14" s="10" t="s">
        <v>265</v>
      </c>
      <c r="K14" t="s">
        <v>83</v>
      </c>
      <c r="M14" t="s">
        <v>88</v>
      </c>
      <c r="Y14" s="16" t="s">
        <v>27</v>
      </c>
    </row>
    <row r="15" spans="1:31" ht="16.75">
      <c r="A15" s="46" t="s">
        <v>165</v>
      </c>
      <c r="B15" s="10"/>
      <c r="D15" s="10" t="s">
        <v>265</v>
      </c>
      <c r="E15" s="10" t="s">
        <v>278</v>
      </c>
      <c r="F15" s="10" t="s">
        <v>26</v>
      </c>
      <c r="K15" t="s">
        <v>89</v>
      </c>
      <c r="M15" t="s">
        <v>92</v>
      </c>
      <c r="Y15" s="16" t="s">
        <v>28</v>
      </c>
    </row>
    <row r="16" spans="1:31" ht="16.75">
      <c r="A16" s="46" t="s">
        <v>270</v>
      </c>
      <c r="B16" s="10" t="s">
        <v>13</v>
      </c>
      <c r="D16" s="10" t="s">
        <v>269</v>
      </c>
      <c r="E16" s="10" t="s">
        <v>105</v>
      </c>
      <c r="F16" s="10" t="s">
        <v>265</v>
      </c>
      <c r="K16" t="s">
        <v>90</v>
      </c>
      <c r="M16" t="s">
        <v>93</v>
      </c>
      <c r="Y16" s="16" t="s">
        <v>30</v>
      </c>
    </row>
    <row r="17" spans="1:25" ht="16.75">
      <c r="A17" s="46" t="s">
        <v>272</v>
      </c>
      <c r="B17" s="10"/>
      <c r="D17" s="10" t="s">
        <v>269</v>
      </c>
      <c r="E17" s="10" t="s">
        <v>281</v>
      </c>
      <c r="F17" s="10" t="s">
        <v>268</v>
      </c>
      <c r="K17" t="s">
        <v>91</v>
      </c>
      <c r="M17" t="s">
        <v>94</v>
      </c>
      <c r="Y17" s="16" t="s">
        <v>29</v>
      </c>
    </row>
    <row r="18" spans="1:25" ht="16.75">
      <c r="A18" s="46" t="s">
        <v>26</v>
      </c>
      <c r="B18" s="10" t="s">
        <v>28</v>
      </c>
      <c r="D18" s="10" t="s">
        <v>272</v>
      </c>
      <c r="E18" s="10" t="s">
        <v>242</v>
      </c>
      <c r="F18" s="10" t="s">
        <v>269</v>
      </c>
      <c r="K18" t="s">
        <v>84</v>
      </c>
      <c r="M18" t="s">
        <v>95</v>
      </c>
      <c r="Y18" s="16" t="s">
        <v>31</v>
      </c>
    </row>
    <row r="19" spans="1:25" ht="16.75">
      <c r="A19" s="46" t="s">
        <v>32</v>
      </c>
      <c r="B19" s="10" t="s">
        <v>32</v>
      </c>
      <c r="D19" s="10" t="s">
        <v>272</v>
      </c>
      <c r="E19" s="10" t="s">
        <v>101</v>
      </c>
      <c r="F19" s="10" t="s">
        <v>270</v>
      </c>
      <c r="K19" t="s">
        <v>85</v>
      </c>
      <c r="M19" t="s">
        <v>96</v>
      </c>
      <c r="Y19" s="16" t="s">
        <v>171</v>
      </c>
    </row>
    <row r="20" spans="1:25" ht="16.75">
      <c r="A20" s="46" t="s">
        <v>34</v>
      </c>
      <c r="B20" s="10" t="s">
        <v>34</v>
      </c>
      <c r="D20" s="10" t="s">
        <v>59</v>
      </c>
      <c r="E20" s="10" t="s">
        <v>101</v>
      </c>
      <c r="F20" s="10" t="s">
        <v>270</v>
      </c>
      <c r="K20" t="s">
        <v>97</v>
      </c>
      <c r="M20" t="s">
        <v>98</v>
      </c>
      <c r="Y20" s="16" t="s">
        <v>15</v>
      </c>
    </row>
    <row r="21" spans="1:25" ht="16.75">
      <c r="A21" s="46" t="s">
        <v>33</v>
      </c>
      <c r="B21" s="10" t="s">
        <v>33</v>
      </c>
      <c r="D21" s="10" t="s">
        <v>59</v>
      </c>
      <c r="E21" s="10" t="s">
        <v>215</v>
      </c>
      <c r="F21" s="10" t="s">
        <v>273</v>
      </c>
      <c r="Y21" s="16" t="s">
        <v>16</v>
      </c>
    </row>
    <row r="22" spans="1:25" ht="16.75">
      <c r="A22" s="46" t="s">
        <v>265</v>
      </c>
      <c r="B22" s="10" t="s">
        <v>31</v>
      </c>
      <c r="D22" s="10" t="s">
        <v>165</v>
      </c>
      <c r="E22" s="10" t="s">
        <v>146</v>
      </c>
      <c r="F22" s="10" t="s">
        <v>161</v>
      </c>
      <c r="Y22" s="16" t="s">
        <v>32</v>
      </c>
    </row>
    <row r="23" spans="1:25" ht="16.75">
      <c r="A23" s="10" t="s">
        <v>59</v>
      </c>
      <c r="B23" s="10"/>
      <c r="D23" s="10" t="s">
        <v>161</v>
      </c>
      <c r="E23" s="10" t="s">
        <v>109</v>
      </c>
      <c r="F23" s="10" t="s">
        <v>62</v>
      </c>
      <c r="Y23" s="16" t="s">
        <v>9</v>
      </c>
    </row>
    <row r="24" spans="1:25" ht="16.75">
      <c r="A24" s="10" t="s">
        <v>273</v>
      </c>
      <c r="B24" s="10"/>
      <c r="D24" s="10" t="s">
        <v>239</v>
      </c>
      <c r="E24" s="10" t="s">
        <v>105</v>
      </c>
      <c r="F24" s="10" t="s">
        <v>62</v>
      </c>
      <c r="Y24" s="16" t="s">
        <v>18</v>
      </c>
    </row>
    <row r="25" spans="1:25" ht="16.75">
      <c r="A25" s="10" t="s">
        <v>274</v>
      </c>
      <c r="B25" s="10"/>
      <c r="D25" s="10" t="s">
        <v>275</v>
      </c>
      <c r="E25" s="10" t="s">
        <v>101</v>
      </c>
      <c r="F25" s="10" t="s">
        <v>239</v>
      </c>
      <c r="Y25" s="16" t="s">
        <v>23</v>
      </c>
    </row>
    <row r="26" spans="1:25" ht="16.75">
      <c r="A26" s="10" t="s">
        <v>239</v>
      </c>
      <c r="B26" s="10"/>
      <c r="D26" s="10" t="s">
        <v>276</v>
      </c>
      <c r="E26" s="10" t="s">
        <v>101</v>
      </c>
      <c r="F26" s="10" t="s">
        <v>239</v>
      </c>
      <c r="Y26" s="16" t="s">
        <v>22</v>
      </c>
    </row>
    <row r="27" spans="1:25" ht="16.75">
      <c r="A27" s="10" t="s">
        <v>275</v>
      </c>
      <c r="B27" s="10"/>
      <c r="D27" s="10" t="s">
        <v>265</v>
      </c>
      <c r="E27" s="10" t="s">
        <v>143</v>
      </c>
      <c r="F27" s="10" t="s">
        <v>239</v>
      </c>
      <c r="Y27" s="16" t="s">
        <v>12</v>
      </c>
    </row>
    <row r="28" spans="1:25" ht="16.75">
      <c r="A28" s="10" t="s">
        <v>276</v>
      </c>
      <c r="B28" s="10"/>
      <c r="D28" s="10" t="s">
        <v>26</v>
      </c>
      <c r="E28" s="10" t="s">
        <v>280</v>
      </c>
      <c r="F28" s="10" t="s">
        <v>11</v>
      </c>
      <c r="Y28" s="16" t="s">
        <v>24</v>
      </c>
    </row>
    <row r="29" spans="1:25" ht="16.75">
      <c r="A29" s="10" t="s">
        <v>62</v>
      </c>
      <c r="B29" s="10"/>
      <c r="D29" s="10" t="s">
        <v>161</v>
      </c>
      <c r="E29" s="10" t="s">
        <v>279</v>
      </c>
      <c r="F29" s="10" t="s">
        <v>11</v>
      </c>
      <c r="Y29" s="16" t="s">
        <v>8</v>
      </c>
    </row>
    <row r="30" spans="1:25" ht="16.75">
      <c r="A30" s="10" t="s">
        <v>283</v>
      </c>
      <c r="B30" s="10" t="s">
        <v>18</v>
      </c>
      <c r="D30" s="10" t="s">
        <v>53</v>
      </c>
      <c r="E30" s="10" t="s">
        <v>142</v>
      </c>
      <c r="F30" s="10" t="s">
        <v>271</v>
      </c>
      <c r="Y30" s="16" t="s">
        <v>20</v>
      </c>
    </row>
    <row r="31" spans="1:25" ht="16.75">
      <c r="A31" s="10" t="s">
        <v>284</v>
      </c>
      <c r="B31" s="10"/>
      <c r="D31" s="10" t="s">
        <v>26</v>
      </c>
      <c r="E31" s="10" t="s">
        <v>218</v>
      </c>
      <c r="F31" s="10" t="s">
        <v>161</v>
      </c>
      <c r="Y31" s="16" t="s">
        <v>11</v>
      </c>
    </row>
    <row r="32" spans="1:25">
      <c r="A32" s="10"/>
      <c r="B32" s="10"/>
      <c r="D32" s="10" t="s">
        <v>272</v>
      </c>
      <c r="E32" s="10" t="s">
        <v>218</v>
      </c>
      <c r="F32" s="10" t="s">
        <v>165</v>
      </c>
    </row>
    <row r="33" spans="1:21">
      <c r="A33" s="10"/>
      <c r="B33" s="10"/>
      <c r="D33" s="10" t="s">
        <v>165</v>
      </c>
      <c r="E33" s="10" t="s">
        <v>145</v>
      </c>
      <c r="F33" s="10" t="s">
        <v>271</v>
      </c>
    </row>
    <row r="34" spans="1:21">
      <c r="A34" s="10"/>
      <c r="B34" s="10"/>
      <c r="D34" s="10" t="s">
        <v>270</v>
      </c>
      <c r="E34" s="10" t="s">
        <v>218</v>
      </c>
      <c r="F34" s="10" t="s">
        <v>284</v>
      </c>
    </row>
    <row r="35" spans="1:21">
      <c r="A35" s="10"/>
      <c r="B35" s="10"/>
      <c r="D35" s="10" t="s">
        <v>284</v>
      </c>
      <c r="E35" s="10" t="s">
        <v>281</v>
      </c>
      <c r="F35" s="10" t="s">
        <v>274</v>
      </c>
    </row>
    <row r="36" spans="1:21">
      <c r="A36" s="10"/>
      <c r="B36" s="10"/>
      <c r="D36" s="10" t="s">
        <v>268</v>
      </c>
      <c r="E36" s="10" t="s">
        <v>282</v>
      </c>
      <c r="F36" s="10" t="s">
        <v>274</v>
      </c>
    </row>
    <row r="37" spans="1:21">
      <c r="A37" s="10"/>
      <c r="B37" s="10"/>
    </row>
    <row r="38" spans="1:21">
      <c r="A38" s="30" t="s">
        <v>182</v>
      </c>
      <c r="B38" s="30"/>
      <c r="D38" s="104" t="s">
        <v>222</v>
      </c>
      <c r="E38" s="105"/>
      <c r="F38" s="105"/>
      <c r="G38" s="106"/>
      <c r="I38" s="98" t="s">
        <v>224</v>
      </c>
      <c r="J38" s="99"/>
      <c r="K38" s="99"/>
      <c r="L38" s="99"/>
      <c r="M38" s="100"/>
      <c r="O38" s="94" t="s">
        <v>229</v>
      </c>
      <c r="P38" s="94"/>
      <c r="Q38" s="94"/>
      <c r="R38" s="94"/>
      <c r="S38" s="94"/>
      <c r="T38" s="94"/>
      <c r="U38" s="94"/>
    </row>
    <row r="39" spans="1:21">
      <c r="A39" s="32" t="s">
        <v>251</v>
      </c>
      <c r="B39" s="33" t="s">
        <v>252</v>
      </c>
      <c r="D39" s="34" t="s">
        <v>220</v>
      </c>
      <c r="E39" s="34" t="s">
        <v>219</v>
      </c>
      <c r="F39" s="34" t="s">
        <v>221</v>
      </c>
      <c r="G39" s="34" t="s">
        <v>223</v>
      </c>
      <c r="I39" s="101" t="s">
        <v>225</v>
      </c>
      <c r="J39" s="102"/>
      <c r="K39" s="103"/>
      <c r="L39" s="101" t="s">
        <v>226</v>
      </c>
      <c r="M39" s="103"/>
      <c r="O39" s="95" t="s">
        <v>227</v>
      </c>
      <c r="P39" s="96"/>
      <c r="Q39" s="96"/>
      <c r="R39" s="96"/>
      <c r="S39" s="97"/>
      <c r="T39" s="95" t="s">
        <v>228</v>
      </c>
      <c r="U39" s="97"/>
    </row>
    <row r="40" spans="1:21">
      <c r="A40" s="46" t="s">
        <v>101</v>
      </c>
      <c r="B40" s="10" t="s">
        <v>3</v>
      </c>
      <c r="D40" s="10" t="str">
        <f>IF(INDEX($A$3:$B$31,MATCH(D3,$A$3:$A$31,0),2)&lt;&gt;0,INDEX($A$3:$B$31,MATCH(D3,$A$3:$A$31,0),2),D3)</f>
        <v>politico</v>
      </c>
      <c r="E40" s="10" t="str">
        <f>IF(INDEX($A$40:$B$56,MATCH(E3,$A$40:$A$56,0),2)&lt;&gt;0,INDEX($A$40:$B$56,MATCH(E3,$A$40:$A$56,0),2),E3)</f>
        <v>rdfs:subClassOf</v>
      </c>
      <c r="F40" s="10" t="str">
        <f>IF(INDEX($A$3:$B$31,MATCH(F3,$A$3:$A$31,0),2)&lt;&gt;0,INDEX($A$3:$B$31,MATCH(F3,$A$3:$A$31,0),2),F3)</f>
        <v>nivel</v>
      </c>
      <c r="G40" s="3" t="str">
        <f>IF(INDEX($A$3:$B$31,MATCH(F3,$A$3:$A$31,0),2)&lt;&gt;0,"OK","NOK")</f>
        <v>OK</v>
      </c>
      <c r="I40" s="10" t="str">
        <f t="shared" ref="I40:I63" si="1">D40 &amp;"-"&amp;F40</f>
        <v>politico-nivel</v>
      </c>
      <c r="J40" s="10"/>
      <c r="K40" s="10"/>
      <c r="L40" s="3">
        <f>IF(INDEX(GRAFO!$L$2:'GRAFO'!$L$41,MATCH(I40,GRAFO!$L$2:'GRAFO'!$L$41,0),1)&lt;&gt;0,1,0)</f>
        <v>1</v>
      </c>
      <c r="M40" s="3">
        <f>IFERROR(L40,0)</f>
        <v>1</v>
      </c>
      <c r="O40" s="10" t="str">
        <f t="shared" ref="O40:O63" si="2">D40 &amp; "-" &amp; E40 &amp; "-" &amp; F40</f>
        <v>politico-rdfs:subClassOf-nivel</v>
      </c>
      <c r="P40" s="10"/>
      <c r="Q40" s="10"/>
      <c r="R40" s="10"/>
      <c r="S40" s="10"/>
      <c r="T40" s="10">
        <f>IF(INDEX(GRAFO!$M$2:'GRAFO'!$M$41,MATCH(O40,GRAFO!$M$2:'GRAFO'!$M$41,0),1)&lt;&gt;0,1,0)</f>
        <v>1</v>
      </c>
      <c r="U40" s="10">
        <f>IFERROR(T40,0)</f>
        <v>1</v>
      </c>
    </row>
    <row r="41" spans="1:21">
      <c r="A41" s="46" t="s">
        <v>277</v>
      </c>
      <c r="B41" s="10" t="s">
        <v>7</v>
      </c>
      <c r="D41" s="10" t="str">
        <f t="shared" ref="D41:D73" si="3">IF(INDEX($A$3:$B$31,MATCH(D4,$A$3:$A$31,0),2)&lt;&gt;0,INDEX($A$3:$B$31,MATCH(D4,$A$3:$A$31,0),2),D4)</f>
        <v>estrategico</v>
      </c>
      <c r="E41" s="10" t="str">
        <f t="shared" ref="E41:E73" si="4">IF(INDEX($A$40:$B$56,MATCH(E4,$A$40:$A$56,0),2)&lt;&gt;0,INDEX($A$40:$B$56,MATCH(E4,$A$40:$A$56,0),2),E4)</f>
        <v>rdfs:subClassOf</v>
      </c>
      <c r="F41" s="10" t="str">
        <f t="shared" ref="F41:F73" si="5">IF(INDEX($A$3:$B$31,MATCH(F4,$A$3:$A$31,0),2)&lt;&gt;0,INDEX($A$3:$B$31,MATCH(F4,$A$3:$A$31,0),2),F4)</f>
        <v>nivel</v>
      </c>
      <c r="G41" s="3" t="str">
        <f t="shared" ref="G41:G73" si="6">IF(INDEX($A$3:$B$31,MATCH(F4,$A$3:$A$31,0),2)&lt;&gt;0,"OK","NOK")</f>
        <v>OK</v>
      </c>
      <c r="I41" s="10" t="str">
        <f t="shared" si="1"/>
        <v>estrategico-nivel</v>
      </c>
      <c r="J41" s="10"/>
      <c r="K41" s="10"/>
      <c r="L41" s="3">
        <f>IF(INDEX(GRAFO!$L$2:'GRAFO'!$L$41,MATCH(I41,GRAFO!$L$2:'GRAFO'!$L$41,0),1)&lt;&gt;0,1,0)</f>
        <v>1</v>
      </c>
      <c r="M41" s="3">
        <f t="shared" ref="M41:M63" si="7">IFERROR(L41,0)</f>
        <v>1</v>
      </c>
      <c r="O41" s="10" t="str">
        <f t="shared" si="2"/>
        <v>estrategico-rdfs:subClassOf-nivel</v>
      </c>
      <c r="P41" s="10"/>
      <c r="Q41" s="10"/>
      <c r="R41" s="10"/>
      <c r="S41" s="10"/>
      <c r="T41" s="10">
        <f>IF(INDEX(GRAFO!$M$2:'GRAFO'!$M$41,MATCH(O41,GRAFO!$M$2:'GRAFO'!$M$41,0),1)&lt;&gt;0,1,0)</f>
        <v>1</v>
      </c>
      <c r="U41" s="10">
        <f t="shared" ref="U41:U63" si="8">IFERROR(T41,0)</f>
        <v>1</v>
      </c>
    </row>
    <row r="42" spans="1:21">
      <c r="A42" s="46" t="s">
        <v>142</v>
      </c>
      <c r="B42" s="10" t="s">
        <v>7</v>
      </c>
      <c r="D42" s="10" t="str">
        <f t="shared" si="3"/>
        <v>operacional</v>
      </c>
      <c r="E42" s="10" t="str">
        <f t="shared" si="4"/>
        <v>rdfs:subClassOf</v>
      </c>
      <c r="F42" s="10" t="str">
        <f t="shared" si="5"/>
        <v>nivel</v>
      </c>
      <c r="G42" s="3" t="str">
        <f t="shared" si="6"/>
        <v>OK</v>
      </c>
      <c r="I42" s="10" t="str">
        <f t="shared" si="1"/>
        <v>operacional-nivel</v>
      </c>
      <c r="J42" s="10"/>
      <c r="K42" s="10"/>
      <c r="L42" s="3">
        <f>IF(INDEX(GRAFO!$L$2:'GRAFO'!$L$41,MATCH(I42,GRAFO!$L$2:'GRAFO'!$L$41,0),1)&lt;&gt;0,1,0)</f>
        <v>1</v>
      </c>
      <c r="M42" s="3">
        <f t="shared" si="7"/>
        <v>1</v>
      </c>
      <c r="O42" s="10" t="str">
        <f t="shared" si="2"/>
        <v>operacional-rdfs:subClassOf-nivel</v>
      </c>
      <c r="P42" s="10"/>
      <c r="Q42" s="10"/>
      <c r="R42" s="10"/>
      <c r="S42" s="10"/>
      <c r="T42" s="10">
        <f>IF(INDEX(GRAFO!$M$2:'GRAFO'!$M$41,MATCH(O42,GRAFO!$M$2:'GRAFO'!$M$41,0),1)&lt;&gt;0,1,0)</f>
        <v>1</v>
      </c>
      <c r="U42" s="10">
        <f t="shared" si="8"/>
        <v>1</v>
      </c>
    </row>
    <row r="43" spans="1:21">
      <c r="A43" s="46" t="s">
        <v>278</v>
      </c>
      <c r="B43" s="10" t="s">
        <v>205</v>
      </c>
      <c r="D43" s="10" t="str">
        <f t="shared" si="3"/>
        <v>tatico</v>
      </c>
      <c r="E43" s="10" t="str">
        <f t="shared" si="4"/>
        <v>rdfs:subClassOf</v>
      </c>
      <c r="F43" s="10" t="str">
        <f t="shared" si="5"/>
        <v>nivel</v>
      </c>
      <c r="G43" s="3" t="str">
        <f t="shared" si="6"/>
        <v>OK</v>
      </c>
      <c r="I43" s="10" t="str">
        <f t="shared" si="1"/>
        <v>tatico-nivel</v>
      </c>
      <c r="J43" s="10"/>
      <c r="K43" s="10"/>
      <c r="L43" s="3">
        <f>IF(INDEX(GRAFO!$L$2:'GRAFO'!$L$41,MATCH(I43,GRAFO!$L$2:'GRAFO'!$L$41,0),1)&lt;&gt;0,1,0)</f>
        <v>1</v>
      </c>
      <c r="M43" s="3">
        <f t="shared" si="7"/>
        <v>1</v>
      </c>
      <c r="O43" s="10" t="str">
        <f t="shared" si="2"/>
        <v>tatico-rdfs:subClassOf-nivel</v>
      </c>
      <c r="P43" s="10"/>
      <c r="Q43" s="10"/>
      <c r="R43" s="10"/>
      <c r="S43" s="10"/>
      <c r="T43" s="10">
        <f>IF(INDEX(GRAFO!$M$2:'GRAFO'!$M$41,MATCH(O43,GRAFO!$M$2:'GRAFO'!$M$41,0),1)&lt;&gt;0,1,0)</f>
        <v>1</v>
      </c>
      <c r="U43" s="10">
        <f t="shared" si="8"/>
        <v>1</v>
      </c>
    </row>
    <row r="44" spans="1:21">
      <c r="A44" s="46" t="s">
        <v>279</v>
      </c>
      <c r="B44" s="10" t="s">
        <v>4</v>
      </c>
      <c r="D44" s="10" t="str">
        <f t="shared" si="3"/>
        <v>comando_supremo</v>
      </c>
      <c r="E44" s="10" t="str">
        <f t="shared" si="4"/>
        <v>c2rm:responsible_for</v>
      </c>
      <c r="F44" s="10" t="str">
        <f t="shared" si="5"/>
        <v>objetivos_politicos</v>
      </c>
      <c r="G44" s="3" t="str">
        <f t="shared" si="6"/>
        <v>OK</v>
      </c>
      <c r="I44" s="10" t="str">
        <f t="shared" si="1"/>
        <v>comando_supremo-objetivos_politicos</v>
      </c>
      <c r="J44" s="10"/>
      <c r="K44" s="10"/>
      <c r="L44" s="3" t="e">
        <f>IF(INDEX(GRAFO!$L$2:'GRAFO'!$L$41,MATCH(I44,GRAFO!$L$2:'GRAFO'!$L$41,0),1)&lt;&gt;0,1,0)</f>
        <v>#N/A</v>
      </c>
      <c r="M44" s="3">
        <f t="shared" si="7"/>
        <v>0</v>
      </c>
      <c r="O44" s="10" t="str">
        <f t="shared" si="2"/>
        <v>comando_supremo-c2rm:responsible_for-objetivos_politicos</v>
      </c>
      <c r="P44" s="10"/>
      <c r="Q44" s="10"/>
      <c r="R44" s="10"/>
      <c r="S44" s="10"/>
      <c r="T44" s="10" t="e">
        <f>IF(INDEX(GRAFO!$M$2:'GRAFO'!$M$41,MATCH(O44,GRAFO!$M$2:'GRAFO'!$M$41,0),1)&lt;&gt;0,1,0)</f>
        <v>#N/A</v>
      </c>
      <c r="U44" s="10">
        <f t="shared" si="8"/>
        <v>0</v>
      </c>
    </row>
    <row r="45" spans="1:21">
      <c r="A45" s="10" t="s">
        <v>280</v>
      </c>
      <c r="B45" s="10" t="s">
        <v>7</v>
      </c>
      <c r="D45" s="10" t="str">
        <f t="shared" si="3"/>
        <v>politico</v>
      </c>
      <c r="E45" s="10" t="str">
        <f t="shared" si="4"/>
        <v>rdf:Bag</v>
      </c>
      <c r="F45" s="10" t="str">
        <f t="shared" si="5"/>
        <v>comando_supremo</v>
      </c>
      <c r="G45" s="3" t="str">
        <f t="shared" si="6"/>
        <v>OK</v>
      </c>
      <c r="H45">
        <f>COUNTIFS(GRAFO!C2:C42,"=D34",GRAFO!E2:E42,"=F34")</f>
        <v>0</v>
      </c>
      <c r="I45" s="10" t="str">
        <f t="shared" si="1"/>
        <v>politico-comando_supremo</v>
      </c>
      <c r="J45" s="10"/>
      <c r="K45" s="10"/>
      <c r="L45" s="3" t="e">
        <f>IF(INDEX(GRAFO!$L$2:'GRAFO'!$L$41,MATCH(I45,GRAFO!$L$2:'GRAFO'!$L$41,0),1)&lt;&gt;0,1,0)</f>
        <v>#N/A</v>
      </c>
      <c r="M45" s="3">
        <f t="shared" si="7"/>
        <v>0</v>
      </c>
      <c r="O45" s="10" t="str">
        <f t="shared" si="2"/>
        <v>politico-rdf:Bag-comando_supremo</v>
      </c>
      <c r="P45" s="10"/>
      <c r="Q45" s="10"/>
      <c r="R45" s="10"/>
      <c r="S45" s="10"/>
      <c r="T45" s="10" t="e">
        <f>IF(INDEX(GRAFO!$M$2:'GRAFO'!$M$41,MATCH(O45,GRAFO!$M$2:'GRAFO'!$M$41,0),1)&lt;&gt;0,1,0)</f>
        <v>#N/A</v>
      </c>
      <c r="U45" s="10">
        <f t="shared" si="8"/>
        <v>0</v>
      </c>
    </row>
    <row r="46" spans="1:21">
      <c r="A46" s="10" t="s">
        <v>146</v>
      </c>
      <c r="B46" s="10" t="s">
        <v>4</v>
      </c>
      <c r="D46" s="10" t="str">
        <f t="shared" si="3"/>
        <v>comando_supremo</v>
      </c>
      <c r="E46" s="10" t="str">
        <f t="shared" si="4"/>
        <v>c2rm:responsible_for</v>
      </c>
      <c r="F46" s="10" t="str">
        <f t="shared" si="5"/>
        <v>dped</v>
      </c>
      <c r="G46" s="3" t="str">
        <f t="shared" si="6"/>
        <v>NOK</v>
      </c>
      <c r="I46" s="10" t="str">
        <f t="shared" si="1"/>
        <v>comando_supremo-dped</v>
      </c>
      <c r="J46" s="10"/>
      <c r="K46" s="10"/>
      <c r="L46" s="3" t="e">
        <f>IF(INDEX(GRAFO!$L$2:'GRAFO'!$L$41,MATCH(I46,GRAFO!$L$2:'GRAFO'!$L$41,0),1)&lt;&gt;0,1,0)</f>
        <v>#N/A</v>
      </c>
      <c r="M46" s="3">
        <f t="shared" si="7"/>
        <v>0</v>
      </c>
      <c r="O46" s="10" t="str">
        <f t="shared" si="2"/>
        <v>comando_supremo-c2rm:responsible_for-dped</v>
      </c>
      <c r="P46" s="10"/>
      <c r="Q46" s="10"/>
      <c r="R46" s="10"/>
      <c r="S46" s="10"/>
      <c r="T46" s="10" t="e">
        <f>IF(INDEX(GRAFO!$M$2:'GRAFO'!$M$41,MATCH(O46,GRAFO!$M$2:'GRAFO'!$M$41,0),1)&lt;&gt;0,1,0)</f>
        <v>#N/A</v>
      </c>
      <c r="U46" s="10">
        <f t="shared" si="8"/>
        <v>0</v>
      </c>
    </row>
    <row r="47" spans="1:21">
      <c r="A47" s="10" t="s">
        <v>145</v>
      </c>
      <c r="B47" s="10" t="s">
        <v>4</v>
      </c>
      <c r="C47" s="24"/>
      <c r="D47" s="10" t="str">
        <f t="shared" si="3"/>
        <v>estrategico</v>
      </c>
      <c r="E47" s="10" t="str">
        <f t="shared" si="4"/>
        <v>rdf:Bag</v>
      </c>
      <c r="F47" s="10" t="str">
        <f t="shared" si="5"/>
        <v>md</v>
      </c>
      <c r="G47" s="3" t="str">
        <f t="shared" si="6"/>
        <v>NOK</v>
      </c>
      <c r="I47" s="10" t="str">
        <f t="shared" si="1"/>
        <v>estrategico-md</v>
      </c>
      <c r="J47" s="10"/>
      <c r="K47" s="10"/>
      <c r="L47" s="3" t="e">
        <f>IF(INDEX(GRAFO!$L$2:'GRAFO'!$L$41,MATCH(I47,GRAFO!$L$2:'GRAFO'!$L$41,0),1)&lt;&gt;0,1,0)</f>
        <v>#N/A</v>
      </c>
      <c r="M47" s="3">
        <f t="shared" si="7"/>
        <v>0</v>
      </c>
      <c r="O47" s="10" t="str">
        <f t="shared" si="2"/>
        <v>estrategico-rdf:Bag-md</v>
      </c>
      <c r="P47" s="10"/>
      <c r="Q47" s="10"/>
      <c r="R47" s="10"/>
      <c r="S47" s="10"/>
      <c r="T47" s="10" t="e">
        <f>IF(INDEX(GRAFO!$M$2:'GRAFO'!$M$41,MATCH(O47,GRAFO!$M$2:'GRAFO'!$M$41,0),1)&lt;&gt;0,1,0)</f>
        <v>#N/A</v>
      </c>
      <c r="U47" s="10">
        <f t="shared" si="8"/>
        <v>0</v>
      </c>
    </row>
    <row r="48" spans="1:21">
      <c r="A48" s="10" t="s">
        <v>105</v>
      </c>
      <c r="B48" s="10" t="s">
        <v>5</v>
      </c>
      <c r="C48" s="9" t="str">
        <f t="shared" ref="C48:C58" si="9">IF(INDEX($A$3:$B$18,MATCH(D3,$A$3:$A$17,0),2)&lt;&gt;0,"OK","NOK")</f>
        <v>OK</v>
      </c>
      <c r="D48" s="10" t="str">
        <f t="shared" si="3"/>
        <v>md</v>
      </c>
      <c r="E48" s="10" t="str">
        <f t="shared" si="4"/>
        <v>c2rm:responsible_for</v>
      </c>
      <c r="F48" s="10" t="str">
        <f t="shared" si="5"/>
        <v>dmed</v>
      </c>
      <c r="G48" s="3" t="str">
        <f t="shared" si="6"/>
        <v>NOK</v>
      </c>
      <c r="I48" s="10" t="str">
        <f t="shared" si="1"/>
        <v>md-dmed</v>
      </c>
      <c r="J48" s="10"/>
      <c r="K48" s="10"/>
      <c r="L48" s="3" t="e">
        <f>IF(INDEX(GRAFO!$L$2:'GRAFO'!$L$41,MATCH(I48,GRAFO!$L$2:'GRAFO'!$L$41,0),1)&lt;&gt;0,1,0)</f>
        <v>#N/A</v>
      </c>
      <c r="M48" s="3">
        <f t="shared" si="7"/>
        <v>0</v>
      </c>
      <c r="O48" s="10" t="str">
        <f t="shared" si="2"/>
        <v>md-c2rm:responsible_for-dmed</v>
      </c>
      <c r="P48" s="10"/>
      <c r="Q48" s="10"/>
      <c r="R48" s="10"/>
      <c r="S48" s="10"/>
      <c r="T48" s="10" t="e">
        <f>IF(INDEX(GRAFO!$M$2:'GRAFO'!$M$41,MATCH(O48,GRAFO!$M$2:'GRAFO'!$M$41,0),1)&lt;&gt;0,1,0)</f>
        <v>#N/A</v>
      </c>
      <c r="U48" s="10">
        <f t="shared" si="8"/>
        <v>0</v>
      </c>
    </row>
    <row r="49" spans="1:21">
      <c r="A49" s="10" t="s">
        <v>143</v>
      </c>
      <c r="B49" s="10" t="s">
        <v>4</v>
      </c>
      <c r="C49" s="9" t="str">
        <f t="shared" si="9"/>
        <v>OK</v>
      </c>
      <c r="D49" s="10" t="str">
        <f t="shared" si="3"/>
        <v>marinha</v>
      </c>
      <c r="E49" s="10" t="str">
        <f t="shared" si="4"/>
        <v>rdfs:subClassOf</v>
      </c>
      <c r="F49" s="10" t="str">
        <f t="shared" si="5"/>
        <v>forcas_armadas</v>
      </c>
      <c r="G49" s="3" t="str">
        <f t="shared" si="6"/>
        <v>OK</v>
      </c>
      <c r="I49" s="10" t="str">
        <f t="shared" si="1"/>
        <v>marinha-forcas_armadas</v>
      </c>
      <c r="J49" s="10"/>
      <c r="K49" s="10"/>
      <c r="L49" s="3">
        <f>IF(INDEX(GRAFO!$L$2:'GRAFO'!$L$41,MATCH(I49,GRAFO!$L$2:'GRAFO'!$L$41,0),1)&lt;&gt;0,1,0)</f>
        <v>1</v>
      </c>
      <c r="M49" s="3">
        <f t="shared" si="7"/>
        <v>1</v>
      </c>
      <c r="O49" s="10" t="str">
        <f t="shared" si="2"/>
        <v>marinha-rdfs:subClassOf-forcas_armadas</v>
      </c>
      <c r="P49" s="10"/>
      <c r="Q49" s="10"/>
      <c r="R49" s="10"/>
      <c r="S49" s="10"/>
      <c r="T49" s="10">
        <f>IF(INDEX(GRAFO!$M$2:'GRAFO'!$M$41,MATCH(O49,GRAFO!$M$2:'GRAFO'!$M$41,0),1)&lt;&gt;0,1,0)</f>
        <v>1</v>
      </c>
      <c r="U49" s="10">
        <f t="shared" si="8"/>
        <v>1</v>
      </c>
    </row>
    <row r="50" spans="1:21">
      <c r="A50" s="10" t="s">
        <v>109</v>
      </c>
      <c r="B50" s="10" t="s">
        <v>4</v>
      </c>
      <c r="C50" s="9" t="str">
        <f t="shared" si="9"/>
        <v>OK</v>
      </c>
      <c r="D50" s="10" t="str">
        <f t="shared" si="3"/>
        <v>exercito</v>
      </c>
      <c r="E50" s="10" t="str">
        <f t="shared" si="4"/>
        <v>rdfs:subClassOf</v>
      </c>
      <c r="F50" s="10" t="str">
        <f t="shared" si="5"/>
        <v>forcas_armadas</v>
      </c>
      <c r="G50" s="3" t="str">
        <f t="shared" si="6"/>
        <v>OK</v>
      </c>
      <c r="I50" s="10" t="str">
        <f t="shared" si="1"/>
        <v>exercito-forcas_armadas</v>
      </c>
      <c r="J50" s="10"/>
      <c r="K50" s="10"/>
      <c r="L50" s="3">
        <f>IF(INDEX(GRAFO!$L$2:'GRAFO'!$L$41,MATCH(I50,GRAFO!$L$2:'GRAFO'!$L$41,0),1)&lt;&gt;0,1,0)</f>
        <v>1</v>
      </c>
      <c r="M50" s="3">
        <f t="shared" si="7"/>
        <v>1</v>
      </c>
      <c r="O50" s="10" t="str">
        <f t="shared" si="2"/>
        <v>exercito-rdfs:subClassOf-forcas_armadas</v>
      </c>
      <c r="P50" s="10"/>
      <c r="Q50" s="10"/>
      <c r="R50" s="10"/>
      <c r="S50" s="10"/>
      <c r="T50" s="10">
        <f>IF(INDEX(GRAFO!$M$2:'GRAFO'!$M$41,MATCH(O50,GRAFO!$M$2:'GRAFO'!$M$41,0),1)&lt;&gt;0,1,0)</f>
        <v>1</v>
      </c>
      <c r="U50" s="10">
        <f t="shared" si="8"/>
        <v>1</v>
      </c>
    </row>
    <row r="51" spans="1:21">
      <c r="A51" s="10" t="s">
        <v>242</v>
      </c>
      <c r="B51" s="10" t="s">
        <v>4</v>
      </c>
      <c r="C51" s="9" t="str">
        <f t="shared" si="9"/>
        <v>OK</v>
      </c>
      <c r="D51" s="10" t="str">
        <f t="shared" si="3"/>
        <v>aeronautica</v>
      </c>
      <c r="E51" s="10" t="str">
        <f t="shared" si="4"/>
        <v>rdfs:subClassOf</v>
      </c>
      <c r="F51" s="10" t="str">
        <f t="shared" si="5"/>
        <v>forcas_armadas</v>
      </c>
      <c r="G51" s="3" t="str">
        <f t="shared" si="6"/>
        <v>OK</v>
      </c>
      <c r="I51" s="10" t="str">
        <f t="shared" si="1"/>
        <v>aeronautica-forcas_armadas</v>
      </c>
      <c r="J51" s="10"/>
      <c r="K51" s="10"/>
      <c r="L51" s="3">
        <f>IF(INDEX(GRAFO!$L$2:'GRAFO'!$L$41,MATCH(I51,GRAFO!$L$2:'GRAFO'!$L$41,0),1)&lt;&gt;0,1,0)</f>
        <v>1</v>
      </c>
      <c r="M51" s="3">
        <f t="shared" si="7"/>
        <v>1</v>
      </c>
      <c r="O51" s="10" t="str">
        <f t="shared" si="2"/>
        <v>aeronautica-rdfs:subClassOf-forcas_armadas</v>
      </c>
      <c r="P51" s="10"/>
      <c r="Q51" s="10"/>
      <c r="R51" s="10"/>
      <c r="S51" s="10"/>
      <c r="T51" s="10">
        <f>IF(INDEX(GRAFO!$M$2:'GRAFO'!$M$41,MATCH(O51,GRAFO!$M$2:'GRAFO'!$M$41,0),1)&lt;&gt;0,1,0)</f>
        <v>1</v>
      </c>
      <c r="U51" s="10">
        <f t="shared" si="8"/>
        <v>1</v>
      </c>
    </row>
    <row r="52" spans="1:21">
      <c r="A52" s="10" t="s">
        <v>215</v>
      </c>
      <c r="B52" s="10" t="s">
        <v>7</v>
      </c>
      <c r="C52" s="9" t="str">
        <f t="shared" si="9"/>
        <v>OK</v>
      </c>
      <c r="D52" s="10" t="str">
        <f t="shared" si="3"/>
        <v>forcas_armadas</v>
      </c>
      <c r="E52" s="10" t="str">
        <f t="shared" si="4"/>
        <v>rdf:Bag</v>
      </c>
      <c r="F52" s="10" t="str">
        <f t="shared" si="5"/>
        <v>forca_componente</v>
      </c>
      <c r="G52" s="3" t="str">
        <f t="shared" si="6"/>
        <v>OK</v>
      </c>
      <c r="I52" s="10" t="str">
        <f t="shared" si="1"/>
        <v>forcas_armadas-forca_componente</v>
      </c>
      <c r="J52" s="10"/>
      <c r="K52" s="10"/>
      <c r="L52" s="3" t="e">
        <f>IF(INDEX(GRAFO!$L$2:'GRAFO'!$L$41,MATCH(I52,GRAFO!$L$2:'GRAFO'!$L$41,0),1)&lt;&gt;0,1,0)</f>
        <v>#N/A</v>
      </c>
      <c r="M52" s="3">
        <f t="shared" si="7"/>
        <v>0</v>
      </c>
      <c r="O52" s="10" t="str">
        <f t="shared" si="2"/>
        <v>forcas_armadas-rdf:Bag-forca_componente</v>
      </c>
      <c r="P52" s="10"/>
      <c r="Q52" s="10"/>
      <c r="R52" s="10"/>
      <c r="S52" s="10"/>
      <c r="T52" s="10" t="e">
        <f>IF(INDEX(GRAFO!$M$2:'GRAFO'!$M$41,MATCH(O52,GRAFO!$M$2:'GRAFO'!$M$41,0),1)&lt;&gt;0,1,0)</f>
        <v>#N/A</v>
      </c>
      <c r="U52" s="10">
        <f t="shared" si="8"/>
        <v>0</v>
      </c>
    </row>
    <row r="53" spans="1:21">
      <c r="A53" s="10" t="s">
        <v>218</v>
      </c>
      <c r="B53" s="10" t="s">
        <v>4</v>
      </c>
      <c r="C53" s="9" t="str">
        <f t="shared" si="9"/>
        <v>OK</v>
      </c>
      <c r="D53" s="10" t="str">
        <f t="shared" si="3"/>
        <v>operacao_conjunta</v>
      </c>
      <c r="E53" s="10" t="str">
        <f t="shared" si="4"/>
        <v>c2rm:applied_to</v>
      </c>
      <c r="F53" s="10" t="str">
        <f t="shared" si="5"/>
        <v>forcas_armadas</v>
      </c>
      <c r="G53" s="3" t="str">
        <f t="shared" si="6"/>
        <v>OK</v>
      </c>
      <c r="I53" s="10" t="str">
        <f t="shared" si="1"/>
        <v>operacao_conjunta-forcas_armadas</v>
      </c>
      <c r="J53" s="10"/>
      <c r="K53" s="10"/>
      <c r="L53" s="3" t="e">
        <f>IF(INDEX(GRAFO!$L$2:'GRAFO'!$L$41,MATCH(I53,GRAFO!$L$2:'GRAFO'!$L$41,0),1)&lt;&gt;0,1,0)</f>
        <v>#N/A</v>
      </c>
      <c r="M53" s="3">
        <f t="shared" si="7"/>
        <v>0</v>
      </c>
      <c r="O53" s="10" t="str">
        <f t="shared" si="2"/>
        <v>operacao_conjunta-c2rm:applied_to-forcas_armadas</v>
      </c>
      <c r="P53" s="10"/>
      <c r="Q53" s="10"/>
      <c r="R53" s="10"/>
      <c r="S53" s="10"/>
      <c r="T53" s="10" t="e">
        <f>IF(INDEX(GRAFO!$M$2:'GRAFO'!$M$41,MATCH(O53,GRAFO!$M$2:'GRAFO'!$M$41,0),1)&lt;&gt;0,1,0)</f>
        <v>#N/A</v>
      </c>
      <c r="U53" s="10">
        <f t="shared" si="8"/>
        <v>0</v>
      </c>
    </row>
    <row r="54" spans="1:21">
      <c r="A54" s="10" t="s">
        <v>107</v>
      </c>
      <c r="B54" s="10" t="s">
        <v>7</v>
      </c>
      <c r="C54" s="9" t="str">
        <f t="shared" si="9"/>
        <v>OK</v>
      </c>
      <c r="D54" s="10" t="str">
        <f t="shared" si="3"/>
        <v>operacao_conjunta</v>
      </c>
      <c r="E54" s="10" t="str">
        <f t="shared" si="4"/>
        <v>rdfs:seeAlso</v>
      </c>
      <c r="F54" s="10" t="str">
        <f t="shared" si="5"/>
        <v>nivel</v>
      </c>
      <c r="G54" s="3" t="str">
        <f t="shared" si="6"/>
        <v>OK</v>
      </c>
      <c r="I54" s="10" t="str">
        <f t="shared" si="1"/>
        <v>operacao_conjunta-nivel</v>
      </c>
      <c r="J54" s="10"/>
      <c r="K54" s="10"/>
      <c r="L54" s="3" t="e">
        <f>IF(INDEX(GRAFO!$L$2:'GRAFO'!$L$41,MATCH(I54,GRAFO!$L$2:'GRAFO'!$L$41,0),1)&lt;&gt;0,1,0)</f>
        <v>#N/A</v>
      </c>
      <c r="M54" s="3">
        <f t="shared" si="7"/>
        <v>0</v>
      </c>
      <c r="O54" s="10" t="str">
        <f t="shared" si="2"/>
        <v>operacao_conjunta-rdfs:seeAlso-nivel</v>
      </c>
      <c r="P54" s="10"/>
      <c r="Q54" s="10"/>
      <c r="R54" s="10"/>
      <c r="S54" s="10"/>
      <c r="T54" s="10" t="e">
        <f>IF(INDEX(GRAFO!$M$2:'GRAFO'!$M$41,MATCH(O54,GRAFO!$M$2:'GRAFO'!$M$41,0),1)&lt;&gt;0,1,0)</f>
        <v>#N/A</v>
      </c>
      <c r="U54" s="10">
        <f t="shared" si="8"/>
        <v>0</v>
      </c>
    </row>
    <row r="55" spans="1:21">
      <c r="A55" s="10" t="s">
        <v>281</v>
      </c>
      <c r="B55" s="10" t="s">
        <v>4</v>
      </c>
      <c r="C55" s="9" t="str">
        <f t="shared" si="9"/>
        <v>OK</v>
      </c>
      <c r="D55" s="10" t="str">
        <f t="shared" si="3"/>
        <v>cmt_operacional</v>
      </c>
      <c r="E55" s="10" t="str">
        <f t="shared" si="4"/>
        <v>rdfs:seeAlso</v>
      </c>
      <c r="F55" s="10" t="str">
        <f t="shared" si="5"/>
        <v>operacao_conjunta</v>
      </c>
      <c r="G55" s="3" t="str">
        <f t="shared" si="6"/>
        <v>OK</v>
      </c>
      <c r="I55" s="10" t="str">
        <f t="shared" si="1"/>
        <v>cmt_operacional-operacao_conjunta</v>
      </c>
      <c r="J55" s="10"/>
      <c r="K55" s="10"/>
      <c r="L55" s="3" t="e">
        <f>IF(INDEX(GRAFO!$L$2:'GRAFO'!$L$41,MATCH(I55,GRAFO!$L$2:'GRAFO'!$L$41,0),1)&lt;&gt;0,1,0)</f>
        <v>#N/A</v>
      </c>
      <c r="M55" s="3">
        <f t="shared" si="7"/>
        <v>0</v>
      </c>
      <c r="O55" s="10" t="str">
        <f t="shared" si="2"/>
        <v>cmt_operacional-rdfs:seeAlso-operacao_conjunta</v>
      </c>
      <c r="P55" s="10"/>
      <c r="Q55" s="10"/>
      <c r="R55" s="10"/>
      <c r="S55" s="10"/>
      <c r="T55" s="10" t="e">
        <f>IF(INDEX(GRAFO!$M$2:'GRAFO'!$M$41,MATCH(O55,GRAFO!$M$2:'GRAFO'!$M$41,0),1)&lt;&gt;0,1,0)</f>
        <v>#N/A</v>
      </c>
      <c r="U55" s="10">
        <f t="shared" si="8"/>
        <v>0</v>
      </c>
    </row>
    <row r="56" spans="1:21">
      <c r="A56" s="10" t="s">
        <v>282</v>
      </c>
      <c r="B56" s="10" t="s">
        <v>4</v>
      </c>
      <c r="C56" s="9" t="str">
        <f t="shared" si="9"/>
        <v>NOK</v>
      </c>
      <c r="D56" s="10" t="str">
        <f t="shared" si="3"/>
        <v>cmt_operacional</v>
      </c>
      <c r="E56" s="10" t="str">
        <f t="shared" si="4"/>
        <v>rdfs:subClassOf</v>
      </c>
      <c r="F56" s="10" t="str">
        <f t="shared" si="5"/>
        <v>comandos_operacionais</v>
      </c>
      <c r="G56" s="3" t="str">
        <f t="shared" si="6"/>
        <v>OK</v>
      </c>
      <c r="I56" s="10" t="str">
        <f t="shared" si="1"/>
        <v>cmt_operacional-comandos_operacionais</v>
      </c>
      <c r="J56" s="10"/>
      <c r="K56" s="10"/>
      <c r="L56" s="3" t="e">
        <f>IF(INDEX(GRAFO!$L$2:'GRAFO'!$L$41,MATCH(I56,GRAFO!$L$2:'GRAFO'!$L$41,0),1)&lt;&gt;0,1,0)</f>
        <v>#N/A</v>
      </c>
      <c r="M56" s="3">
        <f t="shared" si="7"/>
        <v>0</v>
      </c>
      <c r="O56" s="10" t="str">
        <f t="shared" si="2"/>
        <v>cmt_operacional-rdfs:subClassOf-comandos_operacionais</v>
      </c>
      <c r="P56" s="10"/>
      <c r="Q56" s="10"/>
      <c r="R56" s="10"/>
      <c r="S56" s="10"/>
      <c r="T56" s="10" t="e">
        <f>IF(INDEX(GRAFO!$M$2:'GRAFO'!$M$41,MATCH(O56,GRAFO!$M$2:'GRAFO'!$M$41,0),1)&lt;&gt;0,1,0)</f>
        <v>#N/A</v>
      </c>
      <c r="U56" s="10">
        <f t="shared" si="8"/>
        <v>0</v>
      </c>
    </row>
    <row r="57" spans="1:21">
      <c r="C57" s="9" t="e">
        <f t="shared" si="9"/>
        <v>#N/A</v>
      </c>
      <c r="D57" s="10" t="str">
        <f t="shared" si="3"/>
        <v>c_log</v>
      </c>
      <c r="E57" s="10" t="str">
        <f t="shared" si="4"/>
        <v>rdfs:subClassOf</v>
      </c>
      <c r="F57" s="10" t="str">
        <f t="shared" si="5"/>
        <v>comandos_operacionais</v>
      </c>
      <c r="G57" s="3" t="str">
        <f t="shared" si="6"/>
        <v>OK</v>
      </c>
      <c r="I57" s="10" t="str">
        <f t="shared" si="1"/>
        <v>c_log-comandos_operacionais</v>
      </c>
      <c r="J57" s="10"/>
      <c r="K57" s="10"/>
      <c r="L57" s="3" t="e">
        <f>IF(INDEX(GRAFO!$L$2:'GRAFO'!$L$41,MATCH(I57,GRAFO!$L$2:'GRAFO'!$L$41,0),1)&lt;&gt;0,1,0)</f>
        <v>#N/A</v>
      </c>
      <c r="M57" s="3">
        <f t="shared" si="7"/>
        <v>0</v>
      </c>
      <c r="O57" s="10" t="str">
        <f t="shared" si="2"/>
        <v>c_log-rdfs:subClassOf-comandos_operacionais</v>
      </c>
      <c r="P57" s="10"/>
      <c r="Q57" s="10"/>
      <c r="R57" s="10"/>
      <c r="S57" s="10"/>
      <c r="T57" s="10" t="e">
        <f>IF(INDEX(GRAFO!$M$2:'GRAFO'!$M$41,MATCH(O57,GRAFO!$M$2:'GRAFO'!$M$41,0),1)&lt;&gt;0,1,0)</f>
        <v>#N/A</v>
      </c>
      <c r="U57" s="10">
        <f t="shared" si="8"/>
        <v>0</v>
      </c>
    </row>
    <row r="58" spans="1:21">
      <c r="C58" s="9" t="e">
        <f t="shared" si="9"/>
        <v>#N/A</v>
      </c>
      <c r="D58" s="10" t="str">
        <f t="shared" si="3"/>
        <v>c_log</v>
      </c>
      <c r="E58" s="10" t="str">
        <f t="shared" si="4"/>
        <v>c2rm:responsible_for</v>
      </c>
      <c r="F58" s="10" t="str">
        <f t="shared" si="5"/>
        <v>interoperabildade_fa</v>
      </c>
      <c r="G58" s="3" t="str">
        <f t="shared" si="6"/>
        <v>NOK</v>
      </c>
      <c r="I58" s="10" t="str">
        <f t="shared" si="1"/>
        <v>c_log-interoperabildade_fa</v>
      </c>
      <c r="J58" s="10"/>
      <c r="K58" s="10"/>
      <c r="L58" s="3" t="e">
        <f>IF(INDEX(GRAFO!$L$2:'GRAFO'!$L$41,MATCH(I58,GRAFO!$L$2:'GRAFO'!$L$41,0),1)&lt;&gt;0,1,0)</f>
        <v>#N/A</v>
      </c>
      <c r="M58" s="3">
        <f t="shared" si="7"/>
        <v>0</v>
      </c>
      <c r="O58" s="10" t="str">
        <f t="shared" si="2"/>
        <v>c_log-c2rm:responsible_for-interoperabildade_fa</v>
      </c>
      <c r="P58" s="10"/>
      <c r="Q58" s="10"/>
      <c r="R58" s="10"/>
      <c r="S58" s="10"/>
      <c r="T58" s="10" t="e">
        <f>IF(INDEX(GRAFO!$M$2:'GRAFO'!$M$41,MATCH(O58,GRAFO!$M$2:'GRAFO'!$M$41,0),1)&lt;&gt;0,1,0)</f>
        <v>#N/A</v>
      </c>
      <c r="U58" s="10">
        <f t="shared" si="8"/>
        <v>0</v>
      </c>
    </row>
    <row r="59" spans="1:21">
      <c r="C59" s="9" t="e">
        <f t="shared" ref="C59:C63" si="10">IF(INDEX($A$3:$B$18,MATCH(D14,$A$3:$A$17,0),2)&lt;&gt;0,"OK","NOK")</f>
        <v>#N/A</v>
      </c>
      <c r="D59" s="10" t="str">
        <f t="shared" si="3"/>
        <v>planos_operacionais</v>
      </c>
      <c r="E59" s="10" t="str">
        <f t="shared" si="4"/>
        <v>rdfs:seeAlso</v>
      </c>
      <c r="F59" s="10" t="str">
        <f t="shared" si="5"/>
        <v>planos_taticos</v>
      </c>
      <c r="G59" s="3" t="str">
        <f t="shared" si="6"/>
        <v>NOK</v>
      </c>
      <c r="I59" s="10" t="str">
        <f t="shared" si="1"/>
        <v>planos_operacionais-planos_taticos</v>
      </c>
      <c r="J59" s="10"/>
      <c r="K59" s="10"/>
      <c r="L59" s="3" t="e">
        <f>IF(INDEX(GRAFO!$L$2:'GRAFO'!$L$41,MATCH(I59,GRAFO!$L$2:'GRAFO'!$L$41,0),1)&lt;&gt;0,1,0)</f>
        <v>#N/A</v>
      </c>
      <c r="M59" s="3">
        <f t="shared" si="7"/>
        <v>0</v>
      </c>
      <c r="O59" s="10" t="str">
        <f t="shared" si="2"/>
        <v>planos_operacionais-rdfs:seeAlso-planos_taticos</v>
      </c>
      <c r="P59" s="10"/>
      <c r="Q59" s="10"/>
      <c r="R59" s="10"/>
      <c r="S59" s="10"/>
      <c r="T59" s="10" t="e">
        <f>IF(INDEX(GRAFO!$M$2:'GRAFO'!$M$41,MATCH(O59,GRAFO!$M$2:'GRAFO'!$M$41,0),1)&lt;&gt;0,1,0)</f>
        <v>#N/A</v>
      </c>
      <c r="U59" s="10">
        <f t="shared" si="8"/>
        <v>0</v>
      </c>
    </row>
    <row r="60" spans="1:21">
      <c r="C60" s="9" t="e">
        <f t="shared" si="10"/>
        <v>#N/A</v>
      </c>
      <c r="D60" s="10" t="str">
        <f t="shared" si="3"/>
        <v>planos_taticos</v>
      </c>
      <c r="E60" s="10" t="str">
        <f t="shared" si="4"/>
        <v>rdfs:seeAlso</v>
      </c>
      <c r="F60" s="10" t="str">
        <f t="shared" si="5"/>
        <v>ar</v>
      </c>
      <c r="G60" s="3" t="str">
        <f t="shared" si="6"/>
        <v>NOK</v>
      </c>
      <c r="I60" s="10" t="str">
        <f t="shared" si="1"/>
        <v>planos_taticos-ar</v>
      </c>
      <c r="J60" s="10"/>
      <c r="K60" s="10"/>
      <c r="L60" s="3" t="e">
        <f>IF(INDEX(GRAFO!$L$2:'GRAFO'!$L$41,MATCH(I60,GRAFO!$L$2:'GRAFO'!$L$41,0),1)&lt;&gt;0,1,0)</f>
        <v>#N/A</v>
      </c>
      <c r="M60" s="3">
        <f t="shared" si="7"/>
        <v>0</v>
      </c>
      <c r="O60" s="10" t="str">
        <f t="shared" si="2"/>
        <v>planos_taticos-rdfs:seeAlso-ar</v>
      </c>
      <c r="P60" s="10"/>
      <c r="Q60" s="10"/>
      <c r="R60" s="10"/>
      <c r="S60" s="10"/>
      <c r="T60" s="10" t="e">
        <f>IF(INDEX(GRAFO!$M$2:'GRAFO'!$M$41,MATCH(O60,GRAFO!$M$2:'GRAFO'!$M$41,0),1)&lt;&gt;0,1,0)</f>
        <v>#N/A</v>
      </c>
      <c r="U60" s="10">
        <f t="shared" si="8"/>
        <v>0</v>
      </c>
    </row>
    <row r="61" spans="1:21">
      <c r="C61" s="9" t="str">
        <f t="shared" si="10"/>
        <v>OK</v>
      </c>
      <c r="D61" s="10" t="str">
        <f t="shared" si="3"/>
        <v>meios_defesa</v>
      </c>
      <c r="E61" s="10" t="str">
        <f t="shared" si="4"/>
        <v>c2rm:applied_to</v>
      </c>
      <c r="F61" s="10" t="str">
        <f t="shared" si="5"/>
        <v>ar</v>
      </c>
      <c r="G61" s="3" t="str">
        <f t="shared" si="6"/>
        <v>NOK</v>
      </c>
      <c r="I61" s="10" t="str">
        <f t="shared" si="1"/>
        <v>meios_defesa-ar</v>
      </c>
      <c r="J61" s="10"/>
      <c r="K61" s="10"/>
      <c r="L61" s="3" t="e">
        <f>IF(INDEX(GRAFO!$L$2:'GRAFO'!$L$41,MATCH(I61,GRAFO!$L$2:'GRAFO'!$L$41,0),1)&lt;&gt;0,1,0)</f>
        <v>#N/A</v>
      </c>
      <c r="M61" s="3">
        <f t="shared" si="7"/>
        <v>0</v>
      </c>
      <c r="O61" s="10" t="str">
        <f t="shared" si="2"/>
        <v>meios_defesa-c2rm:applied_to-ar</v>
      </c>
      <c r="P61" s="10"/>
      <c r="Q61" s="10"/>
      <c r="R61" s="10"/>
      <c r="S61" s="10"/>
      <c r="T61" s="10" t="e">
        <f>IF(INDEX(GRAFO!$M$2:'GRAFO'!$M$41,MATCH(O61,GRAFO!$M$2:'GRAFO'!$M$41,0),1)&lt;&gt;0,1,0)</f>
        <v>#N/A</v>
      </c>
      <c r="U61" s="10">
        <f t="shared" si="8"/>
        <v>0</v>
      </c>
    </row>
    <row r="62" spans="1:21">
      <c r="C62" s="9" t="str">
        <f t="shared" si="10"/>
        <v>OK</v>
      </c>
      <c r="D62" s="10" t="str">
        <f t="shared" si="3"/>
        <v>aeroespacialat</v>
      </c>
      <c r="E62" s="10" t="str">
        <f t="shared" si="4"/>
        <v>rdfs:subClassOf</v>
      </c>
      <c r="F62" s="10" t="str">
        <f t="shared" si="5"/>
        <v>meios_defesa</v>
      </c>
      <c r="G62" s="3" t="str">
        <f t="shared" si="6"/>
        <v>NOK</v>
      </c>
      <c r="I62" s="10" t="str">
        <f t="shared" si="1"/>
        <v>aeroespacialat-meios_defesa</v>
      </c>
      <c r="J62" s="10"/>
      <c r="K62" s="10"/>
      <c r="L62" s="3" t="e">
        <f>IF(INDEX(GRAFO!$L$2:'GRAFO'!$L$41,MATCH(I62,GRAFO!$L$2:'GRAFO'!$L$41,0),1)&lt;&gt;0,1,0)</f>
        <v>#N/A</v>
      </c>
      <c r="M62" s="3">
        <f t="shared" si="7"/>
        <v>0</v>
      </c>
      <c r="O62" s="10" t="str">
        <f t="shared" si="2"/>
        <v>aeroespacialat-rdfs:subClassOf-meios_defesa</v>
      </c>
      <c r="P62" s="10"/>
      <c r="Q62" s="10"/>
      <c r="R62" s="10"/>
      <c r="S62" s="10"/>
      <c r="T62" s="10" t="e">
        <f>IF(INDEX(GRAFO!$M$2:'GRAFO'!$M$41,MATCH(O62,GRAFO!$M$2:'GRAFO'!$M$41,0),1)&lt;&gt;0,1,0)</f>
        <v>#N/A</v>
      </c>
      <c r="U62" s="10">
        <f t="shared" si="8"/>
        <v>0</v>
      </c>
    </row>
    <row r="63" spans="1:21">
      <c r="C63" s="9" t="str">
        <f t="shared" si="10"/>
        <v>NOK</v>
      </c>
      <c r="D63" s="10" t="str">
        <f t="shared" si="3"/>
        <v>aeroespacialpas</v>
      </c>
      <c r="E63" s="10" t="str">
        <f t="shared" si="4"/>
        <v>rdfs:subClassOf</v>
      </c>
      <c r="F63" s="10" t="str">
        <f t="shared" si="5"/>
        <v>meios_defesa</v>
      </c>
      <c r="G63" s="3" t="str">
        <f t="shared" si="6"/>
        <v>NOK</v>
      </c>
      <c r="I63" s="10" t="str">
        <f t="shared" si="1"/>
        <v>aeroespacialpas-meios_defesa</v>
      </c>
      <c r="J63" s="10"/>
      <c r="K63" s="10"/>
      <c r="L63" s="3" t="e">
        <f>IF(INDEX(GRAFO!$L$2:'GRAFO'!$L$41,MATCH(I63,GRAFO!$L$2:'GRAFO'!$L$41,0),1)&lt;&gt;0,1,0)</f>
        <v>#N/A</v>
      </c>
      <c r="M63" s="3">
        <f t="shared" si="7"/>
        <v>0</v>
      </c>
      <c r="O63" s="10" t="str">
        <f t="shared" si="2"/>
        <v>aeroespacialpas-rdfs:subClassOf-meios_defesa</v>
      </c>
      <c r="P63" s="10"/>
      <c r="Q63" s="10"/>
      <c r="R63" s="10"/>
      <c r="S63" s="10"/>
      <c r="T63" s="10" t="e">
        <f>IF(INDEX(GRAFO!$M$2:'GRAFO'!$M$41,MATCH(O63,GRAFO!$M$2:'GRAFO'!$M$41,0),1)&lt;&gt;0,1,0)</f>
        <v>#N/A</v>
      </c>
      <c r="U63" s="10">
        <f t="shared" si="8"/>
        <v>0</v>
      </c>
    </row>
    <row r="64" spans="1:21">
      <c r="D64" s="10" t="str">
        <f t="shared" si="3"/>
        <v>forcas_armadas</v>
      </c>
      <c r="E64" s="10" t="str">
        <f t="shared" si="4"/>
        <v>rdfs:seeAlso</v>
      </c>
      <c r="F64" s="10" t="str">
        <f t="shared" si="5"/>
        <v>meios_defesa</v>
      </c>
      <c r="G64" s="3" t="str">
        <f t="shared" si="6"/>
        <v>NOK</v>
      </c>
      <c r="I64" s="10" t="str">
        <f t="shared" ref="I64:I73" si="11">D64 &amp;"-"&amp;F64</f>
        <v>forcas_armadas-meios_defesa</v>
      </c>
      <c r="J64" s="10"/>
      <c r="K64" s="10"/>
      <c r="L64" s="3" t="e">
        <f>IF(INDEX(GRAFO!$L$2:'GRAFO'!$L$41,MATCH(I64,GRAFO!$L$2:'GRAFO'!$L$41,0),1)&lt;&gt;0,1,0)</f>
        <v>#N/A</v>
      </c>
      <c r="M64" s="3">
        <f t="shared" ref="M64:M73" si="12">IFERROR(L64,0)</f>
        <v>0</v>
      </c>
      <c r="O64" s="10" t="str">
        <f t="shared" ref="O64:O73" si="13">D64 &amp; "-" &amp; E64 &amp; "-" &amp; F64</f>
        <v>forcas_armadas-rdfs:seeAlso-meios_defesa</v>
      </c>
      <c r="P64" s="10"/>
      <c r="Q64" s="10"/>
      <c r="R64" s="10"/>
      <c r="S64" s="10"/>
      <c r="T64" s="10" t="e">
        <f>IF(INDEX(GRAFO!$M$2:'GRAFO'!$M$41,MATCH(O64,GRAFO!$M$2:'GRAFO'!$M$41,0),1)&lt;&gt;0,1,0)</f>
        <v>#N/A</v>
      </c>
      <c r="U64" s="10">
        <f t="shared" ref="U64:U73" si="14">IFERROR(T64,0)</f>
        <v>0</v>
      </c>
    </row>
    <row r="65" spans="4:21">
      <c r="D65" s="10" t="str">
        <f t="shared" si="3"/>
        <v>forca_componente</v>
      </c>
      <c r="E65" s="10" t="str">
        <f t="shared" si="4"/>
        <v>c2rm:responsible_for</v>
      </c>
      <c r="F65" s="10" t="str">
        <f t="shared" si="5"/>
        <v>tatico</v>
      </c>
      <c r="G65" s="3" t="str">
        <f t="shared" si="6"/>
        <v>OK</v>
      </c>
      <c r="I65" s="10" t="str">
        <f t="shared" si="11"/>
        <v>forca_componente-tatico</v>
      </c>
      <c r="J65" s="10"/>
      <c r="K65" s="10"/>
      <c r="L65" s="3">
        <f>IF(INDEX(GRAFO!$L$2:'GRAFO'!$L$41,MATCH(I65,GRAFO!$L$2:'GRAFO'!$L$41,0),1)&lt;&gt;0,1,0)</f>
        <v>1</v>
      </c>
      <c r="M65" s="3">
        <f t="shared" si="12"/>
        <v>1</v>
      </c>
      <c r="O65" s="10" t="str">
        <f t="shared" si="13"/>
        <v>forca_componente-c2rm:responsible_for-tatico</v>
      </c>
      <c r="P65" s="10"/>
      <c r="Q65" s="10"/>
      <c r="R65" s="10"/>
      <c r="S65" s="10"/>
      <c r="T65" s="10">
        <f>IF(INDEX(GRAFO!$M$2:'GRAFO'!$M$41,MATCH(O65,GRAFO!$M$2:'GRAFO'!$M$41,0),1)&lt;&gt;0,1,0)</f>
        <v>1</v>
      </c>
      <c r="U65" s="10">
        <f t="shared" si="14"/>
        <v>1</v>
      </c>
    </row>
    <row r="66" spans="4:21">
      <c r="D66" s="10" t="str">
        <f t="shared" si="3"/>
        <v>planos_taticos</v>
      </c>
      <c r="E66" s="10" t="str">
        <f t="shared" si="4"/>
        <v>rdfs:seeAlso</v>
      </c>
      <c r="F66" s="10" t="str">
        <f t="shared" si="5"/>
        <v>tatico</v>
      </c>
      <c r="G66" s="3" t="str">
        <f t="shared" si="6"/>
        <v>OK</v>
      </c>
      <c r="I66" s="10" t="str">
        <f t="shared" si="11"/>
        <v>planos_taticos-tatico</v>
      </c>
      <c r="J66" s="10"/>
      <c r="K66" s="10"/>
      <c r="L66" s="3" t="e">
        <f>IF(INDEX(GRAFO!$L$2:'GRAFO'!$L$41,MATCH(I66,GRAFO!$L$2:'GRAFO'!$L$41,0),1)&lt;&gt;0,1,0)</f>
        <v>#N/A</v>
      </c>
      <c r="M66" s="3">
        <f t="shared" si="12"/>
        <v>0</v>
      </c>
      <c r="O66" s="10" t="str">
        <f t="shared" si="13"/>
        <v>planos_taticos-rdfs:seeAlso-tatico</v>
      </c>
      <c r="P66" s="10"/>
      <c r="Q66" s="10"/>
      <c r="R66" s="10"/>
      <c r="S66" s="10"/>
      <c r="T66" s="10" t="e">
        <f>IF(INDEX(GRAFO!$M$2:'GRAFO'!$M$41,MATCH(O66,GRAFO!$M$2:'GRAFO'!$M$41,0),1)&lt;&gt;0,1,0)</f>
        <v>#N/A</v>
      </c>
      <c r="U66" s="10">
        <f t="shared" si="14"/>
        <v>0</v>
      </c>
    </row>
    <row r="67" spans="4:21">
      <c r="D67" s="10" t="str">
        <f t="shared" si="3"/>
        <v>md</v>
      </c>
      <c r="E67" s="10" t="str">
        <f t="shared" si="4"/>
        <v>c2rm:responsible_for</v>
      </c>
      <c r="F67" s="10" t="str">
        <f t="shared" si="5"/>
        <v>planos_est</v>
      </c>
      <c r="G67" s="3" t="str">
        <f t="shared" si="6"/>
        <v>NOK</v>
      </c>
      <c r="I67" s="10" t="str">
        <f t="shared" si="11"/>
        <v>md-planos_est</v>
      </c>
      <c r="J67" s="10"/>
      <c r="K67" s="10"/>
      <c r="L67" s="3" t="e">
        <f>IF(INDEX(GRAFO!$L$2:'GRAFO'!$L$41,MATCH(I67,GRAFO!$L$2:'GRAFO'!$L$41,0),1)&lt;&gt;0,1,0)</f>
        <v>#N/A</v>
      </c>
      <c r="M67" s="3">
        <f t="shared" si="12"/>
        <v>0</v>
      </c>
      <c r="O67" s="10" t="str">
        <f t="shared" si="13"/>
        <v>md-c2rm:responsible_for-planos_est</v>
      </c>
      <c r="P67" s="10"/>
      <c r="Q67" s="10"/>
      <c r="R67" s="10"/>
      <c r="S67" s="10"/>
      <c r="T67" s="10" t="e">
        <f>IF(INDEX(GRAFO!$M$2:'GRAFO'!$M$41,MATCH(O67,GRAFO!$M$2:'GRAFO'!$M$41,0),1)&lt;&gt;0,1,0)</f>
        <v>#N/A</v>
      </c>
      <c r="U67" s="10">
        <f t="shared" si="14"/>
        <v>0</v>
      </c>
    </row>
    <row r="68" spans="4:21">
      <c r="D68" s="10" t="str">
        <f t="shared" si="3"/>
        <v>forca_componente</v>
      </c>
      <c r="E68" s="10" t="str">
        <f t="shared" si="4"/>
        <v>rdfs:seeAlso</v>
      </c>
      <c r="F68" s="10" t="str">
        <f t="shared" si="5"/>
        <v>planos_taticos</v>
      </c>
      <c r="G68" s="3" t="str">
        <f t="shared" si="6"/>
        <v>NOK</v>
      </c>
      <c r="I68" s="10" t="str">
        <f t="shared" si="11"/>
        <v>forca_componente-planos_taticos</v>
      </c>
      <c r="J68" s="10"/>
      <c r="K68" s="10"/>
      <c r="L68" s="3" t="e">
        <f>IF(INDEX(GRAFO!$L$2:'GRAFO'!$L$41,MATCH(I68,GRAFO!$L$2:'GRAFO'!$L$41,0),1)&lt;&gt;0,1,0)</f>
        <v>#N/A</v>
      </c>
      <c r="M68" s="3">
        <f t="shared" si="12"/>
        <v>0</v>
      </c>
      <c r="O68" s="10" t="str">
        <f t="shared" si="13"/>
        <v>forca_componente-rdfs:seeAlso-planos_taticos</v>
      </c>
      <c r="P68" s="10"/>
      <c r="Q68" s="10"/>
      <c r="R68" s="10"/>
      <c r="S68" s="10"/>
      <c r="T68" s="10" t="e">
        <f>IF(INDEX(GRAFO!$M$2:'GRAFO'!$M$41,MATCH(O68,GRAFO!$M$2:'GRAFO'!$M$41,0),1)&lt;&gt;0,1,0)</f>
        <v>#N/A</v>
      </c>
      <c r="U68" s="10">
        <f t="shared" si="14"/>
        <v>0</v>
      </c>
    </row>
    <row r="69" spans="4:21">
      <c r="D69" s="10" t="str">
        <f t="shared" si="3"/>
        <v>cmt_operacional</v>
      </c>
      <c r="E69" s="10" t="str">
        <f t="shared" si="4"/>
        <v>rdfs:seeAlso</v>
      </c>
      <c r="F69" s="10" t="str">
        <f t="shared" si="5"/>
        <v>planos_operacionais</v>
      </c>
      <c r="G69" s="3" t="str">
        <f t="shared" si="6"/>
        <v>NOK</v>
      </c>
      <c r="I69" s="10" t="str">
        <f t="shared" si="11"/>
        <v>cmt_operacional-planos_operacionais</v>
      </c>
      <c r="J69" s="10"/>
      <c r="K69" s="10"/>
      <c r="L69" s="3" t="e">
        <f>IF(INDEX(GRAFO!$L$2:'GRAFO'!$L$41,MATCH(I69,GRAFO!$L$2:'GRAFO'!$L$41,0),1)&lt;&gt;0,1,0)</f>
        <v>#N/A</v>
      </c>
      <c r="M69" s="3">
        <f t="shared" si="12"/>
        <v>0</v>
      </c>
      <c r="O69" s="10" t="str">
        <f t="shared" si="13"/>
        <v>cmt_operacional-rdfs:seeAlso-planos_operacionais</v>
      </c>
      <c r="P69" s="10"/>
      <c r="Q69" s="10"/>
      <c r="R69" s="10"/>
      <c r="S69" s="10"/>
      <c r="T69" s="10" t="e">
        <f>IF(INDEX(GRAFO!$M$2:'GRAFO'!$M$41,MATCH(O69,GRAFO!$M$2:'GRAFO'!$M$41,0),1)&lt;&gt;0,1,0)</f>
        <v>#N/A</v>
      </c>
      <c r="U69" s="10">
        <f t="shared" si="14"/>
        <v>0</v>
      </c>
    </row>
    <row r="70" spans="4:21">
      <c r="D70" s="10" t="str">
        <f t="shared" si="3"/>
        <v>planos_operacionais</v>
      </c>
      <c r="E70" s="10" t="str">
        <f t="shared" si="4"/>
        <v>rdfs:seeAlso</v>
      </c>
      <c r="F70" s="10" t="str">
        <f t="shared" si="5"/>
        <v>planos_est</v>
      </c>
      <c r="G70" s="3" t="str">
        <f t="shared" si="6"/>
        <v>NOK</v>
      </c>
      <c r="I70" s="10" t="str">
        <f t="shared" si="11"/>
        <v>planos_operacionais-planos_est</v>
      </c>
      <c r="J70" s="10"/>
      <c r="K70" s="10"/>
      <c r="L70" s="3" t="e">
        <f>IF(INDEX(GRAFO!$L$2:'GRAFO'!$L$41,MATCH(I70,GRAFO!$L$2:'GRAFO'!$L$41,0),1)&lt;&gt;0,1,0)</f>
        <v>#N/A</v>
      </c>
      <c r="M70" s="3">
        <f t="shared" si="12"/>
        <v>0</v>
      </c>
      <c r="O70" s="10" t="str">
        <f t="shared" si="13"/>
        <v>planos_operacionais-rdfs:seeAlso-planos_est</v>
      </c>
      <c r="P70" s="10"/>
      <c r="Q70" s="10"/>
      <c r="R70" s="10"/>
      <c r="S70" s="10"/>
      <c r="T70" s="10" t="e">
        <f>IF(INDEX(GRAFO!$M$2:'GRAFO'!$M$41,MATCH(O70,GRAFO!$M$2:'GRAFO'!$M$41,0),1)&lt;&gt;0,1,0)</f>
        <v>#N/A</v>
      </c>
      <c r="U70" s="10">
        <f t="shared" si="14"/>
        <v>0</v>
      </c>
    </row>
    <row r="71" spans="4:21">
      <c r="D71" s="10" t="str">
        <f t="shared" si="3"/>
        <v>comandos_operacionais</v>
      </c>
      <c r="E71" s="10" t="str">
        <f t="shared" si="4"/>
        <v>rdfs:seeAlso</v>
      </c>
      <c r="F71" s="10" t="str">
        <f t="shared" si="5"/>
        <v>planej_militar</v>
      </c>
      <c r="G71" s="3" t="str">
        <f t="shared" si="6"/>
        <v>NOK</v>
      </c>
      <c r="I71" s="10" t="str">
        <f t="shared" si="11"/>
        <v>comandos_operacionais-planej_militar</v>
      </c>
      <c r="J71" s="10"/>
      <c r="K71" s="10"/>
      <c r="L71" s="3" t="e">
        <f>IF(INDEX(GRAFO!$L$2:'GRAFO'!$L$41,MATCH(I71,GRAFO!$L$2:'GRAFO'!$L$41,0),1)&lt;&gt;0,1,0)</f>
        <v>#N/A</v>
      </c>
      <c r="M71" s="3">
        <f t="shared" si="12"/>
        <v>0</v>
      </c>
      <c r="O71" s="10" t="str">
        <f t="shared" si="13"/>
        <v>comandos_operacionais-rdfs:seeAlso-planej_militar</v>
      </c>
      <c r="P71" s="10"/>
      <c r="Q71" s="10"/>
      <c r="R71" s="10"/>
      <c r="S71" s="10"/>
      <c r="T71" s="10" t="e">
        <f>IF(INDEX(GRAFO!$M$2:'GRAFO'!$M$41,MATCH(O71,GRAFO!$M$2:'GRAFO'!$M$41,0),1)&lt;&gt;0,1,0)</f>
        <v>#N/A</v>
      </c>
      <c r="U71" s="10">
        <f t="shared" si="14"/>
        <v>0</v>
      </c>
    </row>
    <row r="72" spans="4:21">
      <c r="D72" s="10" t="str">
        <f t="shared" si="3"/>
        <v>planej_militar</v>
      </c>
      <c r="E72" s="10" t="str">
        <f t="shared" si="4"/>
        <v>rdfs:seeAlso</v>
      </c>
      <c r="F72" s="10" t="str">
        <f t="shared" si="5"/>
        <v>documentos</v>
      </c>
      <c r="G72" s="3" t="str">
        <f t="shared" si="6"/>
        <v>NOK</v>
      </c>
      <c r="I72" s="10" t="str">
        <f t="shared" si="11"/>
        <v>planej_militar-documentos</v>
      </c>
      <c r="J72" s="10"/>
      <c r="K72" s="10"/>
      <c r="L72" s="3" t="e">
        <f>IF(INDEX(GRAFO!$L$2:'GRAFO'!$L$41,MATCH(I72,GRAFO!$L$2:'GRAFO'!$L$41,0),1)&lt;&gt;0,1,0)</f>
        <v>#N/A</v>
      </c>
      <c r="M72" s="3">
        <f t="shared" si="12"/>
        <v>0</v>
      </c>
      <c r="O72" s="10" t="str">
        <f t="shared" si="13"/>
        <v>planej_militar-rdfs:seeAlso-documentos</v>
      </c>
      <c r="P72" s="10"/>
      <c r="Q72" s="10"/>
      <c r="R72" s="10"/>
      <c r="S72" s="10"/>
      <c r="T72" s="10" t="e">
        <f>IF(INDEX(GRAFO!$M$2:'GRAFO'!$M$41,MATCH(O72,GRAFO!$M$2:'GRAFO'!$M$41,0),1)&lt;&gt;0,1,0)</f>
        <v>#N/A</v>
      </c>
      <c r="U72" s="10">
        <f t="shared" si="14"/>
        <v>0</v>
      </c>
    </row>
    <row r="73" spans="4:21">
      <c r="D73" s="10" t="str">
        <f t="shared" si="3"/>
        <v>nivel</v>
      </c>
      <c r="E73" s="10" t="str">
        <f t="shared" si="4"/>
        <v>rdfs:seeAlso</v>
      </c>
      <c r="F73" s="10" t="str">
        <f t="shared" si="5"/>
        <v>documentos</v>
      </c>
      <c r="G73" s="3" t="str">
        <f t="shared" si="6"/>
        <v>NOK</v>
      </c>
      <c r="I73" s="10" t="str">
        <f t="shared" si="11"/>
        <v>nivel-documentos</v>
      </c>
      <c r="J73" s="10"/>
      <c r="K73" s="10"/>
      <c r="L73" s="3" t="e">
        <f>IF(INDEX(GRAFO!$L$2:'GRAFO'!$L$41,MATCH(I73,GRAFO!$L$2:'GRAFO'!$L$41,0),1)&lt;&gt;0,1,0)</f>
        <v>#N/A</v>
      </c>
      <c r="M73" s="3">
        <f t="shared" si="12"/>
        <v>0</v>
      </c>
      <c r="O73" s="10" t="str">
        <f t="shared" si="13"/>
        <v>nivel-rdfs:seeAlso-documentos</v>
      </c>
      <c r="P73" s="10"/>
      <c r="Q73" s="10"/>
      <c r="R73" s="10"/>
      <c r="S73" s="10"/>
      <c r="T73" s="10" t="e">
        <f>IF(INDEX(GRAFO!$M$2:'GRAFO'!$M$41,MATCH(O73,GRAFO!$M$2:'GRAFO'!$M$41,0),1)&lt;&gt;0,1,0)</f>
        <v>#N/A</v>
      </c>
      <c r="U73" s="10">
        <f t="shared" si="14"/>
        <v>0</v>
      </c>
    </row>
  </sheetData>
  <mergeCells count="10">
    <mergeCell ref="O39:S39"/>
    <mergeCell ref="T39:U39"/>
    <mergeCell ref="I39:K39"/>
    <mergeCell ref="L39:M39"/>
    <mergeCell ref="A1:B1"/>
    <mergeCell ref="D1:F1"/>
    <mergeCell ref="K4:K5"/>
    <mergeCell ref="D38:G38"/>
    <mergeCell ref="I38:M38"/>
    <mergeCell ref="O38:U38"/>
  </mergeCells>
  <dataValidations count="12">
    <dataValidation type="list" allowBlank="1" showInputMessage="1" showErrorMessage="1" sqref="F38:G38">
      <formula1>$A$3:$A$27</formula1>
    </dataValidation>
    <dataValidation type="list" allowBlank="1" showInputMessage="1" showErrorMessage="1" sqref="C3:C37 B4:B37">
      <formula1>$Y$3:$Y$39</formula1>
    </dataValidation>
    <dataValidation type="list" allowBlank="1" showInputMessage="1" showErrorMessage="1" sqref="H3:H44 G3:G37">
      <formula1>$A$3:$A$22</formula1>
    </dataValidation>
    <dataValidation type="list" allowBlank="1" showInputMessage="1" showErrorMessage="1" sqref="B40:B56">
      <formula1>$AE$2:$AE$12</formula1>
    </dataValidation>
    <dataValidation type="list" allowBlank="1" showInputMessage="1" showErrorMessage="1" sqref="D36:D37 F37">
      <formula1>$A$3:$A$28</formula1>
    </dataValidation>
    <dataValidation type="list" allowBlank="1" showInputMessage="1" showErrorMessage="1" sqref="E37">
      <formula1>$A$40:$A$48</formula1>
    </dataValidation>
    <dataValidation type="list" allowBlank="1" showInputMessage="1" showErrorMessage="1" sqref="D3:D7 F3:F6 F8 D9:D10 F17 F28:F30 F33 F35:F36">
      <formula1>$A$3:$A$29</formula1>
    </dataValidation>
    <dataValidation type="list" allowBlank="1" showInputMessage="1" showErrorMessage="1" sqref="E3:E35">
      <formula1>$A$40:$A$55</formula1>
    </dataValidation>
    <dataValidation type="list" allowBlank="1" showInputMessage="1" showErrorMessage="1" sqref="F18:F27 F7 D8 F9:F16 F31:F32 D11:D34">
      <formula1>$A$3:$A$30</formula1>
    </dataValidation>
    <dataValidation type="list" allowBlank="1" showInputMessage="1" showErrorMessage="1" sqref="B3">
      <formula1>$Y$3:$Y$31</formula1>
    </dataValidation>
    <dataValidation type="list" allowBlank="1" showInputMessage="1" showErrorMessage="1" sqref="F34 D35">
      <formula1>$A$3:$A$31</formula1>
    </dataValidation>
    <dataValidation type="list" allowBlank="1" showInputMessage="1" showErrorMessage="1" sqref="E36">
      <formula1>$A$40:$A$56</formula1>
    </dataValidation>
  </dataValidation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E73"/>
  <sheetViews>
    <sheetView topLeftCell="M1" workbookViewId="0">
      <selection activeCell="X4" sqref="X4:X7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9" t="s">
        <v>184</v>
      </c>
      <c r="AD2" s="9" t="s">
        <v>195</v>
      </c>
      <c r="AE2" s="9" t="s">
        <v>35</v>
      </c>
    </row>
    <row r="3" spans="1:31" ht="16.75">
      <c r="A3" s="46" t="s">
        <v>290</v>
      </c>
      <c r="B3" s="10"/>
      <c r="D3" s="10" t="s">
        <v>233</v>
      </c>
      <c r="E3" s="10" t="s">
        <v>147</v>
      </c>
      <c r="F3" s="10" t="s">
        <v>285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s="16" t="s">
        <v>33</v>
      </c>
      <c r="AC3" s="9" t="s">
        <v>185</v>
      </c>
      <c r="AD3" s="9" t="s">
        <v>196</v>
      </c>
      <c r="AE3" s="9" t="s">
        <v>4</v>
      </c>
    </row>
    <row r="4" spans="1:31" ht="16.75">
      <c r="A4" s="46" t="s">
        <v>285</v>
      </c>
      <c r="B4" s="10" t="s">
        <v>8</v>
      </c>
      <c r="D4" s="10" t="s">
        <v>233</v>
      </c>
      <c r="E4" s="10" t="s">
        <v>141</v>
      </c>
      <c r="F4" s="10" t="s">
        <v>123</v>
      </c>
      <c r="K4" s="85" t="s">
        <v>80</v>
      </c>
      <c r="L4" s="8" t="s">
        <v>0</v>
      </c>
      <c r="M4" s="4">
        <f>GRAFO!J2</f>
        <v>29</v>
      </c>
      <c r="N4" s="11">
        <f>COUNTA(A3:A27)</f>
        <v>25</v>
      </c>
      <c r="O4" s="11">
        <f>COUNTIF(B3:B31,"&lt;&gt;"&amp;"")</f>
        <v>12</v>
      </c>
      <c r="P4" s="2">
        <f>N4-R4</f>
        <v>12</v>
      </c>
      <c r="Q4" s="2">
        <f>M4-O4</f>
        <v>17</v>
      </c>
      <c r="R4" s="2">
        <f>N4-O4</f>
        <v>13</v>
      </c>
      <c r="S4" s="2">
        <f>O4+P4</f>
        <v>24</v>
      </c>
      <c r="T4" s="2">
        <f>Q4+R4</f>
        <v>30</v>
      </c>
      <c r="U4" s="6">
        <f>O4/(O4+R4)</f>
        <v>0.48</v>
      </c>
      <c r="V4" s="6">
        <f>O4/(O4+Q4)</f>
        <v>0.41379310344827586</v>
      </c>
      <c r="W4" s="6">
        <f>(O4+P4)/(O4+P4+Q4+R4)</f>
        <v>0.44444444444444442</v>
      </c>
      <c r="X4" s="62">
        <f>AVERAGE(U4:W4)</f>
        <v>0.44607918263090673</v>
      </c>
      <c r="Y4" s="16" t="s">
        <v>21</v>
      </c>
      <c r="AC4" s="9" t="s">
        <v>186</v>
      </c>
      <c r="AD4" s="9" t="s">
        <v>197</v>
      </c>
      <c r="AE4" s="9" t="s">
        <v>205</v>
      </c>
    </row>
    <row r="5" spans="1:31" ht="16.75">
      <c r="A5" s="46" t="s">
        <v>255</v>
      </c>
      <c r="B5" s="10" t="s">
        <v>10</v>
      </c>
      <c r="D5" s="10" t="s">
        <v>288</v>
      </c>
      <c r="E5" s="10" t="s">
        <v>142</v>
      </c>
      <c r="F5" s="10" t="s">
        <v>290</v>
      </c>
      <c r="K5" s="85"/>
      <c r="L5" s="8" t="s">
        <v>100</v>
      </c>
      <c r="M5" s="5">
        <f>GRAFO!J3</f>
        <v>41</v>
      </c>
      <c r="N5" s="12">
        <f>COUNTA(D40:D62)</f>
        <v>23</v>
      </c>
      <c r="O5" s="12">
        <f>COUNTIF(M40:M73,"=1")</f>
        <v>3</v>
      </c>
      <c r="P5" s="2">
        <f>N5-R5</f>
        <v>3</v>
      </c>
      <c r="Q5" s="2">
        <f>M5-O5</f>
        <v>38</v>
      </c>
      <c r="R5" s="2">
        <f>N5-O5</f>
        <v>20</v>
      </c>
      <c r="S5" s="2">
        <f>O5+P5</f>
        <v>6</v>
      </c>
      <c r="T5" s="2">
        <f>Q5+R5</f>
        <v>58</v>
      </c>
      <c r="U5" s="6">
        <f>O5/(O5+R5)</f>
        <v>0.13043478260869565</v>
      </c>
      <c r="V5" s="6">
        <f>O5/(O5+Q5)</f>
        <v>7.3170731707317069E-2</v>
      </c>
      <c r="W5" s="6">
        <f>(O5+P5)/(O5+P5+Q5+R5)</f>
        <v>9.375E-2</v>
      </c>
      <c r="X5" s="62">
        <f t="shared" ref="X5:X6" si="0">AVERAGE(U5:W5)</f>
        <v>9.9118504772004234E-2</v>
      </c>
      <c r="Y5" s="16" t="s">
        <v>17</v>
      </c>
      <c r="AC5" s="9" t="s">
        <v>187</v>
      </c>
      <c r="AD5" s="9" t="s">
        <v>198</v>
      </c>
      <c r="AE5" s="9" t="s">
        <v>3</v>
      </c>
    </row>
    <row r="6" spans="1:31" ht="16.75">
      <c r="A6" s="46" t="s">
        <v>288</v>
      </c>
      <c r="B6" s="10" t="s">
        <v>12</v>
      </c>
      <c r="D6" s="10" t="s">
        <v>255</v>
      </c>
      <c r="E6" s="10" t="s">
        <v>142</v>
      </c>
      <c r="F6" s="10" t="s">
        <v>291</v>
      </c>
      <c r="L6" s="8" t="s">
        <v>99</v>
      </c>
      <c r="M6" s="5">
        <v>41</v>
      </c>
      <c r="N6" s="12">
        <f>COUNTA(D40:D62)</f>
        <v>23</v>
      </c>
      <c r="O6" s="12">
        <f>COUNTIF(U40:U73,"=1")</f>
        <v>3</v>
      </c>
      <c r="P6" s="2">
        <f>N6-R6</f>
        <v>3</v>
      </c>
      <c r="Q6" s="2">
        <f>M6-O6</f>
        <v>38</v>
      </c>
      <c r="R6" s="2">
        <f>N6-O6</f>
        <v>20</v>
      </c>
      <c r="S6" s="2">
        <f>O6+P6</f>
        <v>6</v>
      </c>
      <c r="T6" s="2">
        <f>Q6+R6</f>
        <v>58</v>
      </c>
      <c r="U6" s="6">
        <f>O6/(O6+R6)</f>
        <v>0.13043478260869565</v>
      </c>
      <c r="V6" s="6">
        <f>O6/(O6+Q6)</f>
        <v>7.3170731707317069E-2</v>
      </c>
      <c r="W6" s="6">
        <f>(O6+P6)/(O6+P6+Q6+R6)</f>
        <v>9.375E-2</v>
      </c>
      <c r="X6" s="62">
        <f t="shared" si="0"/>
        <v>9.9118504772004234E-2</v>
      </c>
      <c r="Y6" s="16" t="s">
        <v>40</v>
      </c>
      <c r="AC6" s="9" t="s">
        <v>188</v>
      </c>
      <c r="AD6" s="9" t="s">
        <v>199</v>
      </c>
      <c r="AE6" s="9" t="s">
        <v>6</v>
      </c>
    </row>
    <row r="7" spans="1:31" ht="16.75">
      <c r="A7" s="46" t="s">
        <v>289</v>
      </c>
      <c r="B7" s="10" t="s">
        <v>11</v>
      </c>
      <c r="D7" s="10" t="s">
        <v>255</v>
      </c>
      <c r="E7" s="10" t="s">
        <v>142</v>
      </c>
      <c r="F7" s="10" t="s">
        <v>293</v>
      </c>
      <c r="X7" s="62">
        <f>AVERAGE(X4:X6)</f>
        <v>0.21477206405830507</v>
      </c>
      <c r="Y7" s="16" t="s">
        <v>13</v>
      </c>
      <c r="AC7" s="9" t="s">
        <v>189</v>
      </c>
      <c r="AD7" s="9" t="s">
        <v>200</v>
      </c>
      <c r="AE7" s="9" t="s">
        <v>206</v>
      </c>
    </row>
    <row r="8" spans="1:31" ht="16.75">
      <c r="A8" s="46" t="s">
        <v>233</v>
      </c>
      <c r="B8" s="10" t="s">
        <v>40</v>
      </c>
      <c r="D8" s="10" t="s">
        <v>255</v>
      </c>
      <c r="E8" s="10" t="s">
        <v>294</v>
      </c>
      <c r="F8" s="10" t="s">
        <v>53</v>
      </c>
      <c r="Y8" s="16" t="s">
        <v>39</v>
      </c>
      <c r="AC8" s="9" t="s">
        <v>190</v>
      </c>
      <c r="AD8" s="9" t="s">
        <v>148</v>
      </c>
      <c r="AE8" s="9" t="s">
        <v>36</v>
      </c>
    </row>
    <row r="9" spans="1:31" ht="16.75">
      <c r="A9" s="46" t="s">
        <v>53</v>
      </c>
      <c r="B9" s="10"/>
      <c r="D9" s="10" t="s">
        <v>53</v>
      </c>
      <c r="E9" s="10" t="s">
        <v>107</v>
      </c>
      <c r="F9" s="10" t="s">
        <v>124</v>
      </c>
      <c r="K9" t="s">
        <v>74</v>
      </c>
      <c r="L9" t="s">
        <v>75</v>
      </c>
      <c r="N9">
        <f>GRAFO!J2</f>
        <v>29</v>
      </c>
      <c r="Y9" s="16" t="s">
        <v>19</v>
      </c>
      <c r="AC9" s="9" t="s">
        <v>191</v>
      </c>
      <c r="AD9" s="9" t="s">
        <v>201</v>
      </c>
      <c r="AE9" s="9" t="s">
        <v>7</v>
      </c>
    </row>
    <row r="10" spans="1:31" ht="16.75">
      <c r="A10" s="46" t="s">
        <v>123</v>
      </c>
      <c r="B10" s="10"/>
      <c r="D10" s="10" t="s">
        <v>124</v>
      </c>
      <c r="E10" s="10" t="s">
        <v>266</v>
      </c>
      <c r="F10" s="10" t="s">
        <v>153</v>
      </c>
      <c r="K10" t="s">
        <v>80</v>
      </c>
      <c r="L10" t="s">
        <v>76</v>
      </c>
      <c r="N10">
        <f>N4</f>
        <v>25</v>
      </c>
      <c r="Y10" s="16" t="s">
        <v>37</v>
      </c>
      <c r="AC10" s="9" t="s">
        <v>192</v>
      </c>
      <c r="AD10" s="9" t="s">
        <v>202</v>
      </c>
      <c r="AE10" s="9" t="s">
        <v>207</v>
      </c>
    </row>
    <row r="11" spans="1:31" ht="16.75">
      <c r="A11" s="46" t="s">
        <v>124</v>
      </c>
      <c r="B11" s="10"/>
      <c r="D11" s="10" t="s">
        <v>286</v>
      </c>
      <c r="E11" s="10" t="s">
        <v>143</v>
      </c>
      <c r="F11" s="10" t="s">
        <v>287</v>
      </c>
      <c r="K11" t="s">
        <v>68</v>
      </c>
      <c r="L11" t="s">
        <v>77</v>
      </c>
      <c r="N11">
        <v>16</v>
      </c>
      <c r="Y11" s="16" t="s">
        <v>10</v>
      </c>
      <c r="AC11" s="9" t="s">
        <v>193</v>
      </c>
      <c r="AD11" s="9" t="s">
        <v>203</v>
      </c>
      <c r="AE11" s="9" t="s">
        <v>208</v>
      </c>
    </row>
    <row r="12" spans="1:31" ht="16.75">
      <c r="A12" s="46" t="s">
        <v>66</v>
      </c>
      <c r="B12" s="10" t="s">
        <v>22</v>
      </c>
      <c r="D12" s="10" t="s">
        <v>286</v>
      </c>
      <c r="E12" s="10" t="s">
        <v>242</v>
      </c>
      <c r="F12" s="10" t="s">
        <v>66</v>
      </c>
      <c r="K12" t="s">
        <v>70</v>
      </c>
      <c r="L12" t="s">
        <v>78</v>
      </c>
      <c r="M12" t="s">
        <v>86</v>
      </c>
      <c r="N12">
        <f>N9-N11</f>
        <v>13</v>
      </c>
      <c r="Y12" s="16" t="s">
        <v>14</v>
      </c>
      <c r="AC12" s="9" t="s">
        <v>194</v>
      </c>
      <c r="AD12" s="9" t="s">
        <v>204</v>
      </c>
      <c r="AE12" s="9" t="s">
        <v>5</v>
      </c>
    </row>
    <row r="13" spans="1:31" ht="16.75">
      <c r="A13" s="46" t="s">
        <v>153</v>
      </c>
      <c r="B13" s="10"/>
      <c r="D13" s="10" t="s">
        <v>238</v>
      </c>
      <c r="E13" s="10" t="s">
        <v>218</v>
      </c>
      <c r="F13" s="10" t="s">
        <v>155</v>
      </c>
      <c r="K13" t="s">
        <v>69</v>
      </c>
      <c r="L13" t="s">
        <v>79</v>
      </c>
      <c r="M13" t="s">
        <v>87</v>
      </c>
      <c r="Y13" s="16" t="s">
        <v>34</v>
      </c>
    </row>
    <row r="14" spans="1:31" ht="16.75">
      <c r="A14" s="46" t="s">
        <v>154</v>
      </c>
      <c r="B14" s="10"/>
      <c r="D14" s="10" t="s">
        <v>155</v>
      </c>
      <c r="E14" s="10" t="s">
        <v>294</v>
      </c>
      <c r="F14" s="10" t="s">
        <v>154</v>
      </c>
      <c r="K14" t="s">
        <v>83</v>
      </c>
      <c r="M14" t="s">
        <v>88</v>
      </c>
      <c r="Y14" s="16" t="s">
        <v>27</v>
      </c>
    </row>
    <row r="15" spans="1:31" ht="16.75">
      <c r="A15" s="46" t="s">
        <v>155</v>
      </c>
      <c r="B15" s="10"/>
      <c r="D15" s="10" t="s">
        <v>64</v>
      </c>
      <c r="E15" s="10" t="s">
        <v>139</v>
      </c>
      <c r="F15" s="10" t="s">
        <v>154</v>
      </c>
      <c r="K15" t="s">
        <v>89</v>
      </c>
      <c r="M15" t="s">
        <v>92</v>
      </c>
      <c r="Y15" s="16" t="s">
        <v>28</v>
      </c>
    </row>
    <row r="16" spans="1:31" ht="16.75">
      <c r="A16" s="46" t="s">
        <v>286</v>
      </c>
      <c r="B16" s="10" t="s">
        <v>13</v>
      </c>
      <c r="D16" s="10" t="s">
        <v>57</v>
      </c>
      <c r="E16" s="10" t="s">
        <v>101</v>
      </c>
      <c r="F16" s="10" t="s">
        <v>54</v>
      </c>
      <c r="K16" t="s">
        <v>90</v>
      </c>
      <c r="M16" t="s">
        <v>93</v>
      </c>
      <c r="Y16" s="16" t="s">
        <v>30</v>
      </c>
    </row>
    <row r="17" spans="1:25" ht="16.75">
      <c r="A17" s="46" t="s">
        <v>238</v>
      </c>
      <c r="B17" s="10"/>
      <c r="D17" s="10" t="s">
        <v>56</v>
      </c>
      <c r="E17" s="10" t="s">
        <v>101</v>
      </c>
      <c r="F17" s="10" t="s">
        <v>54</v>
      </c>
      <c r="K17" t="s">
        <v>91</v>
      </c>
      <c r="M17" t="s">
        <v>94</v>
      </c>
      <c r="Y17" s="16" t="s">
        <v>29</v>
      </c>
    </row>
    <row r="18" spans="1:25" ht="16.75">
      <c r="A18" s="46" t="s">
        <v>64</v>
      </c>
      <c r="B18" s="10" t="s">
        <v>28</v>
      </c>
      <c r="D18" s="10" t="s">
        <v>55</v>
      </c>
      <c r="E18" s="10" t="s">
        <v>101</v>
      </c>
      <c r="F18" s="10" t="s">
        <v>54</v>
      </c>
      <c r="K18" t="s">
        <v>84</v>
      </c>
      <c r="M18" t="s">
        <v>95</v>
      </c>
      <c r="Y18" s="16" t="s">
        <v>31</v>
      </c>
    </row>
    <row r="19" spans="1:25" ht="16.75">
      <c r="A19" s="46" t="s">
        <v>55</v>
      </c>
      <c r="B19" s="10" t="s">
        <v>32</v>
      </c>
      <c r="D19" s="10" t="s">
        <v>57</v>
      </c>
      <c r="E19" s="10" t="s">
        <v>105</v>
      </c>
      <c r="F19" s="10" t="s">
        <v>64</v>
      </c>
      <c r="K19" t="s">
        <v>85</v>
      </c>
      <c r="M19" t="s">
        <v>96</v>
      </c>
      <c r="Y19" s="16" t="s">
        <v>171</v>
      </c>
    </row>
    <row r="20" spans="1:25" ht="16.75">
      <c r="A20" s="46" t="s">
        <v>56</v>
      </c>
      <c r="B20" s="10" t="s">
        <v>34</v>
      </c>
      <c r="D20" s="10" t="s">
        <v>56</v>
      </c>
      <c r="E20" s="10" t="s">
        <v>105</v>
      </c>
      <c r="F20" s="10" t="s">
        <v>64</v>
      </c>
      <c r="K20" t="s">
        <v>97</v>
      </c>
      <c r="M20" t="s">
        <v>98</v>
      </c>
      <c r="Y20" s="16" t="s">
        <v>15</v>
      </c>
    </row>
    <row r="21" spans="1:25" ht="16.75">
      <c r="A21" s="46" t="s">
        <v>57</v>
      </c>
      <c r="B21" s="10" t="s">
        <v>33</v>
      </c>
      <c r="D21" s="10" t="s">
        <v>55</v>
      </c>
      <c r="E21" s="10" t="s">
        <v>105</v>
      </c>
      <c r="F21" s="10" t="s">
        <v>64</v>
      </c>
      <c r="Y21" s="16" t="s">
        <v>16</v>
      </c>
    </row>
    <row r="22" spans="1:25" ht="16.75">
      <c r="A22" s="46" t="s">
        <v>54</v>
      </c>
      <c r="B22" s="10" t="s">
        <v>31</v>
      </c>
      <c r="D22" s="10" t="s">
        <v>54</v>
      </c>
      <c r="E22" s="10" t="s">
        <v>136</v>
      </c>
      <c r="F22" s="10" t="s">
        <v>292</v>
      </c>
      <c r="Y22" s="16" t="s">
        <v>32</v>
      </c>
    </row>
    <row r="23" spans="1:25" ht="16.75">
      <c r="A23" s="46" t="s">
        <v>293</v>
      </c>
      <c r="B23" s="10"/>
      <c r="D23" s="10" t="s">
        <v>293</v>
      </c>
      <c r="E23" s="10" t="s">
        <v>263</v>
      </c>
      <c r="F23" s="10" t="s">
        <v>290</v>
      </c>
      <c r="Y23" s="16" t="s">
        <v>9</v>
      </c>
    </row>
    <row r="24" spans="1:25" ht="16.75">
      <c r="A24" s="46" t="s">
        <v>292</v>
      </c>
      <c r="B24" s="10"/>
      <c r="D24" s="10" t="s">
        <v>290</v>
      </c>
      <c r="E24" s="10" t="s">
        <v>263</v>
      </c>
      <c r="F24" s="10" t="s">
        <v>291</v>
      </c>
      <c r="Y24" s="16" t="s">
        <v>18</v>
      </c>
    </row>
    <row r="25" spans="1:25" ht="16.75">
      <c r="A25" s="46" t="s">
        <v>287</v>
      </c>
      <c r="B25" s="10"/>
      <c r="D25" s="10" t="s">
        <v>54</v>
      </c>
      <c r="E25" s="10" t="s">
        <v>215</v>
      </c>
      <c r="F25" s="10" t="s">
        <v>59</v>
      </c>
      <c r="Y25" s="16" t="s">
        <v>23</v>
      </c>
    </row>
    <row r="26" spans="1:25" ht="16.75">
      <c r="A26" s="46" t="s">
        <v>291</v>
      </c>
      <c r="B26" s="10"/>
      <c r="D26" s="10"/>
      <c r="E26" s="10"/>
      <c r="F26" s="10"/>
      <c r="Y26" s="16" t="s">
        <v>22</v>
      </c>
    </row>
    <row r="27" spans="1:25" ht="16.75">
      <c r="A27" s="46" t="s">
        <v>59</v>
      </c>
      <c r="B27" s="10"/>
      <c r="D27" s="10"/>
      <c r="E27" s="10"/>
      <c r="F27" s="10"/>
      <c r="Y27" s="16" t="s">
        <v>12</v>
      </c>
    </row>
    <row r="28" spans="1:25" ht="16.75">
      <c r="A28" s="10"/>
      <c r="B28" s="10"/>
      <c r="D28" s="10"/>
      <c r="E28" s="10"/>
      <c r="F28" s="10"/>
      <c r="Y28" s="16" t="s">
        <v>24</v>
      </c>
    </row>
    <row r="29" spans="1:25" ht="16.75">
      <c r="A29" s="46"/>
      <c r="B29" s="10"/>
      <c r="D29" s="10"/>
      <c r="E29" s="10"/>
      <c r="F29" s="10"/>
      <c r="Y29" s="16" t="s">
        <v>8</v>
      </c>
    </row>
    <row r="30" spans="1:25" ht="16.75">
      <c r="A30" s="10"/>
      <c r="B30" s="10"/>
      <c r="D30" s="10"/>
      <c r="E30" s="10"/>
      <c r="F30" s="10"/>
      <c r="Y30" s="16" t="s">
        <v>20</v>
      </c>
    </row>
    <row r="31" spans="1:25" ht="16.75">
      <c r="A31" s="10"/>
      <c r="B31" s="10"/>
      <c r="D31" s="10"/>
      <c r="E31" s="10"/>
      <c r="F31" s="10"/>
      <c r="Y31" s="16" t="s">
        <v>11</v>
      </c>
    </row>
    <row r="32" spans="1:25">
      <c r="A32" s="10"/>
      <c r="B32" s="10"/>
      <c r="D32" s="10"/>
      <c r="E32" s="10"/>
      <c r="F32" s="10"/>
    </row>
    <row r="33" spans="1:21">
      <c r="A33" s="10"/>
      <c r="B33" s="10"/>
      <c r="D33" s="10"/>
      <c r="E33" s="10"/>
      <c r="F33" s="10"/>
    </row>
    <row r="34" spans="1:21">
      <c r="A34" s="10"/>
      <c r="B34" s="10"/>
      <c r="D34" s="10"/>
      <c r="E34" s="10"/>
      <c r="F34" s="10"/>
    </row>
    <row r="35" spans="1:21">
      <c r="A35" s="10"/>
      <c r="B35" s="10"/>
      <c r="D35" s="10"/>
      <c r="E35" s="10"/>
      <c r="F35" s="10"/>
    </row>
    <row r="36" spans="1:21">
      <c r="A36" s="10"/>
      <c r="B36" s="10"/>
      <c r="D36" s="10"/>
      <c r="E36" s="10"/>
      <c r="F36" s="10"/>
    </row>
    <row r="37" spans="1:21">
      <c r="A37" s="10"/>
      <c r="B37" s="10"/>
    </row>
    <row r="38" spans="1:21">
      <c r="A38" s="30" t="s">
        <v>182</v>
      </c>
      <c r="B38" s="30"/>
      <c r="D38" s="104" t="s">
        <v>222</v>
      </c>
      <c r="E38" s="105"/>
      <c r="F38" s="105"/>
      <c r="G38" s="106"/>
      <c r="I38" s="98" t="s">
        <v>224</v>
      </c>
      <c r="J38" s="99"/>
      <c r="K38" s="99"/>
      <c r="L38" s="99"/>
      <c r="M38" s="100"/>
      <c r="O38" s="94" t="s">
        <v>229</v>
      </c>
      <c r="P38" s="94"/>
      <c r="Q38" s="94"/>
      <c r="R38" s="94"/>
      <c r="S38" s="94"/>
      <c r="T38" s="94"/>
      <c r="U38" s="94"/>
    </row>
    <row r="39" spans="1:21">
      <c r="A39" s="32" t="s">
        <v>251</v>
      </c>
      <c r="B39" s="33" t="s">
        <v>252</v>
      </c>
      <c r="D39" s="34" t="s">
        <v>220</v>
      </c>
      <c r="E39" s="34" t="s">
        <v>219</v>
      </c>
      <c r="F39" s="34" t="s">
        <v>221</v>
      </c>
      <c r="G39" s="34" t="s">
        <v>223</v>
      </c>
      <c r="I39" s="101" t="s">
        <v>225</v>
      </c>
      <c r="J39" s="102"/>
      <c r="K39" s="103"/>
      <c r="L39" s="101" t="s">
        <v>226</v>
      </c>
      <c r="M39" s="103"/>
      <c r="O39" s="95" t="s">
        <v>227</v>
      </c>
      <c r="P39" s="96"/>
      <c r="Q39" s="96"/>
      <c r="R39" s="96"/>
      <c r="S39" s="97"/>
      <c r="T39" s="95" t="s">
        <v>228</v>
      </c>
      <c r="U39" s="97"/>
    </row>
    <row r="40" spans="1:21">
      <c r="A40" s="46" t="s">
        <v>101</v>
      </c>
      <c r="B40" s="10" t="s">
        <v>3</v>
      </c>
      <c r="C40" s="9" t="str">
        <f>IF(INDEX($A$3:$B$27,MATCH(D3,$A$3:$A$27,0),2)&lt;&gt;0,"OK","NOK")</f>
        <v>OK</v>
      </c>
      <c r="D40" s="10" t="str">
        <f>IF(INDEX($A$3:$B$27,MATCH(D3,$A$3:$A$27,0),2)&lt;&gt;0,INDEX($A$3:$B$27,MATCH(D3,$A$3:$A$27,0),2),D3)</f>
        <v>comando_supremo</v>
      </c>
      <c r="E40" s="10" t="str">
        <f>IF(INDEX($A$40:$B$54,MATCH(E3,$A$40:$A$54,0),2)&lt;&gt;0,INDEX($A$40:$B$54,MATCH(E3,$A$40:$A$54,0),2),E3)</f>
        <v>c2rm:responsible_for</v>
      </c>
      <c r="F40" s="10" t="str">
        <f>IF(INDEX($A$3:$B$27,MATCH(F3,$A$3:$A$27,0),2)&lt;&gt;0,INDEX($A$3:$B$27,MATCH(F3,$A$3:$A$27,0),2),F3)</f>
        <v>politico</v>
      </c>
      <c r="G40" s="3" t="str">
        <f>IF(INDEX($A$3:$B$27,MATCH(F3,$A$3:$A$27,0),2)&lt;&gt;0,"OK","NOK")</f>
        <v>OK</v>
      </c>
      <c r="I40" s="10" t="str">
        <f t="shared" ref="I40:I73" si="1">D40 &amp;"-"&amp;F40</f>
        <v>comando_supremo-politico</v>
      </c>
      <c r="J40" s="10"/>
      <c r="K40" s="10"/>
      <c r="L40" s="3" t="e">
        <f>IF(INDEX(GRAFO!$L$2:'GRAFO'!$L$41,MATCH(I40,GRAFO!$L$2:'GRAFO'!$L$41,0),1)&lt;&gt;0,1,0)</f>
        <v>#N/A</v>
      </c>
      <c r="M40" s="3">
        <f>IFERROR(L40,0)</f>
        <v>0</v>
      </c>
      <c r="O40" s="10" t="str">
        <f t="shared" ref="O40:O62" si="2">D40 &amp; "-" &amp; E40 &amp; "-" &amp; F40</f>
        <v>comando_supremo-c2rm:responsible_for-politico</v>
      </c>
      <c r="P40" s="10"/>
      <c r="Q40" s="10"/>
      <c r="R40" s="10"/>
      <c r="S40" s="10"/>
      <c r="T40" s="10" t="e">
        <f>IF(INDEX(GRAFO!$M$2:'GRAFO'!$M$41,MATCH(O40,GRAFO!$M$2:'GRAFO'!$M$41,0),1)&lt;&gt;0,1,0)</f>
        <v>#N/A</v>
      </c>
      <c r="U40" s="10">
        <f>IFERROR(T40,0)</f>
        <v>0</v>
      </c>
    </row>
    <row r="41" spans="1:21">
      <c r="A41" s="46" t="s">
        <v>136</v>
      </c>
      <c r="B41" s="10" t="s">
        <v>7</v>
      </c>
      <c r="C41" s="9" t="str">
        <f t="shared" ref="C41:C62" si="3">IF(INDEX($A$3:$B$27,MATCH(D4,$A$3:$A$27,0),2)&lt;&gt;0,"OK","NOK")</f>
        <v>OK</v>
      </c>
      <c r="D41" s="10" t="str">
        <f t="shared" ref="D41:D62" si="4">IF(INDEX($A$3:$B$27,MATCH(D4,$A$3:$A$27,0),2)&lt;&gt;0,INDEX($A$3:$B$27,MATCH(D4,$A$3:$A$27,0),2),D4)</f>
        <v>comando_supremo</v>
      </c>
      <c r="E41" s="10" t="str">
        <f t="shared" ref="E41:E62" si="5">IF(INDEX($A$40:$B$54,MATCH(E4,$A$40:$A$54,0),2)&lt;&gt;0,INDEX($A$40:$B$54,MATCH(E4,$A$40:$A$54,0),2),E4)</f>
        <v>c2rm:responsible_for</v>
      </c>
      <c r="F41" s="10" t="str">
        <f t="shared" ref="F41:F62" si="6">IF(INDEX($A$3:$B$27,MATCH(F4,$A$3:$A$27,0),2)&lt;&gt;0,INDEX($A$3:$B$27,MATCH(F4,$A$3:$A$27,0),2),F4)</f>
        <v>dped</v>
      </c>
      <c r="G41" s="3" t="str">
        <f t="shared" ref="G41:G62" si="7">IF(INDEX($A$3:$B$27,MATCH(F4,$A$3:$A$27,0),2)&lt;&gt;0,"OK","NOK")</f>
        <v>NOK</v>
      </c>
      <c r="I41" s="10" t="str">
        <f t="shared" si="1"/>
        <v>comando_supremo-dped</v>
      </c>
      <c r="J41" s="10"/>
      <c r="K41" s="10"/>
      <c r="L41" s="3" t="e">
        <f>IF(INDEX(GRAFO!$L$2:'GRAFO'!$L$41,MATCH(I41,GRAFO!$L$2:'GRAFO'!$L$41,0),1)&lt;&gt;0,1,0)</f>
        <v>#N/A</v>
      </c>
      <c r="M41" s="3">
        <f t="shared" ref="M41:M62" si="8">IFERROR(L41,0)</f>
        <v>0</v>
      </c>
      <c r="O41" s="10" t="str">
        <f t="shared" si="2"/>
        <v>comando_supremo-c2rm:responsible_for-dped</v>
      </c>
      <c r="P41" s="10"/>
      <c r="Q41" s="10"/>
      <c r="R41" s="10"/>
      <c r="S41" s="10"/>
      <c r="T41" s="10" t="e">
        <f>IF(INDEX(GRAFO!$M$2:'GRAFO'!$M$41,MATCH(O41,GRAFO!$M$2:'GRAFO'!$M$41,0),1)&lt;&gt;0,1,0)</f>
        <v>#N/A</v>
      </c>
      <c r="U41" s="10">
        <f t="shared" ref="U41:U62" si="9">IFERROR(T41,0)</f>
        <v>0</v>
      </c>
    </row>
    <row r="42" spans="1:21">
      <c r="A42" s="46" t="s">
        <v>142</v>
      </c>
      <c r="B42" s="10" t="s">
        <v>7</v>
      </c>
      <c r="C42" s="9" t="str">
        <f t="shared" si="3"/>
        <v>OK</v>
      </c>
      <c r="D42" s="10" t="str">
        <f t="shared" si="4"/>
        <v>operacional</v>
      </c>
      <c r="E42" s="10" t="str">
        <f t="shared" si="5"/>
        <v>c2rm:responsible_for</v>
      </c>
      <c r="F42" s="10" t="str">
        <f t="shared" si="6"/>
        <v>obj_operacional</v>
      </c>
      <c r="G42" s="3" t="str">
        <f t="shared" si="7"/>
        <v>NOK</v>
      </c>
      <c r="I42" s="10" t="str">
        <f t="shared" si="1"/>
        <v>operacional-obj_operacional</v>
      </c>
      <c r="J42" s="10"/>
      <c r="K42" s="10"/>
      <c r="L42" s="3" t="e">
        <f>IF(INDEX(GRAFO!$L$2:'GRAFO'!$L$41,MATCH(I42,GRAFO!$L$2:'GRAFO'!$L$41,0),1)&lt;&gt;0,1,0)</f>
        <v>#N/A</v>
      </c>
      <c r="M42" s="3">
        <f t="shared" si="8"/>
        <v>0</v>
      </c>
      <c r="O42" s="10" t="str">
        <f t="shared" si="2"/>
        <v>operacional-c2rm:responsible_for-obj_operacional</v>
      </c>
      <c r="P42" s="10"/>
      <c r="Q42" s="10"/>
      <c r="R42" s="10"/>
      <c r="S42" s="10"/>
      <c r="T42" s="10" t="e">
        <f>IF(INDEX(GRAFO!$M$2:'GRAFO'!$M$41,MATCH(O42,GRAFO!$M$2:'GRAFO'!$M$41,0),1)&lt;&gt;0,1,0)</f>
        <v>#N/A</v>
      </c>
      <c r="U42" s="10">
        <f t="shared" si="9"/>
        <v>0</v>
      </c>
    </row>
    <row r="43" spans="1:21">
      <c r="A43" s="46" t="s">
        <v>141</v>
      </c>
      <c r="B43" s="10" t="s">
        <v>7</v>
      </c>
      <c r="C43" s="9" t="str">
        <f t="shared" si="3"/>
        <v>OK</v>
      </c>
      <c r="D43" s="10" t="str">
        <f t="shared" si="4"/>
        <v>estrategico</v>
      </c>
      <c r="E43" s="10" t="str">
        <f t="shared" si="5"/>
        <v>c2rm:responsible_for</v>
      </c>
      <c r="F43" s="10" t="str">
        <f t="shared" si="6"/>
        <v>obj_tatico</v>
      </c>
      <c r="G43" s="3" t="str">
        <f t="shared" si="7"/>
        <v>NOK</v>
      </c>
      <c r="I43" s="10" t="str">
        <f t="shared" si="1"/>
        <v>estrategico-obj_tatico</v>
      </c>
      <c r="J43" s="10"/>
      <c r="K43" s="10"/>
      <c r="L43" s="3" t="e">
        <f>IF(INDEX(GRAFO!$L$2:'GRAFO'!$L$41,MATCH(I43,GRAFO!$L$2:'GRAFO'!$L$41,0),1)&lt;&gt;0,1,0)</f>
        <v>#N/A</v>
      </c>
      <c r="M43" s="3">
        <f t="shared" si="8"/>
        <v>0</v>
      </c>
      <c r="O43" s="10" t="str">
        <f t="shared" si="2"/>
        <v>estrategico-c2rm:responsible_for-obj_tatico</v>
      </c>
      <c r="P43" s="10"/>
      <c r="Q43" s="10"/>
      <c r="R43" s="10"/>
      <c r="S43" s="10"/>
      <c r="T43" s="10" t="e">
        <f>IF(INDEX(GRAFO!$M$2:'GRAFO'!$M$41,MATCH(O43,GRAFO!$M$2:'GRAFO'!$M$41,0),1)&lt;&gt;0,1,0)</f>
        <v>#N/A</v>
      </c>
      <c r="U43" s="10">
        <f t="shared" si="9"/>
        <v>0</v>
      </c>
    </row>
    <row r="44" spans="1:21">
      <c r="A44" s="46" t="s">
        <v>147</v>
      </c>
      <c r="B44" s="10" t="s">
        <v>7</v>
      </c>
      <c r="C44" s="9" t="str">
        <f t="shared" si="3"/>
        <v>OK</v>
      </c>
      <c r="D44" s="10" t="str">
        <f t="shared" si="4"/>
        <v>estrategico</v>
      </c>
      <c r="E44" s="10" t="str">
        <f t="shared" si="5"/>
        <v>c2rm:responsible_for</v>
      </c>
      <c r="F44" s="10" t="str">
        <f t="shared" si="6"/>
        <v>obj_estrategico</v>
      </c>
      <c r="G44" s="3" t="str">
        <f t="shared" si="7"/>
        <v>NOK</v>
      </c>
      <c r="I44" s="10" t="str">
        <f t="shared" si="1"/>
        <v>estrategico-obj_estrategico</v>
      </c>
      <c r="J44" s="10"/>
      <c r="K44" s="10"/>
      <c r="L44" s="3" t="e">
        <f>IF(INDEX(GRAFO!$L$2:'GRAFO'!$L$41,MATCH(I44,GRAFO!$L$2:'GRAFO'!$L$41,0),1)&lt;&gt;0,1,0)</f>
        <v>#N/A</v>
      </c>
      <c r="M44" s="3">
        <f t="shared" si="8"/>
        <v>0</v>
      </c>
      <c r="O44" s="10" t="str">
        <f t="shared" si="2"/>
        <v>estrategico-c2rm:responsible_for-obj_estrategico</v>
      </c>
      <c r="P44" s="10"/>
      <c r="Q44" s="10"/>
      <c r="R44" s="10"/>
      <c r="S44" s="10"/>
      <c r="T44" s="10" t="e">
        <f>IF(INDEX(GRAFO!$M$2:'GRAFO'!$M$41,MATCH(O44,GRAFO!$M$2:'GRAFO'!$M$41,0),1)&lt;&gt;0,1,0)</f>
        <v>#N/A</v>
      </c>
      <c r="U44" s="10">
        <f t="shared" si="9"/>
        <v>0</v>
      </c>
    </row>
    <row r="45" spans="1:21">
      <c r="A45" s="46" t="s">
        <v>139</v>
      </c>
      <c r="B45" s="10" t="s">
        <v>7</v>
      </c>
      <c r="C45" s="9" t="str">
        <f t="shared" si="3"/>
        <v>OK</v>
      </c>
      <c r="D45" s="10" t="str">
        <f t="shared" si="4"/>
        <v>estrategico</v>
      </c>
      <c r="E45" s="10" t="str">
        <f t="shared" si="5"/>
        <v>c2rm:responsible_for</v>
      </c>
      <c r="F45" s="10" t="str">
        <f t="shared" si="6"/>
        <v>md</v>
      </c>
      <c r="G45" s="3" t="str">
        <f t="shared" si="7"/>
        <v>NOK</v>
      </c>
      <c r="H45">
        <f>COUNTIFS(GRAFO!C2:C42,"=D34",GRAFO!E2:E42,"=F34")</f>
        <v>0</v>
      </c>
      <c r="I45" s="10" t="str">
        <f t="shared" si="1"/>
        <v>estrategico-md</v>
      </c>
      <c r="J45" s="10"/>
      <c r="K45" s="10"/>
      <c r="L45" s="3" t="e">
        <f>IF(INDEX(GRAFO!$L$2:'GRAFO'!$L$41,MATCH(I45,GRAFO!$L$2:'GRAFO'!$L$41,0),1)&lt;&gt;0,1,0)</f>
        <v>#N/A</v>
      </c>
      <c r="M45" s="3">
        <f t="shared" si="8"/>
        <v>0</v>
      </c>
      <c r="O45" s="10" t="str">
        <f t="shared" si="2"/>
        <v>estrategico-c2rm:responsible_for-md</v>
      </c>
      <c r="P45" s="10"/>
      <c r="Q45" s="10"/>
      <c r="R45" s="10"/>
      <c r="S45" s="10"/>
      <c r="T45" s="10" t="e">
        <f>IF(INDEX(GRAFO!$M$2:'GRAFO'!$M$41,MATCH(O45,GRAFO!$M$2:'GRAFO'!$M$41,0),1)&lt;&gt;0,1,0)</f>
        <v>#N/A</v>
      </c>
      <c r="U45" s="10">
        <f t="shared" si="9"/>
        <v>0</v>
      </c>
    </row>
    <row r="46" spans="1:21">
      <c r="A46" s="46" t="s">
        <v>143</v>
      </c>
      <c r="B46" s="10" t="s">
        <v>4</v>
      </c>
      <c r="C46" s="9" t="str">
        <f t="shared" si="3"/>
        <v>NOK</v>
      </c>
      <c r="D46" s="10" t="str">
        <f t="shared" si="4"/>
        <v>md</v>
      </c>
      <c r="E46" s="10" t="str">
        <f t="shared" si="5"/>
        <v>c2rm:responsible_for</v>
      </c>
      <c r="F46" s="10" t="str">
        <f t="shared" si="6"/>
        <v>dmed</v>
      </c>
      <c r="G46" s="3" t="str">
        <f t="shared" si="7"/>
        <v>NOK</v>
      </c>
      <c r="I46" s="10" t="str">
        <f t="shared" si="1"/>
        <v>md-dmed</v>
      </c>
      <c r="J46" s="10"/>
      <c r="K46" s="10"/>
      <c r="L46" s="3" t="e">
        <f>IF(INDEX(GRAFO!$L$2:'GRAFO'!$L$41,MATCH(I46,GRAFO!$L$2:'GRAFO'!$L$41,0),1)&lt;&gt;0,1,0)</f>
        <v>#N/A</v>
      </c>
      <c r="M46" s="3">
        <f t="shared" si="8"/>
        <v>0</v>
      </c>
      <c r="O46" s="10" t="str">
        <f t="shared" si="2"/>
        <v>md-c2rm:responsible_for-dmed</v>
      </c>
      <c r="P46" s="10"/>
      <c r="Q46" s="10"/>
      <c r="R46" s="10"/>
      <c r="S46" s="10"/>
      <c r="T46" s="10" t="e">
        <f>IF(INDEX(GRAFO!$M$2:'GRAFO'!$M$41,MATCH(O46,GRAFO!$M$2:'GRAFO'!$M$41,0),1)&lt;&gt;0,1,0)</f>
        <v>#N/A</v>
      </c>
      <c r="U46" s="10">
        <f t="shared" si="9"/>
        <v>0</v>
      </c>
    </row>
    <row r="47" spans="1:21">
      <c r="A47" s="46" t="s">
        <v>266</v>
      </c>
      <c r="B47" s="10" t="s">
        <v>4</v>
      </c>
      <c r="C47" s="9" t="str">
        <f t="shared" si="3"/>
        <v>NOK</v>
      </c>
      <c r="D47" s="10" t="str">
        <f t="shared" si="4"/>
        <v>dmed</v>
      </c>
      <c r="E47" s="10" t="str">
        <f t="shared" si="5"/>
        <v>rdfs:seeAlso</v>
      </c>
      <c r="F47" s="10" t="str">
        <f t="shared" si="6"/>
        <v>plano_estrategico</v>
      </c>
      <c r="G47" s="3" t="str">
        <f t="shared" si="7"/>
        <v>NOK</v>
      </c>
      <c r="I47" s="10" t="str">
        <f t="shared" si="1"/>
        <v>dmed-plano_estrategico</v>
      </c>
      <c r="J47" s="10"/>
      <c r="K47" s="10"/>
      <c r="L47" s="3" t="e">
        <f>IF(INDEX(GRAFO!$L$2:'GRAFO'!$L$41,MATCH(I47,GRAFO!$L$2:'GRAFO'!$L$41,0),1)&lt;&gt;0,1,0)</f>
        <v>#N/A</v>
      </c>
      <c r="M47" s="3">
        <f t="shared" si="8"/>
        <v>0</v>
      </c>
      <c r="O47" s="10" t="str">
        <f t="shared" si="2"/>
        <v>dmed-rdfs:seeAlso-plano_estrategico</v>
      </c>
      <c r="P47" s="10"/>
      <c r="Q47" s="10"/>
      <c r="R47" s="10"/>
      <c r="S47" s="10"/>
      <c r="T47" s="10" t="e">
        <f>IF(INDEX(GRAFO!$M$2:'GRAFO'!$M$41,MATCH(O47,GRAFO!$M$2:'GRAFO'!$M$41,0),1)&lt;&gt;0,1,0)</f>
        <v>#N/A</v>
      </c>
      <c r="U47" s="10">
        <f t="shared" si="9"/>
        <v>0</v>
      </c>
    </row>
    <row r="48" spans="1:21">
      <c r="A48" s="46" t="s">
        <v>105</v>
      </c>
      <c r="B48" s="10" t="s">
        <v>5</v>
      </c>
      <c r="C48" s="9" t="str">
        <f t="shared" si="3"/>
        <v>OK</v>
      </c>
      <c r="D48" s="10" t="str">
        <f t="shared" si="4"/>
        <v>comandos_operacionais</v>
      </c>
      <c r="E48" s="10" t="str">
        <f t="shared" si="5"/>
        <v>rdfs:seeAlso</v>
      </c>
      <c r="F48" s="10" t="str">
        <f t="shared" si="6"/>
        <v>ar/ai</v>
      </c>
      <c r="G48" s="3" t="str">
        <f t="shared" si="7"/>
        <v>NOK</v>
      </c>
      <c r="I48" s="10" t="str">
        <f t="shared" si="1"/>
        <v>comandos_operacionais-ar/ai</v>
      </c>
      <c r="J48" s="10"/>
      <c r="K48" s="10"/>
      <c r="L48" s="3" t="e">
        <f>IF(INDEX(GRAFO!$L$2:'GRAFO'!$L$41,MATCH(I48,GRAFO!$L$2:'GRAFO'!$L$41,0),1)&lt;&gt;0,1,0)</f>
        <v>#N/A</v>
      </c>
      <c r="M48" s="3">
        <f t="shared" si="8"/>
        <v>0</v>
      </c>
      <c r="O48" s="10" t="str">
        <f t="shared" si="2"/>
        <v>comandos_operacionais-rdfs:seeAlso-ar/ai</v>
      </c>
      <c r="P48" s="10"/>
      <c r="Q48" s="10"/>
      <c r="R48" s="10"/>
      <c r="S48" s="10"/>
      <c r="T48" s="10" t="e">
        <f>IF(INDEX(GRAFO!$M$2:'GRAFO'!$M$41,MATCH(O48,GRAFO!$M$2:'GRAFO'!$M$41,0),1)&lt;&gt;0,1,0)</f>
        <v>#N/A</v>
      </c>
      <c r="U48" s="10">
        <f t="shared" si="9"/>
        <v>0</v>
      </c>
    </row>
    <row r="49" spans="1:21">
      <c r="A49" s="46" t="s">
        <v>263</v>
      </c>
      <c r="B49" s="10" t="s">
        <v>4</v>
      </c>
      <c r="C49" s="9" t="str">
        <f t="shared" si="3"/>
        <v>OK</v>
      </c>
      <c r="D49" s="10" t="str">
        <f t="shared" si="4"/>
        <v>comandos_operacionais</v>
      </c>
      <c r="E49" s="10" t="str">
        <f t="shared" si="5"/>
        <v>c2rm:responsible_for</v>
      </c>
      <c r="F49" s="10" t="str">
        <f t="shared" si="6"/>
        <v>operacao_conjunta</v>
      </c>
      <c r="G49" s="3" t="str">
        <f t="shared" si="7"/>
        <v>OK</v>
      </c>
      <c r="I49" s="10" t="str">
        <f t="shared" si="1"/>
        <v>comandos_operacionais-operacao_conjunta</v>
      </c>
      <c r="J49" s="10"/>
      <c r="K49" s="10"/>
      <c r="L49" s="3" t="e">
        <f>IF(INDEX(GRAFO!$L$2:'GRAFO'!$L$41,MATCH(I49,GRAFO!$L$2:'GRAFO'!$L$41,0),1)&lt;&gt;0,1,0)</f>
        <v>#N/A</v>
      </c>
      <c r="M49" s="3">
        <f t="shared" si="8"/>
        <v>0</v>
      </c>
      <c r="O49" s="10" t="str">
        <f t="shared" si="2"/>
        <v>comandos_operacionais-c2rm:responsible_for-operacao_conjunta</v>
      </c>
      <c r="P49" s="10"/>
      <c r="Q49" s="10"/>
      <c r="R49" s="10"/>
      <c r="S49" s="10"/>
      <c r="T49" s="10" t="e">
        <f>IF(INDEX(GRAFO!$M$2:'GRAFO'!$M$41,MATCH(O49,GRAFO!$M$2:'GRAFO'!$M$41,0),1)&lt;&gt;0,1,0)</f>
        <v>#N/A</v>
      </c>
      <c r="U49" s="10">
        <f t="shared" si="9"/>
        <v>0</v>
      </c>
    </row>
    <row r="50" spans="1:21">
      <c r="A50" s="46" t="s">
        <v>107</v>
      </c>
      <c r="B50" s="10" t="s">
        <v>7</v>
      </c>
      <c r="C50" s="9" t="str">
        <f t="shared" si="3"/>
        <v>NOK</v>
      </c>
      <c r="D50" s="10" t="str">
        <f t="shared" si="4"/>
        <v>c_op</v>
      </c>
      <c r="E50" s="10" t="str">
        <f t="shared" si="5"/>
        <v>rdfs:seeAlso</v>
      </c>
      <c r="F50" s="10" t="str">
        <f t="shared" si="6"/>
        <v>plano_operacional</v>
      </c>
      <c r="G50" s="3" t="str">
        <f t="shared" si="7"/>
        <v>NOK</v>
      </c>
      <c r="I50" s="10" t="str">
        <f t="shared" si="1"/>
        <v>c_op-plano_operacional</v>
      </c>
      <c r="J50" s="10"/>
      <c r="K50" s="10"/>
      <c r="L50" s="3" t="e">
        <f>IF(INDEX(GRAFO!$L$2:'GRAFO'!$L$41,MATCH(I50,GRAFO!$L$2:'GRAFO'!$L$41,0),1)&lt;&gt;0,1,0)</f>
        <v>#N/A</v>
      </c>
      <c r="M50" s="3">
        <f t="shared" si="8"/>
        <v>0</v>
      </c>
      <c r="O50" s="10" t="str">
        <f t="shared" si="2"/>
        <v>c_op-rdfs:seeAlso-plano_operacional</v>
      </c>
      <c r="P50" s="10"/>
      <c r="Q50" s="10"/>
      <c r="R50" s="10"/>
      <c r="S50" s="10"/>
      <c r="T50" s="10" t="e">
        <f>IF(INDEX(GRAFO!$M$2:'GRAFO'!$M$41,MATCH(O50,GRAFO!$M$2:'GRAFO'!$M$41,0),1)&lt;&gt;0,1,0)</f>
        <v>#N/A</v>
      </c>
      <c r="U50" s="10">
        <f t="shared" si="9"/>
        <v>0</v>
      </c>
    </row>
    <row r="51" spans="1:21">
      <c r="A51" s="46" t="s">
        <v>242</v>
      </c>
      <c r="B51" s="10" t="s">
        <v>7</v>
      </c>
      <c r="C51" s="9" t="str">
        <f t="shared" si="3"/>
        <v>NOK</v>
      </c>
      <c r="D51" s="10" t="str">
        <f t="shared" si="4"/>
        <v>plano_operacional</v>
      </c>
      <c r="E51" s="10" t="str">
        <f t="shared" si="5"/>
        <v>c2rm:responsible_for</v>
      </c>
      <c r="F51" s="10" t="str">
        <f t="shared" si="6"/>
        <v>plano_tatico</v>
      </c>
      <c r="G51" s="3" t="str">
        <f t="shared" si="7"/>
        <v>NOK</v>
      </c>
      <c r="I51" s="10" t="str">
        <f t="shared" si="1"/>
        <v>plano_operacional-plano_tatico</v>
      </c>
      <c r="J51" s="10"/>
      <c r="K51" s="10"/>
      <c r="L51" s="3" t="e">
        <f>IF(INDEX(GRAFO!$L$2:'GRAFO'!$L$41,MATCH(I51,GRAFO!$L$2:'GRAFO'!$L$41,0),1)&lt;&gt;0,1,0)</f>
        <v>#N/A</v>
      </c>
      <c r="M51" s="3">
        <f t="shared" si="8"/>
        <v>0</v>
      </c>
      <c r="O51" s="10" t="str">
        <f t="shared" si="2"/>
        <v>plano_operacional-c2rm:responsible_for-plano_tatico</v>
      </c>
      <c r="P51" s="10"/>
      <c r="Q51" s="10"/>
      <c r="R51" s="10"/>
      <c r="S51" s="10"/>
      <c r="T51" s="10" t="e">
        <f>IF(INDEX(GRAFO!$M$2:'GRAFO'!$M$41,MATCH(O51,GRAFO!$M$2:'GRAFO'!$M$41,0),1)&lt;&gt;0,1,0)</f>
        <v>#N/A</v>
      </c>
      <c r="U51" s="10">
        <f t="shared" si="9"/>
        <v>0</v>
      </c>
    </row>
    <row r="52" spans="1:21">
      <c r="A52" s="46" t="s">
        <v>215</v>
      </c>
      <c r="B52" s="10" t="s">
        <v>7</v>
      </c>
      <c r="C52" s="9" t="str">
        <f t="shared" si="3"/>
        <v>OK</v>
      </c>
      <c r="D52" s="10" t="str">
        <f t="shared" si="4"/>
        <v>forca_componente</v>
      </c>
      <c r="E52" s="10" t="str">
        <f t="shared" si="5"/>
        <v>c2rm:responsible_for</v>
      </c>
      <c r="F52" s="10" t="str">
        <f t="shared" si="6"/>
        <v>plano_tatico</v>
      </c>
      <c r="G52" s="3" t="str">
        <f t="shared" si="7"/>
        <v>NOK</v>
      </c>
      <c r="I52" s="10" t="str">
        <f t="shared" si="1"/>
        <v>forca_componente-plano_tatico</v>
      </c>
      <c r="J52" s="10"/>
      <c r="K52" s="10"/>
      <c r="L52" s="3" t="e">
        <f>IF(INDEX(GRAFO!$L$2:'GRAFO'!$L$41,MATCH(I52,GRAFO!$L$2:'GRAFO'!$L$41,0),1)&lt;&gt;0,1,0)</f>
        <v>#N/A</v>
      </c>
      <c r="M52" s="3">
        <f t="shared" si="8"/>
        <v>0</v>
      </c>
      <c r="O52" s="10" t="str">
        <f t="shared" si="2"/>
        <v>forca_componente-c2rm:responsible_for-plano_tatico</v>
      </c>
      <c r="P52" s="10"/>
      <c r="Q52" s="10"/>
      <c r="R52" s="10"/>
      <c r="S52" s="10"/>
      <c r="T52" s="10" t="e">
        <f>IF(INDEX(GRAFO!$M$2:'GRAFO'!$M$41,MATCH(O52,GRAFO!$M$2:'GRAFO'!$M$41,0),1)&lt;&gt;0,1,0)</f>
        <v>#N/A</v>
      </c>
      <c r="U52" s="10">
        <f t="shared" si="9"/>
        <v>0</v>
      </c>
    </row>
    <row r="53" spans="1:21">
      <c r="A53" s="46" t="s">
        <v>218</v>
      </c>
      <c r="B53" s="10" t="s">
        <v>4</v>
      </c>
      <c r="C53" s="9" t="str">
        <f t="shared" si="3"/>
        <v>OK</v>
      </c>
      <c r="D53" s="10" t="str">
        <f t="shared" si="4"/>
        <v>aeronautica</v>
      </c>
      <c r="E53" s="10" t="str">
        <f t="shared" si="5"/>
        <v>rdfs:subClassOf</v>
      </c>
      <c r="F53" s="10" t="str">
        <f t="shared" si="6"/>
        <v>forcas_armadas</v>
      </c>
      <c r="G53" s="3" t="str">
        <f t="shared" si="7"/>
        <v>OK</v>
      </c>
      <c r="I53" s="10" t="str">
        <f t="shared" si="1"/>
        <v>aeronautica-forcas_armadas</v>
      </c>
      <c r="J53" s="10"/>
      <c r="K53" s="10"/>
      <c r="L53" s="3">
        <f>IF(INDEX(GRAFO!$L$2:'GRAFO'!$L$41,MATCH(I53,GRAFO!$L$2:'GRAFO'!$L$41,0),1)&lt;&gt;0,1,0)</f>
        <v>1</v>
      </c>
      <c r="M53" s="3">
        <f t="shared" si="8"/>
        <v>1</v>
      </c>
      <c r="O53" s="10" t="str">
        <f t="shared" si="2"/>
        <v>aeronautica-rdfs:subClassOf-forcas_armadas</v>
      </c>
      <c r="P53" s="10"/>
      <c r="Q53" s="10"/>
      <c r="R53" s="10"/>
      <c r="S53" s="10"/>
      <c r="T53" s="10">
        <f>IF(INDEX(GRAFO!$M$2:'GRAFO'!$M$41,MATCH(O53,GRAFO!$M$2:'GRAFO'!$M$41,0),1)&lt;&gt;0,1,0)</f>
        <v>1</v>
      </c>
      <c r="U53" s="10">
        <f t="shared" si="9"/>
        <v>1</v>
      </c>
    </row>
    <row r="54" spans="1:21">
      <c r="A54" s="46" t="s">
        <v>294</v>
      </c>
      <c r="B54" s="10" t="s">
        <v>7</v>
      </c>
      <c r="C54" s="9" t="str">
        <f t="shared" si="3"/>
        <v>OK</v>
      </c>
      <c r="D54" s="10" t="str">
        <f t="shared" si="4"/>
        <v>exercito</v>
      </c>
      <c r="E54" s="10" t="str">
        <f t="shared" si="5"/>
        <v>rdfs:subClassOf</v>
      </c>
      <c r="F54" s="10" t="str">
        <f t="shared" si="6"/>
        <v>forcas_armadas</v>
      </c>
      <c r="G54" s="3" t="str">
        <f t="shared" si="7"/>
        <v>OK</v>
      </c>
      <c r="I54" s="10" t="str">
        <f t="shared" si="1"/>
        <v>exercito-forcas_armadas</v>
      </c>
      <c r="J54" s="10"/>
      <c r="K54" s="10"/>
      <c r="L54" s="3">
        <f>IF(INDEX(GRAFO!$L$2:'GRAFO'!$L$41,MATCH(I54,GRAFO!$L$2:'GRAFO'!$L$41,0),1)&lt;&gt;0,1,0)</f>
        <v>1</v>
      </c>
      <c r="M54" s="3">
        <f t="shared" si="8"/>
        <v>1</v>
      </c>
      <c r="O54" s="10" t="str">
        <f t="shared" si="2"/>
        <v>exercito-rdfs:subClassOf-forcas_armadas</v>
      </c>
      <c r="P54" s="10"/>
      <c r="Q54" s="10"/>
      <c r="R54" s="10"/>
      <c r="S54" s="10"/>
      <c r="T54" s="10">
        <f>IF(INDEX(GRAFO!$M$2:'GRAFO'!$M$41,MATCH(O54,GRAFO!$M$2:'GRAFO'!$M$41,0),1)&lt;&gt;0,1,0)</f>
        <v>1</v>
      </c>
      <c r="U54" s="10">
        <f t="shared" si="9"/>
        <v>1</v>
      </c>
    </row>
    <row r="55" spans="1:21">
      <c r="A55" s="10"/>
      <c r="B55" s="10"/>
      <c r="C55" s="9" t="str">
        <f t="shared" si="3"/>
        <v>OK</v>
      </c>
      <c r="D55" s="10" t="str">
        <f t="shared" si="4"/>
        <v>marinha</v>
      </c>
      <c r="E55" s="10" t="str">
        <f t="shared" si="5"/>
        <v>rdfs:subClassOf</v>
      </c>
      <c r="F55" s="10" t="str">
        <f t="shared" si="6"/>
        <v>forcas_armadas</v>
      </c>
      <c r="G55" s="3" t="str">
        <f t="shared" si="7"/>
        <v>OK</v>
      </c>
      <c r="I55" s="10" t="str">
        <f t="shared" si="1"/>
        <v>marinha-forcas_armadas</v>
      </c>
      <c r="J55" s="10"/>
      <c r="K55" s="10"/>
      <c r="L55" s="3">
        <f>IF(INDEX(GRAFO!$L$2:'GRAFO'!$L$41,MATCH(I55,GRAFO!$L$2:'GRAFO'!$L$41,0),1)&lt;&gt;0,1,0)</f>
        <v>1</v>
      </c>
      <c r="M55" s="3">
        <f t="shared" si="8"/>
        <v>1</v>
      </c>
      <c r="O55" s="10" t="str">
        <f t="shared" si="2"/>
        <v>marinha-rdfs:subClassOf-forcas_armadas</v>
      </c>
      <c r="P55" s="10"/>
      <c r="Q55" s="10"/>
      <c r="R55" s="10"/>
      <c r="S55" s="10"/>
      <c r="T55" s="10">
        <f>IF(INDEX(GRAFO!$M$2:'GRAFO'!$M$41,MATCH(O55,GRAFO!$M$2:'GRAFO'!$M$41,0),1)&lt;&gt;0,1,0)</f>
        <v>1</v>
      </c>
      <c r="U55" s="10">
        <f t="shared" si="9"/>
        <v>1</v>
      </c>
    </row>
    <row r="56" spans="1:21">
      <c r="A56" s="10"/>
      <c r="B56" s="10"/>
      <c r="C56" s="9" t="str">
        <f t="shared" si="3"/>
        <v>OK</v>
      </c>
      <c r="D56" s="10" t="str">
        <f t="shared" si="4"/>
        <v>aeronautica</v>
      </c>
      <c r="E56" s="10" t="str">
        <f t="shared" si="5"/>
        <v>c2rm:applied_to</v>
      </c>
      <c r="F56" s="10" t="str">
        <f t="shared" si="6"/>
        <v>forca_componente</v>
      </c>
      <c r="G56" s="3" t="str">
        <f t="shared" si="7"/>
        <v>OK</v>
      </c>
      <c r="I56" s="10" t="str">
        <f t="shared" si="1"/>
        <v>aeronautica-forca_componente</v>
      </c>
      <c r="J56" s="10"/>
      <c r="K56" s="10"/>
      <c r="L56" s="3" t="e">
        <f>IF(INDEX(GRAFO!$L$2:'GRAFO'!$L$41,MATCH(I56,GRAFO!$L$2:'GRAFO'!$L$41,0),1)&lt;&gt;0,1,0)</f>
        <v>#N/A</v>
      </c>
      <c r="M56" s="3">
        <f t="shared" si="8"/>
        <v>0</v>
      </c>
      <c r="O56" s="10" t="str">
        <f t="shared" si="2"/>
        <v>aeronautica-c2rm:applied_to-forca_componente</v>
      </c>
      <c r="P56" s="10"/>
      <c r="Q56" s="10"/>
      <c r="R56" s="10"/>
      <c r="S56" s="10"/>
      <c r="T56" s="10" t="e">
        <f>IF(INDEX(GRAFO!$M$2:'GRAFO'!$M$41,MATCH(O56,GRAFO!$M$2:'GRAFO'!$M$41,0),1)&lt;&gt;0,1,0)</f>
        <v>#N/A</v>
      </c>
      <c r="U56" s="10">
        <f t="shared" si="9"/>
        <v>0</v>
      </c>
    </row>
    <row r="57" spans="1:21">
      <c r="C57" s="9" t="str">
        <f t="shared" si="3"/>
        <v>OK</v>
      </c>
      <c r="D57" s="10" t="str">
        <f t="shared" si="4"/>
        <v>exercito</v>
      </c>
      <c r="E57" s="10" t="str">
        <f t="shared" si="5"/>
        <v>c2rm:applied_to</v>
      </c>
      <c r="F57" s="10" t="str">
        <f t="shared" si="6"/>
        <v>forca_componente</v>
      </c>
      <c r="G57" s="3" t="str">
        <f t="shared" si="7"/>
        <v>OK</v>
      </c>
      <c r="I57" s="10" t="str">
        <f t="shared" si="1"/>
        <v>exercito-forca_componente</v>
      </c>
      <c r="J57" s="10"/>
      <c r="K57" s="10"/>
      <c r="L57" s="3" t="e">
        <f>IF(INDEX(GRAFO!$L$2:'GRAFO'!$L$41,MATCH(I57,GRAFO!$L$2:'GRAFO'!$L$41,0),1)&lt;&gt;0,1,0)</f>
        <v>#N/A</v>
      </c>
      <c r="M57" s="3">
        <f t="shared" si="8"/>
        <v>0</v>
      </c>
      <c r="O57" s="10" t="str">
        <f t="shared" si="2"/>
        <v>exercito-c2rm:applied_to-forca_componente</v>
      </c>
      <c r="P57" s="10"/>
      <c r="Q57" s="10"/>
      <c r="R57" s="10"/>
      <c r="S57" s="10"/>
      <c r="T57" s="10" t="e">
        <f>IF(INDEX(GRAFO!$M$2:'GRAFO'!$M$41,MATCH(O57,GRAFO!$M$2:'GRAFO'!$M$41,0),1)&lt;&gt;0,1,0)</f>
        <v>#N/A</v>
      </c>
      <c r="U57" s="10">
        <f t="shared" si="9"/>
        <v>0</v>
      </c>
    </row>
    <row r="58" spans="1:21">
      <c r="C58" s="9" t="str">
        <f t="shared" si="3"/>
        <v>OK</v>
      </c>
      <c r="D58" s="10" t="str">
        <f t="shared" si="4"/>
        <v>marinha</v>
      </c>
      <c r="E58" s="10" t="str">
        <f t="shared" si="5"/>
        <v>c2rm:applied_to</v>
      </c>
      <c r="F58" s="10" t="str">
        <f t="shared" si="6"/>
        <v>forca_componente</v>
      </c>
      <c r="G58" s="3" t="str">
        <f t="shared" si="7"/>
        <v>OK</v>
      </c>
      <c r="I58" s="10" t="str">
        <f t="shared" si="1"/>
        <v>marinha-forca_componente</v>
      </c>
      <c r="J58" s="10"/>
      <c r="K58" s="10"/>
      <c r="L58" s="3" t="e">
        <f>IF(INDEX(GRAFO!$L$2:'GRAFO'!$L$41,MATCH(I58,GRAFO!$L$2:'GRAFO'!$L$41,0),1)&lt;&gt;0,1,0)</f>
        <v>#N/A</v>
      </c>
      <c r="M58" s="3">
        <f t="shared" si="8"/>
        <v>0</v>
      </c>
      <c r="O58" s="10" t="str">
        <f t="shared" si="2"/>
        <v>marinha-c2rm:applied_to-forca_componente</v>
      </c>
      <c r="P58" s="10"/>
      <c r="Q58" s="10"/>
      <c r="R58" s="10"/>
      <c r="S58" s="10"/>
      <c r="T58" s="10" t="e">
        <f>IF(INDEX(GRAFO!$M$2:'GRAFO'!$M$41,MATCH(O58,GRAFO!$M$2:'GRAFO'!$M$41,0),1)&lt;&gt;0,1,0)</f>
        <v>#N/A</v>
      </c>
      <c r="U58" s="10">
        <f t="shared" si="9"/>
        <v>0</v>
      </c>
    </row>
    <row r="59" spans="1:21">
      <c r="C59" s="9" t="str">
        <f t="shared" si="3"/>
        <v>OK</v>
      </c>
      <c r="D59" s="10" t="str">
        <f t="shared" si="4"/>
        <v>forcas_armadas</v>
      </c>
      <c r="E59" s="10" t="str">
        <f t="shared" si="5"/>
        <v>c2rm:responsible_for</v>
      </c>
      <c r="F59" s="10" t="str">
        <f t="shared" si="6"/>
        <v>a_op</v>
      </c>
      <c r="G59" s="3" t="str">
        <f t="shared" si="7"/>
        <v>NOK</v>
      </c>
      <c r="I59" s="10" t="str">
        <f t="shared" si="1"/>
        <v>forcas_armadas-a_op</v>
      </c>
      <c r="J59" s="10"/>
      <c r="K59" s="10"/>
      <c r="L59" s="3" t="e">
        <f>IF(INDEX(GRAFO!$L$2:'GRAFO'!$L$41,MATCH(I59,GRAFO!$L$2:'GRAFO'!$L$41,0),1)&lt;&gt;0,1,0)</f>
        <v>#N/A</v>
      </c>
      <c r="M59" s="3">
        <f t="shared" si="8"/>
        <v>0</v>
      </c>
      <c r="O59" s="10" t="str">
        <f t="shared" si="2"/>
        <v>forcas_armadas-c2rm:responsible_for-a_op</v>
      </c>
      <c r="P59" s="10"/>
      <c r="Q59" s="10"/>
      <c r="R59" s="10"/>
      <c r="S59" s="10"/>
      <c r="T59" s="10" t="e">
        <f>IF(INDEX(GRAFO!$M$2:'GRAFO'!$M$41,MATCH(O59,GRAFO!$M$2:'GRAFO'!$M$41,0),1)&lt;&gt;0,1,0)</f>
        <v>#N/A</v>
      </c>
      <c r="U59" s="10">
        <f t="shared" si="9"/>
        <v>0</v>
      </c>
    </row>
    <row r="60" spans="1:21">
      <c r="C60" s="9" t="str">
        <f t="shared" si="3"/>
        <v>NOK</v>
      </c>
      <c r="D60" s="10" t="str">
        <f t="shared" si="4"/>
        <v>obj_estrategico</v>
      </c>
      <c r="E60" s="10" t="str">
        <f t="shared" si="5"/>
        <v>rdfs:seeAlso</v>
      </c>
      <c r="F60" s="10" t="str">
        <f t="shared" si="6"/>
        <v>obj_operacional</v>
      </c>
      <c r="G60" s="3" t="str">
        <f t="shared" si="7"/>
        <v>NOK</v>
      </c>
      <c r="I60" s="10" t="str">
        <f t="shared" si="1"/>
        <v>obj_estrategico-obj_operacional</v>
      </c>
      <c r="J60" s="10"/>
      <c r="K60" s="10"/>
      <c r="L60" s="3" t="e">
        <f>IF(INDEX(GRAFO!$L$2:'GRAFO'!$L$41,MATCH(I60,GRAFO!$L$2:'GRAFO'!$L$41,0),1)&lt;&gt;0,1,0)</f>
        <v>#N/A</v>
      </c>
      <c r="M60" s="3">
        <f t="shared" si="8"/>
        <v>0</v>
      </c>
      <c r="O60" s="10" t="str">
        <f t="shared" si="2"/>
        <v>obj_estrategico-rdfs:seeAlso-obj_operacional</v>
      </c>
      <c r="P60" s="10"/>
      <c r="Q60" s="10"/>
      <c r="R60" s="10"/>
      <c r="S60" s="10"/>
      <c r="T60" s="10" t="e">
        <f>IF(INDEX(GRAFO!$M$2:'GRAFO'!$M$41,MATCH(O60,GRAFO!$M$2:'GRAFO'!$M$41,0),1)&lt;&gt;0,1,0)</f>
        <v>#N/A</v>
      </c>
      <c r="U60" s="10">
        <f t="shared" si="9"/>
        <v>0</v>
      </c>
    </row>
    <row r="61" spans="1:21">
      <c r="C61" s="9" t="str">
        <f t="shared" si="3"/>
        <v>NOK</v>
      </c>
      <c r="D61" s="10" t="str">
        <f t="shared" si="4"/>
        <v>obj_operacional</v>
      </c>
      <c r="E61" s="10" t="str">
        <f t="shared" si="5"/>
        <v>rdfs:seeAlso</v>
      </c>
      <c r="F61" s="10" t="str">
        <f t="shared" si="6"/>
        <v>obj_tatico</v>
      </c>
      <c r="G61" s="3" t="str">
        <f t="shared" si="7"/>
        <v>NOK</v>
      </c>
      <c r="I61" s="10" t="str">
        <f t="shared" si="1"/>
        <v>obj_operacional-obj_tatico</v>
      </c>
      <c r="J61" s="10"/>
      <c r="K61" s="10"/>
      <c r="L61" s="3" t="e">
        <f>IF(INDEX(GRAFO!$L$2:'GRAFO'!$L$41,MATCH(I61,GRAFO!$L$2:'GRAFO'!$L$41,0),1)&lt;&gt;0,1,0)</f>
        <v>#N/A</v>
      </c>
      <c r="M61" s="3">
        <f t="shared" si="8"/>
        <v>0</v>
      </c>
      <c r="O61" s="10" t="str">
        <f t="shared" si="2"/>
        <v>obj_operacional-rdfs:seeAlso-obj_tatico</v>
      </c>
      <c r="P61" s="10"/>
      <c r="Q61" s="10"/>
      <c r="R61" s="10"/>
      <c r="S61" s="10"/>
      <c r="T61" s="10" t="e">
        <f>IF(INDEX(GRAFO!$M$2:'GRAFO'!$M$41,MATCH(O61,GRAFO!$M$2:'GRAFO'!$M$41,0),1)&lt;&gt;0,1,0)</f>
        <v>#N/A</v>
      </c>
      <c r="U61" s="10">
        <f t="shared" si="9"/>
        <v>0</v>
      </c>
    </row>
    <row r="62" spans="1:21">
      <c r="C62" s="9" t="str">
        <f t="shared" si="3"/>
        <v>OK</v>
      </c>
      <c r="D62" s="10" t="str">
        <f t="shared" si="4"/>
        <v>forcas_armadas</v>
      </c>
      <c r="E62" s="10" t="str">
        <f t="shared" si="5"/>
        <v>c2rm:responsible_for</v>
      </c>
      <c r="F62" s="10" t="str">
        <f t="shared" si="6"/>
        <v>c_log</v>
      </c>
      <c r="G62" s="3" t="str">
        <f t="shared" si="7"/>
        <v>NOK</v>
      </c>
      <c r="I62" s="10" t="str">
        <f t="shared" si="1"/>
        <v>forcas_armadas-c_log</v>
      </c>
      <c r="J62" s="10"/>
      <c r="K62" s="10"/>
      <c r="L62" s="3" t="e">
        <f>IF(INDEX(GRAFO!$L$2:'GRAFO'!$L$41,MATCH(I62,GRAFO!$L$2:'GRAFO'!$L$41,0),1)&lt;&gt;0,1,0)</f>
        <v>#N/A</v>
      </c>
      <c r="M62" s="3">
        <f t="shared" si="8"/>
        <v>0</v>
      </c>
      <c r="O62" s="10" t="str">
        <f t="shared" si="2"/>
        <v>forcas_armadas-c2rm:responsible_for-c_log</v>
      </c>
      <c r="P62" s="10"/>
      <c r="Q62" s="10"/>
      <c r="R62" s="10"/>
      <c r="S62" s="10"/>
      <c r="T62" s="10" t="e">
        <f>IF(INDEX(GRAFO!$M$2:'GRAFO'!$M$41,MATCH(O62,GRAFO!$M$2:'GRAFO'!$M$41,0),1)&lt;&gt;0,1,0)</f>
        <v>#N/A</v>
      </c>
      <c r="U62" s="10">
        <f t="shared" si="9"/>
        <v>0</v>
      </c>
    </row>
    <row r="63" spans="1:21">
      <c r="C63" s="9"/>
      <c r="D63" s="10"/>
      <c r="E63" s="10"/>
      <c r="F63" s="10"/>
      <c r="G63" s="3"/>
      <c r="I63" s="10" t="str">
        <f t="shared" si="1"/>
        <v>-</v>
      </c>
      <c r="J63" s="10"/>
      <c r="K63" s="10"/>
      <c r="L63" s="3"/>
      <c r="M63" s="3"/>
      <c r="O63" s="10"/>
      <c r="P63" s="10"/>
      <c r="Q63" s="10"/>
      <c r="R63" s="10"/>
      <c r="S63" s="10"/>
      <c r="T63" s="10"/>
      <c r="U63" s="10"/>
    </row>
    <row r="64" spans="1:21">
      <c r="D64" s="10"/>
      <c r="E64" s="10"/>
      <c r="F64" s="10"/>
      <c r="G64" s="3"/>
      <c r="I64" s="10" t="str">
        <f t="shared" si="1"/>
        <v>-</v>
      </c>
      <c r="J64" s="10"/>
      <c r="K64" s="10"/>
      <c r="L64" s="3"/>
      <c r="M64" s="3"/>
      <c r="O64" s="10"/>
      <c r="P64" s="10"/>
      <c r="Q64" s="10"/>
      <c r="R64" s="10"/>
      <c r="S64" s="10"/>
      <c r="T64" s="10"/>
      <c r="U64" s="10"/>
    </row>
    <row r="65" spans="4:21">
      <c r="D65" s="10"/>
      <c r="E65" s="10"/>
      <c r="F65" s="10"/>
      <c r="G65" s="3"/>
      <c r="I65" s="10" t="str">
        <f t="shared" si="1"/>
        <v>-</v>
      </c>
      <c r="J65" s="10"/>
      <c r="K65" s="10"/>
      <c r="L65" s="3"/>
      <c r="M65" s="3"/>
      <c r="O65" s="10"/>
      <c r="P65" s="10"/>
      <c r="Q65" s="10"/>
      <c r="R65" s="10"/>
      <c r="S65" s="10"/>
      <c r="T65" s="10"/>
      <c r="U65" s="10"/>
    </row>
    <row r="66" spans="4:21">
      <c r="D66" s="10"/>
      <c r="E66" s="10"/>
      <c r="F66" s="10"/>
      <c r="G66" s="3"/>
      <c r="I66" s="10" t="str">
        <f t="shared" si="1"/>
        <v>-</v>
      </c>
      <c r="J66" s="10"/>
      <c r="K66" s="10"/>
      <c r="L66" s="3"/>
      <c r="M66" s="3"/>
      <c r="O66" s="10"/>
      <c r="P66" s="10"/>
      <c r="Q66" s="10"/>
      <c r="R66" s="10"/>
      <c r="S66" s="10"/>
      <c r="T66" s="10"/>
      <c r="U66" s="10"/>
    </row>
    <row r="67" spans="4:21">
      <c r="D67" s="10"/>
      <c r="E67" s="10"/>
      <c r="F67" s="10"/>
      <c r="G67" s="3"/>
      <c r="I67" s="10" t="str">
        <f t="shared" si="1"/>
        <v>-</v>
      </c>
      <c r="J67" s="10"/>
      <c r="K67" s="10"/>
      <c r="L67" s="3"/>
      <c r="M67" s="3"/>
      <c r="O67" s="10"/>
      <c r="P67" s="10"/>
      <c r="Q67" s="10"/>
      <c r="R67" s="10"/>
      <c r="S67" s="10"/>
      <c r="T67" s="10"/>
      <c r="U67" s="10"/>
    </row>
    <row r="68" spans="4:21">
      <c r="D68" s="10"/>
      <c r="E68" s="10"/>
      <c r="F68" s="10"/>
      <c r="G68" s="3"/>
      <c r="I68" s="10" t="str">
        <f t="shared" si="1"/>
        <v>-</v>
      </c>
      <c r="J68" s="10"/>
      <c r="K68" s="10"/>
      <c r="L68" s="3"/>
      <c r="M68" s="3"/>
      <c r="O68" s="10"/>
      <c r="P68" s="10"/>
      <c r="Q68" s="10"/>
      <c r="R68" s="10"/>
      <c r="S68" s="10"/>
      <c r="T68" s="10"/>
      <c r="U68" s="10"/>
    </row>
    <row r="69" spans="4:21">
      <c r="D69" s="10"/>
      <c r="E69" s="10"/>
      <c r="F69" s="10"/>
      <c r="G69" s="3"/>
      <c r="I69" s="10" t="str">
        <f t="shared" si="1"/>
        <v>-</v>
      </c>
      <c r="J69" s="10"/>
      <c r="K69" s="10"/>
      <c r="L69" s="3"/>
      <c r="M69" s="3"/>
      <c r="O69" s="10"/>
      <c r="P69" s="10"/>
      <c r="Q69" s="10"/>
      <c r="R69" s="10"/>
      <c r="S69" s="10"/>
      <c r="T69" s="10"/>
      <c r="U69" s="10"/>
    </row>
    <row r="70" spans="4:21">
      <c r="D70" s="10"/>
      <c r="E70" s="10"/>
      <c r="F70" s="10"/>
      <c r="G70" s="3"/>
      <c r="I70" s="10" t="str">
        <f t="shared" si="1"/>
        <v>-</v>
      </c>
      <c r="J70" s="10"/>
      <c r="K70" s="10"/>
      <c r="L70" s="3"/>
      <c r="M70" s="3"/>
      <c r="O70" s="10"/>
      <c r="P70" s="10"/>
      <c r="Q70" s="10"/>
      <c r="R70" s="10"/>
      <c r="S70" s="10"/>
      <c r="T70" s="10"/>
      <c r="U70" s="10"/>
    </row>
    <row r="71" spans="4:21">
      <c r="D71" s="10"/>
      <c r="E71" s="10"/>
      <c r="F71" s="10"/>
      <c r="G71" s="3"/>
      <c r="I71" s="10" t="str">
        <f t="shared" si="1"/>
        <v>-</v>
      </c>
      <c r="J71" s="10"/>
      <c r="K71" s="10"/>
      <c r="L71" s="3"/>
      <c r="M71" s="3"/>
      <c r="O71" s="10"/>
      <c r="P71" s="10"/>
      <c r="Q71" s="10"/>
      <c r="R71" s="10"/>
      <c r="S71" s="10"/>
      <c r="T71" s="10"/>
      <c r="U71" s="10"/>
    </row>
    <row r="72" spans="4:21">
      <c r="D72" s="10"/>
      <c r="E72" s="10"/>
      <c r="F72" s="10"/>
      <c r="G72" s="3"/>
      <c r="I72" s="10" t="str">
        <f t="shared" si="1"/>
        <v>-</v>
      </c>
      <c r="J72" s="10"/>
      <c r="K72" s="10"/>
      <c r="L72" s="3"/>
      <c r="M72" s="3"/>
      <c r="O72" s="10"/>
      <c r="P72" s="10"/>
      <c r="Q72" s="10"/>
      <c r="R72" s="10"/>
      <c r="S72" s="10"/>
      <c r="T72" s="10"/>
      <c r="U72" s="10"/>
    </row>
    <row r="73" spans="4:21">
      <c r="D73" s="10"/>
      <c r="E73" s="10"/>
      <c r="F73" s="10"/>
      <c r="G73" s="3"/>
      <c r="I73" s="10" t="str">
        <f t="shared" si="1"/>
        <v>-</v>
      </c>
      <c r="J73" s="10"/>
      <c r="K73" s="10"/>
      <c r="L73" s="3"/>
      <c r="M73" s="3"/>
      <c r="O73" s="10"/>
      <c r="P73" s="10"/>
      <c r="Q73" s="10"/>
      <c r="R73" s="10"/>
      <c r="S73" s="10"/>
      <c r="T73" s="10"/>
      <c r="U73" s="10"/>
    </row>
  </sheetData>
  <mergeCells count="10">
    <mergeCell ref="I39:K39"/>
    <mergeCell ref="L39:M39"/>
    <mergeCell ref="O39:S39"/>
    <mergeCell ref="T39:U39"/>
    <mergeCell ref="A1:B1"/>
    <mergeCell ref="D1:F1"/>
    <mergeCell ref="K4:K5"/>
    <mergeCell ref="D38:G38"/>
    <mergeCell ref="I38:M38"/>
    <mergeCell ref="O38:U38"/>
  </mergeCells>
  <dataValidations count="8">
    <dataValidation type="list" allowBlank="1" showInputMessage="1" showErrorMessage="1" sqref="B3 B23:B32 B15 B17">
      <formula1>$Y$3:$Y$31</formula1>
    </dataValidation>
    <dataValidation type="list" allowBlank="1" showInputMessage="1" showErrorMessage="1" sqref="E37">
      <formula1>$A$40:$A$48</formula1>
    </dataValidation>
    <dataValidation type="list" allowBlank="1" showInputMessage="1" showErrorMessage="1" sqref="F37 D37">
      <formula1>$A$3:$A$28</formula1>
    </dataValidation>
    <dataValidation type="list" allowBlank="1" showInputMessage="1" showErrorMessage="1" sqref="B40:B56">
      <formula1>$AE$2:$AE$12</formula1>
    </dataValidation>
    <dataValidation type="list" allowBlank="1" showInputMessage="1" showErrorMessage="1" sqref="H3:H44 G3:G37">
      <formula1>$A$3:$A$22</formula1>
    </dataValidation>
    <dataValidation type="list" allowBlank="1" showInputMessage="1" showErrorMessage="1" sqref="C3:C37 B33:B37 B4:B14 B16 B18:B22">
      <formula1>$Y$3:$Y$39</formula1>
    </dataValidation>
    <dataValidation type="list" allowBlank="1" showInputMessage="1" showErrorMessage="1" sqref="F38:G38 F3:F36 D3:D36">
      <formula1>$A$3:$A$27</formula1>
    </dataValidation>
    <dataValidation type="list" allowBlank="1" showInputMessage="1" showErrorMessage="1" sqref="E3:E36">
      <formula1>$A$40:$A$54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E73"/>
  <sheetViews>
    <sheetView topLeftCell="M1" workbookViewId="0">
      <selection activeCell="X4" sqref="X4:X7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9" t="s">
        <v>184</v>
      </c>
      <c r="AD2" s="9" t="s">
        <v>195</v>
      </c>
      <c r="AE2" s="9" t="s">
        <v>35</v>
      </c>
    </row>
    <row r="3" spans="1:31" ht="16.75">
      <c r="A3" s="46" t="s">
        <v>9</v>
      </c>
      <c r="B3" s="10" t="s">
        <v>9</v>
      </c>
      <c r="D3" s="10" t="s">
        <v>56</v>
      </c>
      <c r="E3" s="10" t="s">
        <v>101</v>
      </c>
      <c r="F3" s="10" t="s">
        <v>54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s="16" t="s">
        <v>33</v>
      </c>
      <c r="AC3" s="9" t="s">
        <v>185</v>
      </c>
      <c r="AD3" s="9" t="s">
        <v>196</v>
      </c>
      <c r="AE3" s="9" t="s">
        <v>4</v>
      </c>
    </row>
    <row r="4" spans="1:31" ht="16.75">
      <c r="A4" s="46" t="s">
        <v>8</v>
      </c>
      <c r="B4" s="10" t="s">
        <v>8</v>
      </c>
      <c r="D4" s="10" t="s">
        <v>57</v>
      </c>
      <c r="E4" s="10" t="s">
        <v>101</v>
      </c>
      <c r="F4" s="10" t="s">
        <v>54</v>
      </c>
      <c r="K4" s="85" t="s">
        <v>80</v>
      </c>
      <c r="L4" s="8" t="s">
        <v>0</v>
      </c>
      <c r="M4" s="4">
        <f>GRAFO!J2</f>
        <v>29</v>
      </c>
      <c r="N4" s="11">
        <f>COUNTA(A3:A26)</f>
        <v>24</v>
      </c>
      <c r="O4" s="11">
        <f>COUNTIF(B3:B26,"&lt;&gt;"&amp;"")</f>
        <v>13</v>
      </c>
      <c r="P4" s="2">
        <f>N4-R4</f>
        <v>13</v>
      </c>
      <c r="Q4" s="2">
        <f>M4-O4</f>
        <v>16</v>
      </c>
      <c r="R4" s="2">
        <f>N4-O4</f>
        <v>11</v>
      </c>
      <c r="S4" s="2">
        <f>O4+P4</f>
        <v>26</v>
      </c>
      <c r="T4" s="2">
        <f>Q4+R4</f>
        <v>27</v>
      </c>
      <c r="U4" s="6">
        <f>O4/(O4+R4)</f>
        <v>0.54166666666666663</v>
      </c>
      <c r="V4" s="6">
        <f>O4/(O4+Q4)</f>
        <v>0.44827586206896552</v>
      </c>
      <c r="W4" s="6">
        <f>(O4+P4)/(O4+P4+Q4+R4)</f>
        <v>0.49056603773584906</v>
      </c>
      <c r="X4" s="62">
        <f>AVERAGE(U4:W4)</f>
        <v>0.49350285549049372</v>
      </c>
      <c r="Y4" s="16" t="s">
        <v>21</v>
      </c>
      <c r="AC4" s="9" t="s">
        <v>186</v>
      </c>
      <c r="AD4" s="9" t="s">
        <v>197</v>
      </c>
      <c r="AE4" s="9" t="s">
        <v>205</v>
      </c>
    </row>
    <row r="5" spans="1:31" ht="16.75">
      <c r="A5" s="46" t="s">
        <v>10</v>
      </c>
      <c r="B5" s="10" t="s">
        <v>10</v>
      </c>
      <c r="D5" s="10" t="s">
        <v>55</v>
      </c>
      <c r="E5" s="10" t="s">
        <v>101</v>
      </c>
      <c r="F5" s="10" t="s">
        <v>54</v>
      </c>
      <c r="K5" s="85"/>
      <c r="L5" s="8" t="s">
        <v>100</v>
      </c>
      <c r="M5" s="5">
        <f>GRAFO!J3</f>
        <v>41</v>
      </c>
      <c r="N5" s="12">
        <f>COUNTA(D40:D63)</f>
        <v>24</v>
      </c>
      <c r="O5" s="12">
        <f>COUNTIF(M40:M63,"=1")</f>
        <v>7</v>
      </c>
      <c r="P5" s="2">
        <f>N5-R5</f>
        <v>7</v>
      </c>
      <c r="Q5" s="2">
        <f>M5-O5</f>
        <v>34</v>
      </c>
      <c r="R5" s="2">
        <f>N5-O5</f>
        <v>17</v>
      </c>
      <c r="S5" s="2">
        <f>O5+P5</f>
        <v>14</v>
      </c>
      <c r="T5" s="2">
        <f>Q5+R5</f>
        <v>51</v>
      </c>
      <c r="U5" s="6">
        <f>O5/(O5+R5)</f>
        <v>0.29166666666666669</v>
      </c>
      <c r="V5" s="6">
        <f>O5/(O5+Q5)</f>
        <v>0.17073170731707318</v>
      </c>
      <c r="W5" s="6">
        <f>(O5+P5)/(O5+P5+Q5+R5)</f>
        <v>0.2153846153846154</v>
      </c>
      <c r="X5" s="62">
        <f t="shared" ref="X5:X6" si="0">AVERAGE(U5:W5)</f>
        <v>0.22592766312278509</v>
      </c>
      <c r="Y5" s="16" t="s">
        <v>17</v>
      </c>
      <c r="AC5" s="9" t="s">
        <v>187</v>
      </c>
      <c r="AD5" s="9" t="s">
        <v>198</v>
      </c>
      <c r="AE5" s="9" t="s">
        <v>3</v>
      </c>
    </row>
    <row r="6" spans="1:31" ht="16.75">
      <c r="A6" s="46" t="s">
        <v>12</v>
      </c>
      <c r="B6" s="10" t="s">
        <v>12</v>
      </c>
      <c r="D6" s="10" t="s">
        <v>54</v>
      </c>
      <c r="E6" s="10" t="s">
        <v>105</v>
      </c>
      <c r="F6" s="10" t="s">
        <v>26</v>
      </c>
      <c r="L6" s="8" t="s">
        <v>99</v>
      </c>
      <c r="M6" s="5">
        <v>41</v>
      </c>
      <c r="N6" s="12">
        <f>COUNTA(D40:D63)</f>
        <v>24</v>
      </c>
      <c r="O6" s="12">
        <f>COUNTIF(U40:U63,"=1")</f>
        <v>7</v>
      </c>
      <c r="P6" s="2">
        <f>N6-R6</f>
        <v>7</v>
      </c>
      <c r="Q6" s="2">
        <f>M6-O6</f>
        <v>34</v>
      </c>
      <c r="R6" s="2">
        <f>N6-O6</f>
        <v>17</v>
      </c>
      <c r="S6" s="2">
        <f>O6+P6</f>
        <v>14</v>
      </c>
      <c r="T6" s="2">
        <f>Q6+R6</f>
        <v>51</v>
      </c>
      <c r="U6" s="6">
        <f>O6/(O6+R6)</f>
        <v>0.29166666666666669</v>
      </c>
      <c r="V6" s="6">
        <f>O6/(O6+Q6)</f>
        <v>0.17073170731707318</v>
      </c>
      <c r="W6" s="6">
        <f>(O6+P6)/(O6+P6+Q6+R6)</f>
        <v>0.2153846153846154</v>
      </c>
      <c r="X6" s="62">
        <f t="shared" si="0"/>
        <v>0.22592766312278509</v>
      </c>
      <c r="Y6" s="16" t="s">
        <v>40</v>
      </c>
      <c r="AC6" s="9" t="s">
        <v>188</v>
      </c>
      <c r="AD6" s="9" t="s">
        <v>199</v>
      </c>
      <c r="AE6" s="9" t="s">
        <v>6</v>
      </c>
    </row>
    <row r="7" spans="1:31" ht="16.75">
      <c r="A7" s="46" t="s">
        <v>11</v>
      </c>
      <c r="B7" s="10" t="s">
        <v>11</v>
      </c>
      <c r="D7" s="10" t="s">
        <v>8</v>
      </c>
      <c r="E7" s="10" t="s">
        <v>101</v>
      </c>
      <c r="F7" s="10" t="s">
        <v>9</v>
      </c>
      <c r="X7" s="62">
        <f>AVERAGE(X4:X6)</f>
        <v>0.31511939391202132</v>
      </c>
      <c r="Y7" s="16" t="s">
        <v>13</v>
      </c>
      <c r="AC7" s="9" t="s">
        <v>189</v>
      </c>
      <c r="AD7" s="9" t="s">
        <v>200</v>
      </c>
      <c r="AE7" s="9" t="s">
        <v>206</v>
      </c>
    </row>
    <row r="8" spans="1:31" ht="16.75">
      <c r="A8" s="46" t="s">
        <v>233</v>
      </c>
      <c r="B8" s="10" t="s">
        <v>40</v>
      </c>
      <c r="D8" s="10" t="s">
        <v>10</v>
      </c>
      <c r="E8" s="10" t="s">
        <v>101</v>
      </c>
      <c r="F8" s="10" t="s">
        <v>9</v>
      </c>
      <c r="Y8" s="16" t="s">
        <v>39</v>
      </c>
      <c r="AC8" s="9" t="s">
        <v>190</v>
      </c>
      <c r="AD8" s="9" t="s">
        <v>148</v>
      </c>
      <c r="AE8" s="9" t="s">
        <v>36</v>
      </c>
    </row>
    <row r="9" spans="1:31" ht="16.75">
      <c r="A9" s="46" t="s">
        <v>53</v>
      </c>
      <c r="B9" s="10"/>
      <c r="D9" s="10" t="s">
        <v>12</v>
      </c>
      <c r="E9" s="10" t="s">
        <v>101</v>
      </c>
      <c r="F9" s="10" t="s">
        <v>9</v>
      </c>
      <c r="K9" t="s">
        <v>74</v>
      </c>
      <c r="L9" t="s">
        <v>75</v>
      </c>
      <c r="N9">
        <f>GRAFO!J2</f>
        <v>29</v>
      </c>
      <c r="Y9" s="16" t="s">
        <v>19</v>
      </c>
      <c r="AC9" s="9" t="s">
        <v>191</v>
      </c>
      <c r="AD9" s="9" t="s">
        <v>201</v>
      </c>
      <c r="AE9" s="9" t="s">
        <v>7</v>
      </c>
    </row>
    <row r="10" spans="1:31" ht="16.75">
      <c r="A10" s="46" t="s">
        <v>123</v>
      </c>
      <c r="B10" s="10"/>
      <c r="D10" s="10" t="s">
        <v>11</v>
      </c>
      <c r="E10" s="10" t="s">
        <v>101</v>
      </c>
      <c r="F10" s="10" t="s">
        <v>9</v>
      </c>
      <c r="K10" t="s">
        <v>80</v>
      </c>
      <c r="L10" t="s">
        <v>76</v>
      </c>
      <c r="N10">
        <f>N4</f>
        <v>24</v>
      </c>
      <c r="Y10" s="16" t="s">
        <v>37</v>
      </c>
      <c r="AC10" s="9" t="s">
        <v>192</v>
      </c>
      <c r="AD10" s="9" t="s">
        <v>202</v>
      </c>
      <c r="AE10" s="9" t="s">
        <v>207</v>
      </c>
    </row>
    <row r="11" spans="1:31" ht="16.75">
      <c r="A11" s="46" t="s">
        <v>124</v>
      </c>
      <c r="B11" s="10"/>
      <c r="D11" s="10" t="s">
        <v>22</v>
      </c>
      <c r="E11" s="10" t="s">
        <v>143</v>
      </c>
      <c r="F11" s="10" t="s">
        <v>9</v>
      </c>
      <c r="K11" t="s">
        <v>68</v>
      </c>
      <c r="L11" t="s">
        <v>77</v>
      </c>
      <c r="N11">
        <v>16</v>
      </c>
      <c r="Y11" s="16" t="s">
        <v>10</v>
      </c>
      <c r="AC11" s="9" t="s">
        <v>193</v>
      </c>
      <c r="AD11" s="9" t="s">
        <v>203</v>
      </c>
      <c r="AE11" s="9" t="s">
        <v>208</v>
      </c>
    </row>
    <row r="12" spans="1:31" ht="16.75">
      <c r="A12" s="46" t="s">
        <v>22</v>
      </c>
      <c r="B12" s="10" t="s">
        <v>22</v>
      </c>
      <c r="D12" s="10" t="s">
        <v>8</v>
      </c>
      <c r="E12" s="10" t="s">
        <v>297</v>
      </c>
      <c r="F12" s="10" t="s">
        <v>233</v>
      </c>
      <c r="K12" t="s">
        <v>70</v>
      </c>
      <c r="L12" t="s">
        <v>78</v>
      </c>
      <c r="M12" t="s">
        <v>86</v>
      </c>
      <c r="N12">
        <f>N9-N11</f>
        <v>13</v>
      </c>
      <c r="Y12" s="16" t="s">
        <v>14</v>
      </c>
      <c r="AC12" s="9" t="s">
        <v>194</v>
      </c>
      <c r="AD12" s="9" t="s">
        <v>204</v>
      </c>
      <c r="AE12" s="9" t="s">
        <v>5</v>
      </c>
    </row>
    <row r="13" spans="1:31" ht="16.75">
      <c r="A13" s="46" t="s">
        <v>286</v>
      </c>
      <c r="B13" s="10" t="s">
        <v>13</v>
      </c>
      <c r="D13" s="10" t="s">
        <v>10</v>
      </c>
      <c r="E13" s="10" t="s">
        <v>297</v>
      </c>
      <c r="F13" s="10" t="s">
        <v>53</v>
      </c>
      <c r="K13" t="s">
        <v>69</v>
      </c>
      <c r="L13" t="s">
        <v>79</v>
      </c>
      <c r="M13" t="s">
        <v>87</v>
      </c>
      <c r="Y13" s="16" t="s">
        <v>34</v>
      </c>
    </row>
    <row r="14" spans="1:31" ht="16.75">
      <c r="A14" s="46" t="s">
        <v>59</v>
      </c>
      <c r="B14" s="10"/>
      <c r="D14" s="10" t="s">
        <v>10</v>
      </c>
      <c r="E14" s="10" t="s">
        <v>143</v>
      </c>
      <c r="F14" s="10" t="s">
        <v>62</v>
      </c>
      <c r="K14" t="s">
        <v>83</v>
      </c>
      <c r="M14" t="s">
        <v>88</v>
      </c>
      <c r="Y14" s="16" t="s">
        <v>27</v>
      </c>
    </row>
    <row r="15" spans="1:31" ht="16.75">
      <c r="A15" s="46" t="s">
        <v>62</v>
      </c>
      <c r="B15" s="10"/>
      <c r="D15" s="10" t="s">
        <v>11</v>
      </c>
      <c r="E15" s="10" t="s">
        <v>297</v>
      </c>
      <c r="F15" s="10" t="s">
        <v>26</v>
      </c>
      <c r="K15" t="s">
        <v>89</v>
      </c>
      <c r="M15" t="s">
        <v>92</v>
      </c>
      <c r="Y15" s="16" t="s">
        <v>28</v>
      </c>
    </row>
    <row r="16" spans="1:31" ht="16.75">
      <c r="A16" s="46" t="s">
        <v>292</v>
      </c>
      <c r="B16" s="10"/>
      <c r="D16" s="10" t="s">
        <v>286</v>
      </c>
      <c r="E16" s="10" t="s">
        <v>215</v>
      </c>
      <c r="F16" s="10" t="s">
        <v>59</v>
      </c>
      <c r="K16" t="s">
        <v>90</v>
      </c>
      <c r="M16" t="s">
        <v>93</v>
      </c>
      <c r="Y16" s="16" t="s">
        <v>30</v>
      </c>
    </row>
    <row r="17" spans="1:25" ht="16.75">
      <c r="A17" s="46" t="s">
        <v>295</v>
      </c>
      <c r="B17" s="10"/>
      <c r="D17" s="10" t="s">
        <v>286</v>
      </c>
      <c r="E17" s="10" t="s">
        <v>142</v>
      </c>
      <c r="F17" s="10" t="s">
        <v>295</v>
      </c>
      <c r="K17" t="s">
        <v>91</v>
      </c>
      <c r="M17" t="s">
        <v>94</v>
      </c>
      <c r="Y17" s="16" t="s">
        <v>29</v>
      </c>
    </row>
    <row r="18" spans="1:25" ht="16.75">
      <c r="A18" s="46" t="s">
        <v>26</v>
      </c>
      <c r="B18" s="10" t="s">
        <v>28</v>
      </c>
      <c r="D18" s="10" t="s">
        <v>295</v>
      </c>
      <c r="E18" s="10" t="s">
        <v>298</v>
      </c>
      <c r="F18" s="10" t="s">
        <v>26</v>
      </c>
      <c r="K18" t="s">
        <v>84</v>
      </c>
      <c r="M18" t="s">
        <v>95</v>
      </c>
      <c r="Y18" s="16" t="s">
        <v>31</v>
      </c>
    </row>
    <row r="19" spans="1:25" ht="16.75">
      <c r="A19" s="46" t="s">
        <v>55</v>
      </c>
      <c r="B19" s="10" t="s">
        <v>32</v>
      </c>
      <c r="D19" s="10" t="s">
        <v>292</v>
      </c>
      <c r="E19" s="10" t="s">
        <v>101</v>
      </c>
      <c r="F19" s="10" t="s">
        <v>62</v>
      </c>
      <c r="K19" t="s">
        <v>85</v>
      </c>
      <c r="M19" t="s">
        <v>96</v>
      </c>
      <c r="Y19" s="16" t="s">
        <v>171</v>
      </c>
    </row>
    <row r="20" spans="1:25" ht="16.75">
      <c r="A20" s="46" t="s">
        <v>56</v>
      </c>
      <c r="B20" s="10" t="s">
        <v>34</v>
      </c>
      <c r="D20" s="10" t="s">
        <v>123</v>
      </c>
      <c r="E20" s="10" t="s">
        <v>101</v>
      </c>
      <c r="F20" s="10" t="s">
        <v>236</v>
      </c>
      <c r="K20" t="s">
        <v>97</v>
      </c>
      <c r="M20" t="s">
        <v>98</v>
      </c>
      <c r="Y20" s="16" t="s">
        <v>15</v>
      </c>
    </row>
    <row r="21" spans="1:25" ht="16.75">
      <c r="A21" s="46" t="s">
        <v>57</v>
      </c>
      <c r="B21" s="10" t="s">
        <v>33</v>
      </c>
      <c r="D21" s="10" t="s">
        <v>124</v>
      </c>
      <c r="E21" s="10" t="s">
        <v>101</v>
      </c>
      <c r="F21" s="10" t="s">
        <v>236</v>
      </c>
      <c r="Y21" s="16" t="s">
        <v>16</v>
      </c>
    </row>
    <row r="22" spans="1:25" ht="16.75">
      <c r="A22" s="46" t="s">
        <v>54</v>
      </c>
      <c r="B22" s="10" t="s">
        <v>31</v>
      </c>
      <c r="D22" s="10" t="s">
        <v>136</v>
      </c>
      <c r="E22" s="10" t="s">
        <v>101</v>
      </c>
      <c r="F22" s="10" t="s">
        <v>296</v>
      </c>
      <c r="Y22" s="16" t="s">
        <v>32</v>
      </c>
    </row>
    <row r="23" spans="1:25" ht="16.75">
      <c r="A23" s="46" t="s">
        <v>296</v>
      </c>
      <c r="B23" s="10"/>
      <c r="D23" s="10" t="s">
        <v>137</v>
      </c>
      <c r="E23" s="10" t="s">
        <v>101</v>
      </c>
      <c r="F23" s="10" t="s">
        <v>296</v>
      </c>
      <c r="Y23" s="16" t="s">
        <v>9</v>
      </c>
    </row>
    <row r="24" spans="1:25" ht="16.75">
      <c r="A24" s="46" t="s">
        <v>136</v>
      </c>
      <c r="B24" s="10"/>
      <c r="D24" s="10" t="s">
        <v>292</v>
      </c>
      <c r="E24" s="10" t="s">
        <v>105</v>
      </c>
      <c r="F24" s="10" t="s">
        <v>296</v>
      </c>
      <c r="Y24" s="16" t="s">
        <v>18</v>
      </c>
    </row>
    <row r="25" spans="1:25" ht="16.75">
      <c r="A25" s="46" t="s">
        <v>137</v>
      </c>
      <c r="B25" s="10"/>
      <c r="D25" s="10" t="s">
        <v>53</v>
      </c>
      <c r="E25" s="10" t="s">
        <v>277</v>
      </c>
      <c r="F25" s="10" t="s">
        <v>124</v>
      </c>
      <c r="Y25" s="16" t="s">
        <v>23</v>
      </c>
    </row>
    <row r="26" spans="1:25" ht="16.75">
      <c r="A26" s="46" t="s">
        <v>236</v>
      </c>
      <c r="B26" s="10"/>
      <c r="D26" s="10" t="s">
        <v>233</v>
      </c>
      <c r="E26" s="10" t="s">
        <v>277</v>
      </c>
      <c r="F26" s="10" t="s">
        <v>123</v>
      </c>
      <c r="Y26" s="16" t="s">
        <v>22</v>
      </c>
    </row>
    <row r="27" spans="1:25" ht="16.75">
      <c r="A27" s="10"/>
      <c r="B27" s="10"/>
      <c r="D27" s="10"/>
      <c r="E27" s="10"/>
      <c r="F27" s="10"/>
      <c r="Y27" s="16" t="s">
        <v>12</v>
      </c>
    </row>
    <row r="28" spans="1:25" ht="16.75">
      <c r="A28" s="10"/>
      <c r="B28" s="10"/>
      <c r="D28" s="10"/>
      <c r="E28" s="10"/>
      <c r="F28" s="10"/>
      <c r="Y28" s="16" t="s">
        <v>24</v>
      </c>
    </row>
    <row r="29" spans="1:25" ht="16.75">
      <c r="A29" s="46"/>
      <c r="B29" s="10"/>
      <c r="D29" s="10"/>
      <c r="E29" s="10"/>
      <c r="F29" s="10"/>
      <c r="Y29" s="16" t="s">
        <v>8</v>
      </c>
    </row>
    <row r="30" spans="1:25" ht="16.75">
      <c r="A30" s="10"/>
      <c r="B30" s="10"/>
      <c r="D30" s="10"/>
      <c r="E30" s="10"/>
      <c r="F30" s="10"/>
      <c r="Y30" s="16" t="s">
        <v>20</v>
      </c>
    </row>
    <row r="31" spans="1:25" ht="16.75">
      <c r="A31" s="10"/>
      <c r="B31" s="10"/>
      <c r="D31" s="10"/>
      <c r="E31" s="10"/>
      <c r="F31" s="10"/>
      <c r="Y31" s="16" t="s">
        <v>11</v>
      </c>
    </row>
    <row r="32" spans="1:25">
      <c r="A32" s="10"/>
      <c r="B32" s="10"/>
      <c r="D32" s="10"/>
      <c r="E32" s="10"/>
      <c r="F32" s="10"/>
    </row>
    <row r="33" spans="1:21">
      <c r="A33" s="10"/>
      <c r="B33" s="10"/>
      <c r="D33" s="10"/>
      <c r="E33" s="10"/>
      <c r="F33" s="10"/>
    </row>
    <row r="34" spans="1:21">
      <c r="A34" s="10"/>
      <c r="B34" s="10"/>
      <c r="D34" s="10"/>
      <c r="E34" s="10"/>
      <c r="F34" s="10"/>
    </row>
    <row r="35" spans="1:21">
      <c r="A35" s="10"/>
      <c r="B35" s="10"/>
      <c r="D35" s="10"/>
      <c r="E35" s="10"/>
      <c r="F35" s="10"/>
    </row>
    <row r="36" spans="1:21">
      <c r="A36" s="10"/>
      <c r="B36" s="10"/>
      <c r="D36" s="10"/>
      <c r="E36" s="10"/>
      <c r="F36" s="10"/>
    </row>
    <row r="37" spans="1:21">
      <c r="A37" s="10"/>
      <c r="B37" s="10"/>
    </row>
    <row r="38" spans="1:21">
      <c r="A38" s="30" t="s">
        <v>182</v>
      </c>
      <c r="B38" s="30"/>
      <c r="D38" s="104" t="s">
        <v>222</v>
      </c>
      <c r="E38" s="105"/>
      <c r="F38" s="105"/>
      <c r="G38" s="106"/>
      <c r="I38" s="98" t="s">
        <v>224</v>
      </c>
      <c r="J38" s="99"/>
      <c r="K38" s="99"/>
      <c r="L38" s="99"/>
      <c r="M38" s="100"/>
      <c r="O38" s="94" t="s">
        <v>229</v>
      </c>
      <c r="P38" s="94"/>
      <c r="Q38" s="94"/>
      <c r="R38" s="94"/>
      <c r="S38" s="94"/>
      <c r="T38" s="94"/>
      <c r="U38" s="94"/>
    </row>
    <row r="39" spans="1:21">
      <c r="A39" s="32" t="s">
        <v>251</v>
      </c>
      <c r="B39" s="33" t="s">
        <v>252</v>
      </c>
      <c r="D39" s="34" t="s">
        <v>220</v>
      </c>
      <c r="E39" s="34" t="s">
        <v>219</v>
      </c>
      <c r="F39" s="34" t="s">
        <v>221</v>
      </c>
      <c r="G39" s="34" t="s">
        <v>223</v>
      </c>
      <c r="I39" s="101" t="s">
        <v>225</v>
      </c>
      <c r="J39" s="102"/>
      <c r="K39" s="103"/>
      <c r="L39" s="101" t="s">
        <v>226</v>
      </c>
      <c r="M39" s="103"/>
      <c r="O39" s="95" t="s">
        <v>227</v>
      </c>
      <c r="P39" s="96"/>
      <c r="Q39" s="96"/>
      <c r="R39" s="96"/>
      <c r="S39" s="97"/>
      <c r="T39" s="95" t="s">
        <v>228</v>
      </c>
      <c r="U39" s="97"/>
    </row>
    <row r="40" spans="1:21">
      <c r="A40" s="46" t="s">
        <v>101</v>
      </c>
      <c r="B40" s="10" t="s">
        <v>3</v>
      </c>
      <c r="D40" s="10" t="str">
        <f>IF(INDEX($A$3:$B$26,MATCH(D3,$A$3:$A$26,0),2)&lt;&gt;0,INDEX($A$3:$B$26,MATCH(D3,$A$3:$A$26,0),2),D3)</f>
        <v>exercito</v>
      </c>
      <c r="E40" s="10" t="str">
        <f>IF(INDEX($A$40:$B$47,MATCH(E3,$A$40:$A$47,0),2)&lt;&gt;0,INDEX($A$40:$B$47,MATCH(E3,$A$40:$A$47,0),2),E3)</f>
        <v>rdfs:subClassOf</v>
      </c>
      <c r="F40" s="10" t="str">
        <f>IF(INDEX($A$3:$B$26,MATCH(F3,$A$3:$A$26,0),2)&lt;&gt;0,INDEX($A$3:$B$26,MATCH(F3,$A$3:$A$26,0),2),F3)</f>
        <v>forcas_armadas</v>
      </c>
      <c r="G40" s="3" t="str">
        <f>IF(INDEX($A$3:$B$26,MATCH(F3,$A$3:$A$26,0),2)&lt;&gt;0,"OK","NOK")</f>
        <v>OK</v>
      </c>
      <c r="I40" s="10" t="str">
        <f t="shared" ref="I40:I63" si="1">D40 &amp;"-"&amp;F40</f>
        <v>exercito-forcas_armadas</v>
      </c>
      <c r="J40" s="10"/>
      <c r="K40" s="10"/>
      <c r="L40" s="3">
        <f>IF(INDEX(GRAFO!$L$2:'GRAFO'!$L$41,MATCH(I40,GRAFO!$L$2:'GRAFO'!$L$41,0),1)&lt;&gt;0,1,0)</f>
        <v>1</v>
      </c>
      <c r="M40" s="3">
        <f>IFERROR(L40,0)</f>
        <v>1</v>
      </c>
      <c r="O40" s="10" t="str">
        <f t="shared" ref="O40:O63" si="2">D40 &amp; "-" &amp; E40 &amp; "-" &amp; F40</f>
        <v>exercito-rdfs:subClassOf-forcas_armadas</v>
      </c>
      <c r="P40" s="10"/>
      <c r="Q40" s="10"/>
      <c r="R40" s="10"/>
      <c r="S40" s="10"/>
      <c r="T40" s="10">
        <f>IF(INDEX(GRAFO!$M$2:'GRAFO'!$M$41,MATCH(O40,GRAFO!$M$2:'GRAFO'!$M$41,0),1)&lt;&gt;0,1,0)</f>
        <v>1</v>
      </c>
      <c r="U40" s="10">
        <f>IFERROR(T40,0)</f>
        <v>1</v>
      </c>
    </row>
    <row r="41" spans="1:21">
      <c r="A41" s="46" t="s">
        <v>143</v>
      </c>
      <c r="B41" s="10" t="s">
        <v>4</v>
      </c>
      <c r="D41" s="10" t="str">
        <f t="shared" ref="D41:D63" si="3">IF(INDEX($A$3:$B$26,MATCH(D4,$A$3:$A$26,0),2)&lt;&gt;0,INDEX($A$3:$B$26,MATCH(D4,$A$3:$A$26,0),2),D4)</f>
        <v>aeronautica</v>
      </c>
      <c r="E41" s="10" t="str">
        <f t="shared" ref="E41:E63" si="4">IF(INDEX($A$40:$B$47,MATCH(E4,$A$40:$A$47,0),2)&lt;&gt;0,INDEX($A$40:$B$47,MATCH(E4,$A$40:$A$47,0),2),E4)</f>
        <v>rdfs:subClassOf</v>
      </c>
      <c r="F41" s="10" t="str">
        <f t="shared" ref="F41:F63" si="5">IF(INDEX($A$3:$B$26,MATCH(F4,$A$3:$A$26,0),2)&lt;&gt;0,INDEX($A$3:$B$26,MATCH(F4,$A$3:$A$26,0),2),F4)</f>
        <v>forcas_armadas</v>
      </c>
      <c r="G41" s="3" t="str">
        <f t="shared" ref="G41:G63" si="6">IF(INDEX($A$3:$B$26,MATCH(F4,$A$3:$A$26,0),2)&lt;&gt;0,"OK","NOK")</f>
        <v>OK</v>
      </c>
      <c r="I41" s="10" t="str">
        <f t="shared" si="1"/>
        <v>aeronautica-forcas_armadas</v>
      </c>
      <c r="J41" s="10"/>
      <c r="K41" s="10"/>
      <c r="L41" s="3">
        <f>IF(INDEX(GRAFO!$L$2:'GRAFO'!$L$41,MATCH(I41,GRAFO!$L$2:'GRAFO'!$L$41,0),1)&lt;&gt;0,1,0)</f>
        <v>1</v>
      </c>
      <c r="M41" s="3">
        <f t="shared" ref="M41:M63" si="7">IFERROR(L41,0)</f>
        <v>1</v>
      </c>
      <c r="O41" s="10" t="str">
        <f t="shared" si="2"/>
        <v>aeronautica-rdfs:subClassOf-forcas_armadas</v>
      </c>
      <c r="P41" s="10"/>
      <c r="Q41" s="10"/>
      <c r="R41" s="10"/>
      <c r="S41" s="10"/>
      <c r="T41" s="10">
        <f>IF(INDEX(GRAFO!$M$2:'GRAFO'!$M$41,MATCH(O41,GRAFO!$M$2:'GRAFO'!$M$41,0),1)&lt;&gt;0,1,0)</f>
        <v>1</v>
      </c>
      <c r="U41" s="10">
        <f t="shared" ref="U41:U63" si="8">IFERROR(T41,0)</f>
        <v>1</v>
      </c>
    </row>
    <row r="42" spans="1:21">
      <c r="A42" s="46" t="s">
        <v>297</v>
      </c>
      <c r="B42" s="10" t="s">
        <v>7</v>
      </c>
      <c r="D42" s="10" t="str">
        <f t="shared" si="3"/>
        <v>marinha</v>
      </c>
      <c r="E42" s="10" t="str">
        <f t="shared" si="4"/>
        <v>rdfs:subClassOf</v>
      </c>
      <c r="F42" s="10" t="str">
        <f t="shared" si="5"/>
        <v>forcas_armadas</v>
      </c>
      <c r="G42" s="3" t="str">
        <f t="shared" si="6"/>
        <v>OK</v>
      </c>
      <c r="I42" s="10" t="str">
        <f t="shared" si="1"/>
        <v>marinha-forcas_armadas</v>
      </c>
      <c r="J42" s="10"/>
      <c r="K42" s="10"/>
      <c r="L42" s="3">
        <f>IF(INDEX(GRAFO!$L$2:'GRAFO'!$L$41,MATCH(I42,GRAFO!$L$2:'GRAFO'!$L$41,0),1)&lt;&gt;0,1,0)</f>
        <v>1</v>
      </c>
      <c r="M42" s="3">
        <f t="shared" si="7"/>
        <v>1</v>
      </c>
      <c r="O42" s="10" t="str">
        <f t="shared" si="2"/>
        <v>marinha-rdfs:subClassOf-forcas_armadas</v>
      </c>
      <c r="P42" s="10"/>
      <c r="Q42" s="10"/>
      <c r="R42" s="10"/>
      <c r="S42" s="10"/>
      <c r="T42" s="10">
        <f>IF(INDEX(GRAFO!$M$2:'GRAFO'!$M$41,MATCH(O42,GRAFO!$M$2:'GRAFO'!$M$41,0),1)&lt;&gt;0,1,0)</f>
        <v>1</v>
      </c>
      <c r="U42" s="10">
        <f t="shared" si="8"/>
        <v>1</v>
      </c>
    </row>
    <row r="43" spans="1:21">
      <c r="A43" s="46" t="s">
        <v>277</v>
      </c>
      <c r="B43" s="10" t="s">
        <v>7</v>
      </c>
      <c r="D43" s="10" t="str">
        <f t="shared" si="3"/>
        <v>forcas_armadas</v>
      </c>
      <c r="E43" s="10" t="str">
        <f t="shared" si="4"/>
        <v>c2rm:responsible_for</v>
      </c>
      <c r="F43" s="10" t="str">
        <f t="shared" si="5"/>
        <v>forca_componente</v>
      </c>
      <c r="G43" s="3" t="str">
        <f t="shared" si="6"/>
        <v>OK</v>
      </c>
      <c r="I43" s="10" t="str">
        <f t="shared" si="1"/>
        <v>forcas_armadas-forca_componente</v>
      </c>
      <c r="J43" s="10"/>
      <c r="K43" s="10"/>
      <c r="L43" s="3" t="e">
        <f>IF(INDEX(GRAFO!$L$2:'GRAFO'!$L$41,MATCH(I43,GRAFO!$L$2:'GRAFO'!$L$41,0),1)&lt;&gt;0,1,0)</f>
        <v>#N/A</v>
      </c>
      <c r="M43" s="3">
        <f t="shared" si="7"/>
        <v>0</v>
      </c>
      <c r="O43" s="10" t="str">
        <f t="shared" si="2"/>
        <v>forcas_armadas-c2rm:responsible_for-forca_componente</v>
      </c>
      <c r="P43" s="10"/>
      <c r="Q43" s="10"/>
      <c r="R43" s="10"/>
      <c r="S43" s="10"/>
      <c r="T43" s="10" t="e">
        <f>IF(INDEX(GRAFO!$M$2:'GRAFO'!$M$41,MATCH(O43,GRAFO!$M$2:'GRAFO'!$M$41,0),1)&lt;&gt;0,1,0)</f>
        <v>#N/A</v>
      </c>
      <c r="U43" s="10">
        <f t="shared" si="8"/>
        <v>0</v>
      </c>
    </row>
    <row r="44" spans="1:21">
      <c r="A44" s="46" t="s">
        <v>215</v>
      </c>
      <c r="B44" s="10" t="s">
        <v>7</v>
      </c>
      <c r="D44" s="10" t="str">
        <f t="shared" si="3"/>
        <v>politico</v>
      </c>
      <c r="E44" s="10" t="str">
        <f t="shared" si="4"/>
        <v>rdfs:subClassOf</v>
      </c>
      <c r="F44" s="10" t="str">
        <f t="shared" si="5"/>
        <v>nivel</v>
      </c>
      <c r="G44" s="3" t="str">
        <f t="shared" si="6"/>
        <v>OK</v>
      </c>
      <c r="I44" s="10" t="str">
        <f t="shared" si="1"/>
        <v>politico-nivel</v>
      </c>
      <c r="J44" s="10"/>
      <c r="K44" s="10"/>
      <c r="L44" s="3">
        <f>IF(INDEX(GRAFO!$L$2:'GRAFO'!$L$41,MATCH(I44,GRAFO!$L$2:'GRAFO'!$L$41,0),1)&lt;&gt;0,1,0)</f>
        <v>1</v>
      </c>
      <c r="M44" s="3">
        <f t="shared" si="7"/>
        <v>1</v>
      </c>
      <c r="O44" s="10" t="str">
        <f t="shared" si="2"/>
        <v>politico-rdfs:subClassOf-nivel</v>
      </c>
      <c r="P44" s="10"/>
      <c r="Q44" s="10"/>
      <c r="R44" s="10"/>
      <c r="S44" s="10"/>
      <c r="T44" s="10">
        <f>IF(INDEX(GRAFO!$M$2:'GRAFO'!$M$41,MATCH(O44,GRAFO!$M$2:'GRAFO'!$M$41,0),1)&lt;&gt;0,1,0)</f>
        <v>1</v>
      </c>
      <c r="U44" s="10">
        <f t="shared" si="8"/>
        <v>1</v>
      </c>
    </row>
    <row r="45" spans="1:21">
      <c r="A45" s="46" t="s">
        <v>142</v>
      </c>
      <c r="B45" s="10" t="s">
        <v>7</v>
      </c>
      <c r="D45" s="10" t="str">
        <f t="shared" si="3"/>
        <v>estrategico</v>
      </c>
      <c r="E45" s="10" t="str">
        <f t="shared" si="4"/>
        <v>rdfs:subClassOf</v>
      </c>
      <c r="F45" s="10" t="str">
        <f t="shared" si="5"/>
        <v>nivel</v>
      </c>
      <c r="G45" s="3" t="str">
        <f t="shared" si="6"/>
        <v>OK</v>
      </c>
      <c r="H45">
        <f>COUNTIFS(GRAFO!C2:C42,"=D34",GRAFO!E2:E42,"=F34")</f>
        <v>0</v>
      </c>
      <c r="I45" s="10" t="str">
        <f t="shared" si="1"/>
        <v>estrategico-nivel</v>
      </c>
      <c r="J45" s="10"/>
      <c r="K45" s="10"/>
      <c r="L45" s="3">
        <f>IF(INDEX(GRAFO!$L$2:'GRAFO'!$L$41,MATCH(I45,GRAFO!$L$2:'GRAFO'!$L$41,0),1)&lt;&gt;0,1,0)</f>
        <v>1</v>
      </c>
      <c r="M45" s="3">
        <f t="shared" si="7"/>
        <v>1</v>
      </c>
      <c r="O45" s="10" t="str">
        <f t="shared" si="2"/>
        <v>estrategico-rdfs:subClassOf-nivel</v>
      </c>
      <c r="P45" s="10"/>
      <c r="Q45" s="10"/>
      <c r="R45" s="10"/>
      <c r="S45" s="10"/>
      <c r="T45" s="10">
        <f>IF(INDEX(GRAFO!$M$2:'GRAFO'!$M$41,MATCH(O45,GRAFO!$M$2:'GRAFO'!$M$41,0),1)&lt;&gt;0,1,0)</f>
        <v>1</v>
      </c>
      <c r="U45" s="10">
        <f t="shared" si="8"/>
        <v>1</v>
      </c>
    </row>
    <row r="46" spans="1:21">
      <c r="A46" s="46" t="s">
        <v>105</v>
      </c>
      <c r="B46" s="10" t="s">
        <v>7</v>
      </c>
      <c r="D46" s="10" t="str">
        <f t="shared" si="3"/>
        <v>operacional</v>
      </c>
      <c r="E46" s="10" t="str">
        <f t="shared" si="4"/>
        <v>rdfs:subClassOf</v>
      </c>
      <c r="F46" s="10" t="str">
        <f t="shared" si="5"/>
        <v>nivel</v>
      </c>
      <c r="G46" s="3" t="str">
        <f t="shared" si="6"/>
        <v>OK</v>
      </c>
      <c r="I46" s="10" t="str">
        <f t="shared" si="1"/>
        <v>operacional-nivel</v>
      </c>
      <c r="J46" s="10"/>
      <c r="K46" s="10"/>
      <c r="L46" s="3">
        <f>IF(INDEX(GRAFO!$L$2:'GRAFO'!$L$41,MATCH(I46,GRAFO!$L$2:'GRAFO'!$L$41,0),1)&lt;&gt;0,1,0)</f>
        <v>1</v>
      </c>
      <c r="M46" s="3">
        <f t="shared" si="7"/>
        <v>1</v>
      </c>
      <c r="O46" s="10" t="str">
        <f t="shared" si="2"/>
        <v>operacional-rdfs:subClassOf-nivel</v>
      </c>
      <c r="P46" s="10"/>
      <c r="Q46" s="10"/>
      <c r="R46" s="10"/>
      <c r="S46" s="10"/>
      <c r="T46" s="10">
        <f>IF(INDEX(GRAFO!$M$2:'GRAFO'!$M$41,MATCH(O46,GRAFO!$M$2:'GRAFO'!$M$41,0),1)&lt;&gt;0,1,0)</f>
        <v>1</v>
      </c>
      <c r="U46" s="10">
        <f t="shared" si="8"/>
        <v>1</v>
      </c>
    </row>
    <row r="47" spans="1:21">
      <c r="A47" s="46" t="s">
        <v>298</v>
      </c>
      <c r="B47" s="10" t="s">
        <v>5</v>
      </c>
      <c r="C47" s="24"/>
      <c r="D47" s="10" t="str">
        <f t="shared" si="3"/>
        <v>tatico</v>
      </c>
      <c r="E47" s="10" t="str">
        <f t="shared" si="4"/>
        <v>rdfs:subClassOf</v>
      </c>
      <c r="F47" s="10" t="str">
        <f t="shared" si="5"/>
        <v>nivel</v>
      </c>
      <c r="G47" s="3" t="str">
        <f t="shared" si="6"/>
        <v>OK</v>
      </c>
      <c r="I47" s="10" t="str">
        <f t="shared" si="1"/>
        <v>tatico-nivel</v>
      </c>
      <c r="J47" s="10"/>
      <c r="K47" s="10"/>
      <c r="L47" s="3">
        <f>IF(INDEX(GRAFO!$L$2:'GRAFO'!$L$41,MATCH(I47,GRAFO!$L$2:'GRAFO'!$L$41,0),1)&lt;&gt;0,1,0)</f>
        <v>1</v>
      </c>
      <c r="M47" s="3">
        <f t="shared" si="7"/>
        <v>1</v>
      </c>
      <c r="O47" s="10" t="str">
        <f t="shared" si="2"/>
        <v>tatico-rdfs:subClassOf-nivel</v>
      </c>
      <c r="P47" s="10"/>
      <c r="Q47" s="10"/>
      <c r="R47" s="10"/>
      <c r="S47" s="10"/>
      <c r="T47" s="10">
        <f>IF(INDEX(GRAFO!$M$2:'GRAFO'!$M$41,MATCH(O47,GRAFO!$M$2:'GRAFO'!$M$41,0),1)&lt;&gt;0,1,0)</f>
        <v>1</v>
      </c>
      <c r="U47" s="10">
        <f t="shared" si="8"/>
        <v>1</v>
      </c>
    </row>
    <row r="48" spans="1:21">
      <c r="A48" s="10"/>
      <c r="B48" s="10"/>
      <c r="C48" s="9" t="e">
        <f t="shared" ref="C48:C63" si="9">IF(INDEX($A$3:$B$18,MATCH(D3,$A$3:$A$17,0),2)&lt;&gt;0,"OK","NOK")</f>
        <v>#N/A</v>
      </c>
      <c r="D48" s="10" t="str">
        <f t="shared" si="3"/>
        <v>operacao_conjunta</v>
      </c>
      <c r="E48" s="10" t="str">
        <f t="shared" si="4"/>
        <v>rdfs:seeAlso</v>
      </c>
      <c r="F48" s="10" t="str">
        <f t="shared" si="5"/>
        <v>nivel</v>
      </c>
      <c r="G48" s="3" t="str">
        <f t="shared" si="6"/>
        <v>OK</v>
      </c>
      <c r="I48" s="10" t="str">
        <f t="shared" si="1"/>
        <v>operacao_conjunta-nivel</v>
      </c>
      <c r="J48" s="10"/>
      <c r="K48" s="10"/>
      <c r="L48" s="3" t="e">
        <f>IF(INDEX(GRAFO!$L$2:'GRAFO'!$L$41,MATCH(I48,GRAFO!$L$2:'GRAFO'!$L$41,0),1)&lt;&gt;0,1,0)</f>
        <v>#N/A</v>
      </c>
      <c r="M48" s="3">
        <f t="shared" si="7"/>
        <v>0</v>
      </c>
      <c r="O48" s="10" t="str">
        <f t="shared" si="2"/>
        <v>operacao_conjunta-rdfs:seeAlso-nivel</v>
      </c>
      <c r="P48" s="10"/>
      <c r="Q48" s="10"/>
      <c r="R48" s="10"/>
      <c r="S48" s="10"/>
      <c r="T48" s="10" t="e">
        <f>IF(INDEX(GRAFO!$M$2:'GRAFO'!$M$41,MATCH(O48,GRAFO!$M$2:'GRAFO'!$M$41,0),1)&lt;&gt;0,1,0)</f>
        <v>#N/A</v>
      </c>
      <c r="U48" s="10">
        <f t="shared" si="8"/>
        <v>0</v>
      </c>
    </row>
    <row r="49" spans="1:21">
      <c r="A49" s="10"/>
      <c r="B49" s="10"/>
      <c r="C49" s="9" t="e">
        <f t="shared" si="9"/>
        <v>#N/A</v>
      </c>
      <c r="D49" s="10" t="str">
        <f t="shared" si="3"/>
        <v>politico</v>
      </c>
      <c r="E49" s="10" t="str">
        <f t="shared" si="4"/>
        <v>c2rm:responsible_for</v>
      </c>
      <c r="F49" s="10" t="str">
        <f t="shared" si="5"/>
        <v>comando_supremo</v>
      </c>
      <c r="G49" s="3" t="str">
        <f t="shared" si="6"/>
        <v>OK</v>
      </c>
      <c r="I49" s="10" t="str">
        <f t="shared" si="1"/>
        <v>politico-comando_supremo</v>
      </c>
      <c r="J49" s="10"/>
      <c r="K49" s="10"/>
      <c r="L49" s="3" t="e">
        <f>IF(INDEX(GRAFO!$L$2:'GRAFO'!$L$41,MATCH(I49,GRAFO!$L$2:'GRAFO'!$L$41,0),1)&lt;&gt;0,1,0)</f>
        <v>#N/A</v>
      </c>
      <c r="M49" s="3">
        <f t="shared" si="7"/>
        <v>0</v>
      </c>
      <c r="O49" s="10" t="str">
        <f t="shared" si="2"/>
        <v>politico-c2rm:responsible_for-comando_supremo</v>
      </c>
      <c r="P49" s="10"/>
      <c r="Q49" s="10"/>
      <c r="R49" s="10"/>
      <c r="S49" s="10"/>
      <c r="T49" s="10" t="e">
        <f>IF(INDEX(GRAFO!$M$2:'GRAFO'!$M$41,MATCH(O49,GRAFO!$M$2:'GRAFO'!$M$41,0),1)&lt;&gt;0,1,0)</f>
        <v>#N/A</v>
      </c>
      <c r="U49" s="10">
        <f t="shared" si="8"/>
        <v>0</v>
      </c>
    </row>
    <row r="50" spans="1:21">
      <c r="A50" s="10"/>
      <c r="B50" s="10"/>
      <c r="C50" s="9" t="e">
        <f t="shared" si="9"/>
        <v>#N/A</v>
      </c>
      <c r="D50" s="10" t="str">
        <f t="shared" si="3"/>
        <v>estrategico</v>
      </c>
      <c r="E50" s="10" t="str">
        <f t="shared" si="4"/>
        <v>c2rm:responsible_for</v>
      </c>
      <c r="F50" s="10" t="str">
        <f t="shared" si="5"/>
        <v>md</v>
      </c>
      <c r="G50" s="3" t="str">
        <f t="shared" si="6"/>
        <v>NOK</v>
      </c>
      <c r="I50" s="10" t="str">
        <f t="shared" si="1"/>
        <v>estrategico-md</v>
      </c>
      <c r="J50" s="10"/>
      <c r="K50" s="10"/>
      <c r="L50" s="3" t="e">
        <f>IF(INDEX(GRAFO!$L$2:'GRAFO'!$L$41,MATCH(I50,GRAFO!$L$2:'GRAFO'!$L$41,0),1)&lt;&gt;0,1,0)</f>
        <v>#N/A</v>
      </c>
      <c r="M50" s="3">
        <f t="shared" si="7"/>
        <v>0</v>
      </c>
      <c r="O50" s="10" t="str">
        <f t="shared" si="2"/>
        <v>estrategico-c2rm:responsible_for-md</v>
      </c>
      <c r="P50" s="10"/>
      <c r="Q50" s="10"/>
      <c r="R50" s="10"/>
      <c r="S50" s="10"/>
      <c r="T50" s="10" t="e">
        <f>IF(INDEX(GRAFO!$M$2:'GRAFO'!$M$41,MATCH(O50,GRAFO!$M$2:'GRAFO'!$M$41,0),1)&lt;&gt;0,1,0)</f>
        <v>#N/A</v>
      </c>
      <c r="U50" s="10">
        <f t="shared" si="8"/>
        <v>0</v>
      </c>
    </row>
    <row r="51" spans="1:21">
      <c r="A51" s="10"/>
      <c r="B51" s="10"/>
      <c r="C51" s="9" t="e">
        <f t="shared" si="9"/>
        <v>#N/A</v>
      </c>
      <c r="D51" s="10" t="str">
        <f t="shared" si="3"/>
        <v>estrategico</v>
      </c>
      <c r="E51" s="10" t="str">
        <f t="shared" si="4"/>
        <v>rdfs:seeAlso</v>
      </c>
      <c r="F51" s="10" t="str">
        <f t="shared" si="5"/>
        <v>ar</v>
      </c>
      <c r="G51" s="3" t="str">
        <f t="shared" si="6"/>
        <v>NOK</v>
      </c>
      <c r="I51" s="10" t="str">
        <f t="shared" si="1"/>
        <v>estrategico-ar</v>
      </c>
      <c r="J51" s="10"/>
      <c r="K51" s="10"/>
      <c r="L51" s="3" t="e">
        <f>IF(INDEX(GRAFO!$L$2:'GRAFO'!$L$41,MATCH(I51,GRAFO!$L$2:'GRAFO'!$L$41,0),1)&lt;&gt;0,1,0)</f>
        <v>#N/A</v>
      </c>
      <c r="M51" s="3">
        <f t="shared" si="7"/>
        <v>0</v>
      </c>
      <c r="O51" s="10" t="str">
        <f t="shared" si="2"/>
        <v>estrategico-rdfs:seeAlso-ar</v>
      </c>
      <c r="P51" s="10"/>
      <c r="Q51" s="10"/>
      <c r="R51" s="10"/>
      <c r="S51" s="10"/>
      <c r="T51" s="10" t="e">
        <f>IF(INDEX(GRAFO!$M$2:'GRAFO'!$M$41,MATCH(O51,GRAFO!$M$2:'GRAFO'!$M$41,0),1)&lt;&gt;0,1,0)</f>
        <v>#N/A</v>
      </c>
      <c r="U51" s="10">
        <f t="shared" si="8"/>
        <v>0</v>
      </c>
    </row>
    <row r="52" spans="1:21">
      <c r="A52" s="10"/>
      <c r="B52" s="10"/>
      <c r="C52" s="9" t="str">
        <f t="shared" si="9"/>
        <v>OK</v>
      </c>
      <c r="D52" s="10" t="str">
        <f t="shared" si="3"/>
        <v>tatico</v>
      </c>
      <c r="E52" s="10" t="str">
        <f t="shared" si="4"/>
        <v>c2rm:responsible_for</v>
      </c>
      <c r="F52" s="10" t="str">
        <f t="shared" si="5"/>
        <v>forca_componente</v>
      </c>
      <c r="G52" s="3" t="str">
        <f t="shared" si="6"/>
        <v>OK</v>
      </c>
      <c r="I52" s="10" t="str">
        <f t="shared" si="1"/>
        <v>tatico-forca_componente</v>
      </c>
      <c r="J52" s="10"/>
      <c r="K52" s="10"/>
      <c r="L52" s="3" t="e">
        <f>IF(INDEX(GRAFO!$L$2:'GRAFO'!$L$41,MATCH(I52,GRAFO!$L$2:'GRAFO'!$L$41,0),1)&lt;&gt;0,1,0)</f>
        <v>#N/A</v>
      </c>
      <c r="M52" s="3">
        <f t="shared" si="7"/>
        <v>0</v>
      </c>
      <c r="O52" s="10" t="str">
        <f t="shared" si="2"/>
        <v>tatico-c2rm:responsible_for-forca_componente</v>
      </c>
      <c r="P52" s="10"/>
      <c r="Q52" s="10"/>
      <c r="R52" s="10"/>
      <c r="S52" s="10"/>
      <c r="T52" s="10" t="e">
        <f>IF(INDEX(GRAFO!$M$2:'GRAFO'!$M$41,MATCH(O52,GRAFO!$M$2:'GRAFO'!$M$41,0),1)&lt;&gt;0,1,0)</f>
        <v>#N/A</v>
      </c>
      <c r="U52" s="10">
        <f t="shared" si="8"/>
        <v>0</v>
      </c>
    </row>
    <row r="53" spans="1:21">
      <c r="A53" s="10"/>
      <c r="B53" s="10"/>
      <c r="C53" s="9" t="str">
        <f t="shared" si="9"/>
        <v>OK</v>
      </c>
      <c r="D53" s="10" t="str">
        <f t="shared" si="3"/>
        <v>comandos_operacionais</v>
      </c>
      <c r="E53" s="10" t="str">
        <f t="shared" si="4"/>
        <v>c2rm:responsible_for</v>
      </c>
      <c r="F53" s="10" t="str">
        <f t="shared" si="5"/>
        <v>c_log</v>
      </c>
      <c r="G53" s="3" t="str">
        <f t="shared" si="6"/>
        <v>NOK</v>
      </c>
      <c r="I53" s="10" t="str">
        <f t="shared" si="1"/>
        <v>comandos_operacionais-c_log</v>
      </c>
      <c r="J53" s="10"/>
      <c r="K53" s="10"/>
      <c r="L53" s="3" t="e">
        <f>IF(INDEX(GRAFO!$L$2:'GRAFO'!$L$41,MATCH(I53,GRAFO!$L$2:'GRAFO'!$L$41,0),1)&lt;&gt;0,1,0)</f>
        <v>#N/A</v>
      </c>
      <c r="M53" s="3">
        <f t="shared" si="7"/>
        <v>0</v>
      </c>
      <c r="O53" s="10" t="str">
        <f t="shared" si="2"/>
        <v>comandos_operacionais-c2rm:responsible_for-c_log</v>
      </c>
      <c r="P53" s="10"/>
      <c r="Q53" s="10"/>
      <c r="R53" s="10"/>
      <c r="S53" s="10"/>
      <c r="T53" s="10" t="e">
        <f>IF(INDEX(GRAFO!$M$2:'GRAFO'!$M$41,MATCH(O53,GRAFO!$M$2:'GRAFO'!$M$41,0),1)&lt;&gt;0,1,0)</f>
        <v>#N/A</v>
      </c>
      <c r="U53" s="10">
        <f t="shared" si="8"/>
        <v>0</v>
      </c>
    </row>
    <row r="54" spans="1:21">
      <c r="A54" s="10"/>
      <c r="B54" s="10"/>
      <c r="C54" s="9" t="str">
        <f t="shared" si="9"/>
        <v>OK</v>
      </c>
      <c r="D54" s="10" t="str">
        <f t="shared" si="3"/>
        <v>comandos_operacionais</v>
      </c>
      <c r="E54" s="10" t="str">
        <f t="shared" si="4"/>
        <v>c2rm:responsible_for</v>
      </c>
      <c r="F54" s="10" t="str">
        <f t="shared" si="5"/>
        <v>missoes</v>
      </c>
      <c r="G54" s="3" t="str">
        <f t="shared" si="6"/>
        <v>NOK</v>
      </c>
      <c r="I54" s="10" t="str">
        <f t="shared" si="1"/>
        <v>comandos_operacionais-missoes</v>
      </c>
      <c r="J54" s="10"/>
      <c r="K54" s="10"/>
      <c r="L54" s="3" t="e">
        <f>IF(INDEX(GRAFO!$L$2:'GRAFO'!$L$41,MATCH(I54,GRAFO!$L$2:'GRAFO'!$L$41,0),1)&lt;&gt;0,1,0)</f>
        <v>#N/A</v>
      </c>
      <c r="M54" s="3">
        <f t="shared" si="7"/>
        <v>0</v>
      </c>
      <c r="O54" s="10" t="str">
        <f t="shared" si="2"/>
        <v>comandos_operacionais-c2rm:responsible_for-missoes</v>
      </c>
      <c r="P54" s="10"/>
      <c r="Q54" s="10"/>
      <c r="R54" s="10"/>
      <c r="S54" s="10"/>
      <c r="T54" s="10" t="e">
        <f>IF(INDEX(GRAFO!$M$2:'GRAFO'!$M$41,MATCH(O54,GRAFO!$M$2:'GRAFO'!$M$41,0),1)&lt;&gt;0,1,0)</f>
        <v>#N/A</v>
      </c>
      <c r="U54" s="10">
        <f t="shared" si="8"/>
        <v>0</v>
      </c>
    </row>
    <row r="55" spans="1:21">
      <c r="A55" s="10"/>
      <c r="B55" s="10"/>
      <c r="C55" s="9" t="str">
        <f t="shared" si="9"/>
        <v>OK</v>
      </c>
      <c r="D55" s="10" t="str">
        <f t="shared" si="3"/>
        <v>missoes</v>
      </c>
      <c r="E55" s="10" t="str">
        <f t="shared" si="4"/>
        <v>c2rm:applied_to</v>
      </c>
      <c r="F55" s="10" t="str">
        <f t="shared" si="5"/>
        <v>forca_componente</v>
      </c>
      <c r="G55" s="3" t="str">
        <f t="shared" si="6"/>
        <v>OK</v>
      </c>
      <c r="I55" s="10" t="str">
        <f t="shared" si="1"/>
        <v>missoes-forca_componente</v>
      </c>
      <c r="J55" s="10"/>
      <c r="K55" s="10"/>
      <c r="L55" s="3" t="e">
        <f>IF(INDEX(GRAFO!$L$2:'GRAFO'!$L$41,MATCH(I55,GRAFO!$L$2:'GRAFO'!$L$41,0),1)&lt;&gt;0,1,0)</f>
        <v>#N/A</v>
      </c>
      <c r="M55" s="3">
        <f t="shared" si="7"/>
        <v>0</v>
      </c>
      <c r="O55" s="10" t="str">
        <f t="shared" si="2"/>
        <v>missoes-c2rm:applied_to-forca_componente</v>
      </c>
      <c r="P55" s="10"/>
      <c r="Q55" s="10"/>
      <c r="R55" s="10"/>
      <c r="S55" s="10"/>
      <c r="T55" s="10" t="e">
        <f>IF(INDEX(GRAFO!$M$2:'GRAFO'!$M$41,MATCH(O55,GRAFO!$M$2:'GRAFO'!$M$41,0),1)&lt;&gt;0,1,0)</f>
        <v>#N/A</v>
      </c>
      <c r="U55" s="10">
        <f t="shared" si="8"/>
        <v>0</v>
      </c>
    </row>
    <row r="56" spans="1:21">
      <c r="A56" s="10"/>
      <c r="B56" s="10"/>
      <c r="C56" s="9" t="str">
        <f t="shared" si="9"/>
        <v>OK</v>
      </c>
      <c r="D56" s="10" t="str">
        <f t="shared" si="3"/>
        <v>a_op</v>
      </c>
      <c r="E56" s="10" t="str">
        <f t="shared" si="4"/>
        <v>rdfs:subClassOf</v>
      </c>
      <c r="F56" s="10" t="str">
        <f t="shared" si="5"/>
        <v>ar</v>
      </c>
      <c r="G56" s="3" t="str">
        <f t="shared" si="6"/>
        <v>NOK</v>
      </c>
      <c r="I56" s="10" t="str">
        <f t="shared" si="1"/>
        <v>a_op-ar</v>
      </c>
      <c r="J56" s="10"/>
      <c r="K56" s="10"/>
      <c r="L56" s="3" t="e">
        <f>IF(INDEX(GRAFO!$L$2:'GRAFO'!$L$41,MATCH(I56,GRAFO!$L$2:'GRAFO'!$L$41,0),1)&lt;&gt;0,1,0)</f>
        <v>#N/A</v>
      </c>
      <c r="M56" s="3">
        <f t="shared" si="7"/>
        <v>0</v>
      </c>
      <c r="O56" s="10" t="str">
        <f t="shared" si="2"/>
        <v>a_op-rdfs:subClassOf-ar</v>
      </c>
      <c r="P56" s="10"/>
      <c r="Q56" s="10"/>
      <c r="R56" s="10"/>
      <c r="S56" s="10"/>
      <c r="T56" s="10" t="e">
        <f>IF(INDEX(GRAFO!$M$2:'GRAFO'!$M$41,MATCH(O56,GRAFO!$M$2:'GRAFO'!$M$41,0),1)&lt;&gt;0,1,0)</f>
        <v>#N/A</v>
      </c>
      <c r="U56" s="10">
        <f t="shared" si="8"/>
        <v>0</v>
      </c>
    </row>
    <row r="57" spans="1:21">
      <c r="C57" s="9" t="str">
        <f t="shared" si="9"/>
        <v>OK</v>
      </c>
      <c r="D57" s="10" t="str">
        <f t="shared" si="3"/>
        <v>dped</v>
      </c>
      <c r="E57" s="10" t="str">
        <f t="shared" si="4"/>
        <v>rdfs:subClassOf</v>
      </c>
      <c r="F57" s="10" t="str">
        <f t="shared" si="5"/>
        <v>diretrizes</v>
      </c>
      <c r="G57" s="3" t="str">
        <f t="shared" si="6"/>
        <v>NOK</v>
      </c>
      <c r="I57" s="10" t="str">
        <f t="shared" si="1"/>
        <v>dped-diretrizes</v>
      </c>
      <c r="J57" s="10"/>
      <c r="K57" s="10"/>
      <c r="L57" s="3" t="e">
        <f>IF(INDEX(GRAFO!$L$2:'GRAFO'!$L$41,MATCH(I57,GRAFO!$L$2:'GRAFO'!$L$41,0),1)&lt;&gt;0,1,0)</f>
        <v>#N/A</v>
      </c>
      <c r="M57" s="3">
        <f t="shared" si="7"/>
        <v>0</v>
      </c>
      <c r="O57" s="10" t="str">
        <f t="shared" si="2"/>
        <v>dped-rdfs:subClassOf-diretrizes</v>
      </c>
      <c r="P57" s="10"/>
      <c r="Q57" s="10"/>
      <c r="R57" s="10"/>
      <c r="S57" s="10"/>
      <c r="T57" s="10" t="e">
        <f>IF(INDEX(GRAFO!$M$2:'GRAFO'!$M$41,MATCH(O57,GRAFO!$M$2:'GRAFO'!$M$41,0),1)&lt;&gt;0,1,0)</f>
        <v>#N/A</v>
      </c>
      <c r="U57" s="10">
        <f t="shared" si="8"/>
        <v>0</v>
      </c>
    </row>
    <row r="58" spans="1:21">
      <c r="C58" s="9" t="str">
        <f t="shared" si="9"/>
        <v>OK</v>
      </c>
      <c r="D58" s="10" t="str">
        <f t="shared" si="3"/>
        <v>dmed</v>
      </c>
      <c r="E58" s="10" t="str">
        <f t="shared" si="4"/>
        <v>rdfs:subClassOf</v>
      </c>
      <c r="F58" s="10" t="str">
        <f t="shared" si="5"/>
        <v>diretrizes</v>
      </c>
      <c r="G58" s="3" t="str">
        <f t="shared" si="6"/>
        <v>NOK</v>
      </c>
      <c r="I58" s="10" t="str">
        <f t="shared" si="1"/>
        <v>dmed-diretrizes</v>
      </c>
      <c r="J58" s="10"/>
      <c r="K58" s="10"/>
      <c r="L58" s="3" t="e">
        <f>IF(INDEX(GRAFO!$L$2:'GRAFO'!$L$41,MATCH(I58,GRAFO!$L$2:'GRAFO'!$L$41,0),1)&lt;&gt;0,1,0)</f>
        <v>#N/A</v>
      </c>
      <c r="M58" s="3">
        <f t="shared" si="7"/>
        <v>0</v>
      </c>
      <c r="O58" s="10" t="str">
        <f t="shared" si="2"/>
        <v>dmed-rdfs:subClassOf-diretrizes</v>
      </c>
      <c r="P58" s="10"/>
      <c r="Q58" s="10"/>
      <c r="R58" s="10"/>
      <c r="S58" s="10"/>
      <c r="T58" s="10" t="e">
        <f>IF(INDEX(GRAFO!$M$2:'GRAFO'!$M$41,MATCH(O58,GRAFO!$M$2:'GRAFO'!$M$41,0),1)&lt;&gt;0,1,0)</f>
        <v>#N/A</v>
      </c>
      <c r="U58" s="10">
        <f t="shared" si="8"/>
        <v>0</v>
      </c>
    </row>
    <row r="59" spans="1:21">
      <c r="C59" s="9" t="str">
        <f t="shared" si="9"/>
        <v>OK</v>
      </c>
      <c r="D59" s="10" t="str">
        <f t="shared" si="3"/>
        <v>ativa</v>
      </c>
      <c r="E59" s="10" t="str">
        <f t="shared" si="4"/>
        <v>rdfs:subClassOf</v>
      </c>
      <c r="F59" s="10" t="str">
        <f t="shared" si="5"/>
        <v>def_aero</v>
      </c>
      <c r="G59" s="3" t="str">
        <f t="shared" si="6"/>
        <v>NOK</v>
      </c>
      <c r="I59" s="10" t="str">
        <f t="shared" si="1"/>
        <v>ativa-def_aero</v>
      </c>
      <c r="J59" s="10"/>
      <c r="K59" s="10"/>
      <c r="L59" s="3" t="e">
        <f>IF(INDEX(GRAFO!$L$2:'GRAFO'!$L$41,MATCH(I59,GRAFO!$L$2:'GRAFO'!$L$41,0),1)&lt;&gt;0,1,0)</f>
        <v>#N/A</v>
      </c>
      <c r="M59" s="3">
        <f t="shared" si="7"/>
        <v>0</v>
      </c>
      <c r="O59" s="10" t="str">
        <f t="shared" si="2"/>
        <v>ativa-rdfs:subClassOf-def_aero</v>
      </c>
      <c r="P59" s="10"/>
      <c r="Q59" s="10"/>
      <c r="R59" s="10"/>
      <c r="S59" s="10"/>
      <c r="T59" s="10" t="e">
        <f>IF(INDEX(GRAFO!$M$2:'GRAFO'!$M$41,MATCH(O59,GRAFO!$M$2:'GRAFO'!$M$41,0),1)&lt;&gt;0,1,0)</f>
        <v>#N/A</v>
      </c>
      <c r="U59" s="10">
        <f t="shared" si="8"/>
        <v>0</v>
      </c>
    </row>
    <row r="60" spans="1:21">
      <c r="C60" s="9" t="str">
        <f t="shared" si="9"/>
        <v>OK</v>
      </c>
      <c r="D60" s="10" t="str">
        <f t="shared" si="3"/>
        <v>passiva</v>
      </c>
      <c r="E60" s="10" t="str">
        <f t="shared" si="4"/>
        <v>rdfs:subClassOf</v>
      </c>
      <c r="F60" s="10" t="str">
        <f t="shared" si="5"/>
        <v>def_aero</v>
      </c>
      <c r="G60" s="3" t="str">
        <f t="shared" si="6"/>
        <v>NOK</v>
      </c>
      <c r="I60" s="10" t="str">
        <f t="shared" si="1"/>
        <v>passiva-def_aero</v>
      </c>
      <c r="J60" s="10"/>
      <c r="K60" s="10"/>
      <c r="L60" s="3" t="e">
        <f>IF(INDEX(GRAFO!$L$2:'GRAFO'!$L$41,MATCH(I60,GRAFO!$L$2:'GRAFO'!$L$41,0),1)&lt;&gt;0,1,0)</f>
        <v>#N/A</v>
      </c>
      <c r="M60" s="3">
        <f t="shared" si="7"/>
        <v>0</v>
      </c>
      <c r="O60" s="10" t="str">
        <f t="shared" si="2"/>
        <v>passiva-rdfs:subClassOf-def_aero</v>
      </c>
      <c r="P60" s="10"/>
      <c r="Q60" s="10"/>
      <c r="R60" s="10"/>
      <c r="S60" s="10"/>
      <c r="T60" s="10" t="e">
        <f>IF(INDEX(GRAFO!$M$2:'GRAFO'!$M$41,MATCH(O60,GRAFO!$M$2:'GRAFO'!$M$41,0),1)&lt;&gt;0,1,0)</f>
        <v>#N/A</v>
      </c>
      <c r="U60" s="10">
        <f t="shared" si="8"/>
        <v>0</v>
      </c>
    </row>
    <row r="61" spans="1:21">
      <c r="C61" s="9" t="str">
        <f t="shared" si="9"/>
        <v>OK</v>
      </c>
      <c r="D61" s="10" t="str">
        <f t="shared" si="3"/>
        <v>a_op</v>
      </c>
      <c r="E61" s="10" t="str">
        <f t="shared" si="4"/>
        <v>c2rm:responsible_for</v>
      </c>
      <c r="F61" s="10" t="str">
        <f t="shared" si="5"/>
        <v>def_aero</v>
      </c>
      <c r="G61" s="3" t="str">
        <f t="shared" si="6"/>
        <v>NOK</v>
      </c>
      <c r="I61" s="10" t="str">
        <f t="shared" si="1"/>
        <v>a_op-def_aero</v>
      </c>
      <c r="J61" s="10"/>
      <c r="K61" s="10"/>
      <c r="L61" s="3" t="e">
        <f>IF(INDEX(GRAFO!$L$2:'GRAFO'!$L$41,MATCH(I61,GRAFO!$L$2:'GRAFO'!$L$41,0),1)&lt;&gt;0,1,0)</f>
        <v>#N/A</v>
      </c>
      <c r="M61" s="3">
        <f t="shared" si="7"/>
        <v>0</v>
      </c>
      <c r="O61" s="10" t="str">
        <f t="shared" si="2"/>
        <v>a_op-c2rm:responsible_for-def_aero</v>
      </c>
      <c r="P61" s="10"/>
      <c r="Q61" s="10"/>
      <c r="R61" s="10"/>
      <c r="S61" s="10"/>
      <c r="T61" s="10" t="e">
        <f>IF(INDEX(GRAFO!$M$2:'GRAFO'!$M$41,MATCH(O61,GRAFO!$M$2:'GRAFO'!$M$41,0),1)&lt;&gt;0,1,0)</f>
        <v>#N/A</v>
      </c>
      <c r="U61" s="10">
        <f t="shared" si="8"/>
        <v>0</v>
      </c>
    </row>
    <row r="62" spans="1:21">
      <c r="C62" s="9" t="str">
        <f t="shared" si="9"/>
        <v>OK</v>
      </c>
      <c r="D62" s="10" t="str">
        <f t="shared" si="3"/>
        <v>md</v>
      </c>
      <c r="E62" s="10" t="str">
        <f t="shared" si="4"/>
        <v>c2rm:responsible_for</v>
      </c>
      <c r="F62" s="10" t="str">
        <f t="shared" si="5"/>
        <v>dmed</v>
      </c>
      <c r="G62" s="3" t="str">
        <f t="shared" si="6"/>
        <v>NOK</v>
      </c>
      <c r="I62" s="10" t="str">
        <f t="shared" si="1"/>
        <v>md-dmed</v>
      </c>
      <c r="J62" s="10"/>
      <c r="K62" s="10"/>
      <c r="L62" s="3" t="e">
        <f>IF(INDEX(GRAFO!$L$2:'GRAFO'!$L$41,MATCH(I62,GRAFO!$L$2:'GRAFO'!$L$41,0),1)&lt;&gt;0,1,0)</f>
        <v>#N/A</v>
      </c>
      <c r="M62" s="3">
        <f t="shared" si="7"/>
        <v>0</v>
      </c>
      <c r="O62" s="10" t="str">
        <f t="shared" si="2"/>
        <v>md-c2rm:responsible_for-dmed</v>
      </c>
      <c r="P62" s="10"/>
      <c r="Q62" s="10"/>
      <c r="R62" s="10"/>
      <c r="S62" s="10"/>
      <c r="T62" s="10" t="e">
        <f>IF(INDEX(GRAFO!$M$2:'GRAFO'!$M$41,MATCH(O62,GRAFO!$M$2:'GRAFO'!$M$41,0),1)&lt;&gt;0,1,0)</f>
        <v>#N/A</v>
      </c>
      <c r="U62" s="10">
        <f t="shared" si="8"/>
        <v>0</v>
      </c>
    </row>
    <row r="63" spans="1:21">
      <c r="C63" s="9" t="str">
        <f t="shared" si="9"/>
        <v>NOK</v>
      </c>
      <c r="D63" s="10" t="str">
        <f t="shared" si="3"/>
        <v>comando_supremo</v>
      </c>
      <c r="E63" s="10" t="str">
        <f t="shared" si="4"/>
        <v>c2rm:responsible_for</v>
      </c>
      <c r="F63" s="10" t="str">
        <f t="shared" si="5"/>
        <v>dped</v>
      </c>
      <c r="G63" s="3" t="str">
        <f t="shared" si="6"/>
        <v>NOK</v>
      </c>
      <c r="I63" s="10" t="str">
        <f t="shared" si="1"/>
        <v>comando_supremo-dped</v>
      </c>
      <c r="J63" s="10"/>
      <c r="K63" s="10"/>
      <c r="L63" s="3" t="e">
        <f>IF(INDEX(GRAFO!$L$2:'GRAFO'!$L$41,MATCH(I63,GRAFO!$L$2:'GRAFO'!$L$41,0),1)&lt;&gt;0,1,0)</f>
        <v>#N/A</v>
      </c>
      <c r="M63" s="3">
        <f t="shared" si="7"/>
        <v>0</v>
      </c>
      <c r="O63" s="10" t="str">
        <f t="shared" si="2"/>
        <v>comando_supremo-c2rm:responsible_for-dped</v>
      </c>
      <c r="P63" s="10"/>
      <c r="Q63" s="10"/>
      <c r="R63" s="10"/>
      <c r="S63" s="10"/>
      <c r="T63" s="10" t="e">
        <f>IF(INDEX(GRAFO!$M$2:'GRAFO'!$M$41,MATCH(O63,GRAFO!$M$2:'GRAFO'!$M$41,0),1)&lt;&gt;0,1,0)</f>
        <v>#N/A</v>
      </c>
      <c r="U63" s="10">
        <f t="shared" si="8"/>
        <v>0</v>
      </c>
    </row>
    <row r="64" spans="1:21">
      <c r="D64" s="10"/>
      <c r="E64" s="10"/>
      <c r="F64" s="10"/>
      <c r="G64" s="3"/>
      <c r="I64" s="10"/>
      <c r="J64" s="10"/>
      <c r="K64" s="10"/>
      <c r="L64" s="3"/>
      <c r="M64" s="3"/>
      <c r="O64" s="10"/>
      <c r="P64" s="10"/>
      <c r="Q64" s="10"/>
      <c r="R64" s="10"/>
      <c r="S64" s="10"/>
      <c r="T64" s="10"/>
      <c r="U64" s="10"/>
    </row>
    <row r="65" spans="4:21">
      <c r="D65" s="10"/>
      <c r="E65" s="10"/>
      <c r="F65" s="10"/>
      <c r="G65" s="3"/>
      <c r="I65" s="10"/>
      <c r="J65" s="10"/>
      <c r="K65" s="10"/>
      <c r="L65" s="3"/>
      <c r="M65" s="3"/>
      <c r="O65" s="10"/>
      <c r="P65" s="10"/>
      <c r="Q65" s="10"/>
      <c r="R65" s="10"/>
      <c r="S65" s="10"/>
      <c r="T65" s="10"/>
      <c r="U65" s="10"/>
    </row>
    <row r="66" spans="4:21">
      <c r="D66" s="10"/>
      <c r="E66" s="10"/>
      <c r="F66" s="10"/>
      <c r="G66" s="3"/>
      <c r="I66" s="10"/>
      <c r="J66" s="10"/>
      <c r="K66" s="10"/>
      <c r="L66" s="3"/>
      <c r="M66" s="3"/>
      <c r="O66" s="10"/>
      <c r="P66" s="10"/>
      <c r="Q66" s="10"/>
      <c r="R66" s="10"/>
      <c r="S66" s="10"/>
      <c r="T66" s="10"/>
      <c r="U66" s="10"/>
    </row>
    <row r="67" spans="4:21">
      <c r="D67" s="10"/>
      <c r="E67" s="10"/>
      <c r="F67" s="10"/>
      <c r="G67" s="3"/>
      <c r="I67" s="10"/>
      <c r="J67" s="10"/>
      <c r="K67" s="10"/>
      <c r="L67" s="3"/>
      <c r="M67" s="3"/>
      <c r="O67" s="10"/>
      <c r="P67" s="10"/>
      <c r="Q67" s="10"/>
      <c r="R67" s="10"/>
      <c r="S67" s="10"/>
      <c r="T67" s="10"/>
      <c r="U67" s="10"/>
    </row>
    <row r="68" spans="4:21">
      <c r="D68" s="10"/>
      <c r="E68" s="10"/>
      <c r="F68" s="10"/>
      <c r="G68" s="3"/>
      <c r="I68" s="10"/>
      <c r="J68" s="10"/>
      <c r="K68" s="10"/>
      <c r="L68" s="3"/>
      <c r="M68" s="3"/>
      <c r="O68" s="10"/>
      <c r="P68" s="10"/>
      <c r="Q68" s="10"/>
      <c r="R68" s="10"/>
      <c r="S68" s="10"/>
      <c r="T68" s="10"/>
      <c r="U68" s="10"/>
    </row>
    <row r="69" spans="4:21">
      <c r="D69" s="10"/>
      <c r="E69" s="10"/>
      <c r="F69" s="10"/>
      <c r="G69" s="3"/>
      <c r="I69" s="10"/>
      <c r="J69" s="10"/>
      <c r="K69" s="10"/>
      <c r="L69" s="3"/>
      <c r="M69" s="3"/>
      <c r="O69" s="10"/>
      <c r="P69" s="10"/>
      <c r="Q69" s="10"/>
      <c r="R69" s="10"/>
      <c r="S69" s="10"/>
      <c r="T69" s="10"/>
      <c r="U69" s="10"/>
    </row>
    <row r="70" spans="4:21">
      <c r="D70" s="10"/>
      <c r="E70" s="10"/>
      <c r="F70" s="10"/>
      <c r="G70" s="3"/>
      <c r="I70" s="10"/>
      <c r="J70" s="10"/>
      <c r="K70" s="10"/>
      <c r="L70" s="3"/>
      <c r="M70" s="3"/>
      <c r="O70" s="10"/>
      <c r="P70" s="10"/>
      <c r="Q70" s="10"/>
      <c r="R70" s="10"/>
      <c r="S70" s="10"/>
      <c r="T70" s="10"/>
      <c r="U70" s="10"/>
    </row>
    <row r="71" spans="4:21">
      <c r="D71" s="10"/>
      <c r="E71" s="10"/>
      <c r="F71" s="10"/>
      <c r="G71" s="3"/>
      <c r="I71" s="10"/>
      <c r="J71" s="10"/>
      <c r="K71" s="10"/>
      <c r="L71" s="3"/>
      <c r="M71" s="3"/>
      <c r="O71" s="10"/>
      <c r="P71" s="10"/>
      <c r="Q71" s="10"/>
      <c r="R71" s="10"/>
      <c r="S71" s="10"/>
      <c r="T71" s="10"/>
      <c r="U71" s="10"/>
    </row>
    <row r="72" spans="4:21">
      <c r="D72" s="10"/>
      <c r="E72" s="10"/>
      <c r="F72" s="10"/>
      <c r="G72" s="3"/>
      <c r="I72" s="10"/>
      <c r="J72" s="10"/>
      <c r="K72" s="10"/>
      <c r="L72" s="3"/>
      <c r="M72" s="3"/>
      <c r="O72" s="10"/>
      <c r="P72" s="10"/>
      <c r="Q72" s="10"/>
      <c r="R72" s="10"/>
      <c r="S72" s="10"/>
      <c r="T72" s="10"/>
      <c r="U72" s="10"/>
    </row>
    <row r="73" spans="4:21">
      <c r="D73" s="10"/>
      <c r="E73" s="10"/>
      <c r="F73" s="10"/>
      <c r="G73" s="3"/>
      <c r="I73" s="10"/>
      <c r="J73" s="10"/>
      <c r="K73" s="10"/>
      <c r="L73" s="3"/>
      <c r="M73" s="3"/>
      <c r="O73" s="10"/>
      <c r="P73" s="10"/>
      <c r="Q73" s="10"/>
      <c r="R73" s="10"/>
      <c r="S73" s="10"/>
      <c r="T73" s="10"/>
      <c r="U73" s="10"/>
    </row>
  </sheetData>
  <mergeCells count="10">
    <mergeCell ref="I39:K39"/>
    <mergeCell ref="L39:M39"/>
    <mergeCell ref="O39:S39"/>
    <mergeCell ref="T39:U39"/>
    <mergeCell ref="A1:B1"/>
    <mergeCell ref="D1:F1"/>
    <mergeCell ref="K4:K5"/>
    <mergeCell ref="D38:G38"/>
    <mergeCell ref="I38:M38"/>
    <mergeCell ref="O38:U38"/>
  </mergeCells>
  <dataValidations count="9">
    <dataValidation type="list" allowBlank="1" showInputMessage="1" showErrorMessage="1" sqref="B3">
      <formula1>$Y$3:$Y$31</formula1>
    </dataValidation>
    <dataValidation type="list" allowBlank="1" showInputMessage="1" showErrorMessage="1" sqref="E37">
      <formula1>$A$40:$A$48</formula1>
    </dataValidation>
    <dataValidation type="list" allowBlank="1" showInputMessage="1" showErrorMessage="1" sqref="F37 D37">
      <formula1>$A$3:$A$28</formula1>
    </dataValidation>
    <dataValidation type="list" allowBlank="1" showInputMessage="1" showErrorMessage="1" sqref="B40:B56">
      <formula1>$AE$2:$AE$12</formula1>
    </dataValidation>
    <dataValidation type="list" allowBlank="1" showInputMessage="1" showErrorMessage="1" sqref="H3:H44 G3:G37">
      <formula1>$A$3:$A$22</formula1>
    </dataValidation>
    <dataValidation type="list" allowBlank="1" showInputMessage="1" showErrorMessage="1" sqref="C3:C37 B4:B37">
      <formula1>$Y$3:$Y$39</formula1>
    </dataValidation>
    <dataValidation type="list" allowBlank="1" showInputMessage="1" showErrorMessage="1" sqref="F38:G38">
      <formula1>$A$3:$A$27</formula1>
    </dataValidation>
    <dataValidation type="list" allowBlank="1" showInputMessage="1" showErrorMessage="1" sqref="F3:F36 D3:D36">
      <formula1>$A$3:$A$26</formula1>
    </dataValidation>
    <dataValidation type="list" allowBlank="1" showInputMessage="1" showErrorMessage="1" sqref="E3:E36">
      <formula1>$A$40:$A$47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E73"/>
  <sheetViews>
    <sheetView topLeftCell="M1" zoomScale="70" zoomScaleNormal="70" workbookViewId="0">
      <selection activeCell="X4" sqref="X4:X7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9" t="s">
        <v>184</v>
      </c>
      <c r="AD2" s="9" t="s">
        <v>195</v>
      </c>
      <c r="AE2" s="9" t="s">
        <v>35</v>
      </c>
    </row>
    <row r="3" spans="1:31" ht="16.75">
      <c r="A3" s="46" t="s">
        <v>232</v>
      </c>
      <c r="B3" s="10"/>
      <c r="D3" s="10" t="s">
        <v>55</v>
      </c>
      <c r="E3" s="10" t="s">
        <v>101</v>
      </c>
      <c r="F3" s="10" t="s">
        <v>54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s="16" t="s">
        <v>33</v>
      </c>
      <c r="AC3" s="9" t="s">
        <v>185</v>
      </c>
      <c r="AD3" s="9" t="s">
        <v>196</v>
      </c>
      <c r="AE3" s="9" t="s">
        <v>4</v>
      </c>
    </row>
    <row r="4" spans="1:31" ht="16.75">
      <c r="A4" s="46" t="s">
        <v>8</v>
      </c>
      <c r="B4" s="10" t="s">
        <v>8</v>
      </c>
      <c r="D4" s="10" t="s">
        <v>56</v>
      </c>
      <c r="E4" s="10" t="s">
        <v>101</v>
      </c>
      <c r="F4" s="10" t="s">
        <v>54</v>
      </c>
      <c r="K4" s="85" t="s">
        <v>80</v>
      </c>
      <c r="L4" s="8" t="s">
        <v>0</v>
      </c>
      <c r="M4" s="4">
        <f>GRAFO!J2</f>
        <v>29</v>
      </c>
      <c r="N4" s="11">
        <f>COUNTA(A3:A23)</f>
        <v>21</v>
      </c>
      <c r="O4" s="11">
        <f>COUNTIF(B3:B23,"&lt;&gt;"&amp;"")</f>
        <v>14</v>
      </c>
      <c r="P4" s="2">
        <f>N4-R4</f>
        <v>14</v>
      </c>
      <c r="Q4" s="2">
        <f>M4-O4</f>
        <v>15</v>
      </c>
      <c r="R4" s="2">
        <f>N4-O4</f>
        <v>7</v>
      </c>
      <c r="S4" s="2">
        <f>O4+P4</f>
        <v>28</v>
      </c>
      <c r="T4" s="2">
        <f>Q4+R4</f>
        <v>22</v>
      </c>
      <c r="U4" s="6">
        <f>O4/(O4+R4)</f>
        <v>0.66666666666666663</v>
      </c>
      <c r="V4" s="6">
        <f>O4/(O4+Q4)</f>
        <v>0.48275862068965519</v>
      </c>
      <c r="W4" s="6">
        <f>(O4+P4)/(O4+P4+Q4+R4)</f>
        <v>0.56000000000000005</v>
      </c>
      <c r="X4" s="62">
        <f>AVERAGE(U4:W4)</f>
        <v>0.56980842911877394</v>
      </c>
      <c r="Y4" s="16" t="s">
        <v>21</v>
      </c>
      <c r="AC4" s="9" t="s">
        <v>186</v>
      </c>
      <c r="AD4" s="9" t="s">
        <v>197</v>
      </c>
      <c r="AE4" s="9" t="s">
        <v>205</v>
      </c>
    </row>
    <row r="5" spans="1:31" ht="16.75">
      <c r="A5" s="46" t="s">
        <v>10</v>
      </c>
      <c r="B5" s="10" t="s">
        <v>10</v>
      </c>
      <c r="D5" s="10" t="s">
        <v>57</v>
      </c>
      <c r="E5" s="10" t="s">
        <v>101</v>
      </c>
      <c r="F5" s="10" t="s">
        <v>54</v>
      </c>
      <c r="K5" s="85"/>
      <c r="L5" s="8" t="s">
        <v>100</v>
      </c>
      <c r="M5" s="5">
        <f>GRAFO!J3</f>
        <v>41</v>
      </c>
      <c r="N5" s="12">
        <f>COUNTA(D40:D63)</f>
        <v>24</v>
      </c>
      <c r="O5" s="12">
        <f>COUNTIF(M40:M62,"=1")</f>
        <v>5</v>
      </c>
      <c r="P5" s="2">
        <f>N5-R5</f>
        <v>5</v>
      </c>
      <c r="Q5" s="2">
        <f>M5-O5</f>
        <v>36</v>
      </c>
      <c r="R5" s="2">
        <f>N5-O5</f>
        <v>19</v>
      </c>
      <c r="S5" s="2">
        <f>O5+P5</f>
        <v>10</v>
      </c>
      <c r="T5" s="2">
        <f>Q5+R5</f>
        <v>55</v>
      </c>
      <c r="U5" s="6">
        <f>O5/(O5+R5)</f>
        <v>0.20833333333333334</v>
      </c>
      <c r="V5" s="6">
        <f>O5/(O5+Q5)</f>
        <v>0.12195121951219512</v>
      </c>
      <c r="W5" s="6">
        <f>(O5+P5)/(O5+P5+Q5+R5)</f>
        <v>0.15384615384615385</v>
      </c>
      <c r="X5" s="62">
        <f t="shared" ref="X5:X6" si="0">AVERAGE(U5:W5)</f>
        <v>0.16137690223056078</v>
      </c>
      <c r="Y5" s="16" t="s">
        <v>17</v>
      </c>
      <c r="AC5" s="9" t="s">
        <v>187</v>
      </c>
      <c r="AD5" s="9" t="s">
        <v>198</v>
      </c>
      <c r="AE5" s="9" t="s">
        <v>3</v>
      </c>
    </row>
    <row r="6" spans="1:31" ht="16.75">
      <c r="A6" s="46" t="s">
        <v>12</v>
      </c>
      <c r="B6" s="10" t="s">
        <v>12</v>
      </c>
      <c r="D6" s="10" t="s">
        <v>8</v>
      </c>
      <c r="E6" s="10" t="s">
        <v>101</v>
      </c>
      <c r="F6" s="10" t="s">
        <v>232</v>
      </c>
      <c r="L6" s="8" t="s">
        <v>99</v>
      </c>
      <c r="M6" s="5">
        <v>41</v>
      </c>
      <c r="N6" s="12">
        <f>COUNTA(D40:D63)</f>
        <v>24</v>
      </c>
      <c r="O6" s="12">
        <f>COUNTIF(U40:U62,"=1")</f>
        <v>4</v>
      </c>
      <c r="P6" s="2">
        <f>N6-R6</f>
        <v>4</v>
      </c>
      <c r="Q6" s="2">
        <f>M6-O6</f>
        <v>37</v>
      </c>
      <c r="R6" s="2">
        <f>N6-O6</f>
        <v>20</v>
      </c>
      <c r="S6" s="2">
        <f>O6+P6</f>
        <v>8</v>
      </c>
      <c r="T6" s="2">
        <f>Q6+R6</f>
        <v>57</v>
      </c>
      <c r="U6" s="6">
        <f>O6/(O6+R6)</f>
        <v>0.16666666666666666</v>
      </c>
      <c r="V6" s="6">
        <f>O6/(O6+Q6)</f>
        <v>9.7560975609756101E-2</v>
      </c>
      <c r="W6" s="6">
        <f>(O6+P6)/(O6+P6+Q6+R6)</f>
        <v>0.12307692307692308</v>
      </c>
      <c r="X6" s="62">
        <f t="shared" si="0"/>
        <v>0.12910152178444861</v>
      </c>
      <c r="Y6" s="16" t="s">
        <v>40</v>
      </c>
      <c r="AC6" s="9" t="s">
        <v>188</v>
      </c>
      <c r="AD6" s="9" t="s">
        <v>199</v>
      </c>
      <c r="AE6" s="9" t="s">
        <v>6</v>
      </c>
    </row>
    <row r="7" spans="1:31" ht="16.75">
      <c r="A7" s="46" t="s">
        <v>11</v>
      </c>
      <c r="B7" s="10" t="s">
        <v>11</v>
      </c>
      <c r="D7" s="10" t="s">
        <v>10</v>
      </c>
      <c r="E7" s="10" t="s">
        <v>101</v>
      </c>
      <c r="F7" s="10" t="s">
        <v>232</v>
      </c>
      <c r="X7" s="62">
        <f>AVERAGE(X4:X6)</f>
        <v>0.28676228437792778</v>
      </c>
      <c r="Y7" s="16" t="s">
        <v>13</v>
      </c>
      <c r="AC7" s="9" t="s">
        <v>189</v>
      </c>
      <c r="AD7" s="9" t="s">
        <v>200</v>
      </c>
      <c r="AE7" s="9" t="s">
        <v>206</v>
      </c>
    </row>
    <row r="8" spans="1:31" ht="16.75">
      <c r="A8" s="46" t="s">
        <v>22</v>
      </c>
      <c r="B8" s="10" t="s">
        <v>22</v>
      </c>
      <c r="D8" s="10" t="s">
        <v>12</v>
      </c>
      <c r="E8" s="10" t="s">
        <v>101</v>
      </c>
      <c r="F8" s="10" t="s">
        <v>232</v>
      </c>
      <c r="Y8" s="16" t="s">
        <v>39</v>
      </c>
      <c r="AC8" s="9" t="s">
        <v>190</v>
      </c>
      <c r="AD8" s="9" t="s">
        <v>148</v>
      </c>
      <c r="AE8" s="9" t="s">
        <v>36</v>
      </c>
    </row>
    <row r="9" spans="1:31" ht="16.75">
      <c r="A9" s="46" t="s">
        <v>153</v>
      </c>
      <c r="B9" s="10"/>
      <c r="D9" s="10" t="s">
        <v>11</v>
      </c>
      <c r="E9" s="10" t="s">
        <v>101</v>
      </c>
      <c r="F9" s="10" t="s">
        <v>232</v>
      </c>
      <c r="K9" t="s">
        <v>74</v>
      </c>
      <c r="L9" t="s">
        <v>75</v>
      </c>
      <c r="N9">
        <f>GRAFO!J2</f>
        <v>29</v>
      </c>
      <c r="Y9" s="16" t="s">
        <v>19</v>
      </c>
      <c r="AC9" s="9" t="s">
        <v>191</v>
      </c>
      <c r="AD9" s="9" t="s">
        <v>201</v>
      </c>
      <c r="AE9" s="9" t="s">
        <v>7</v>
      </c>
    </row>
    <row r="10" spans="1:31" ht="16.75">
      <c r="A10" s="46" t="s">
        <v>155</v>
      </c>
      <c r="B10" s="10"/>
      <c r="D10" s="10" t="s">
        <v>238</v>
      </c>
      <c r="E10" s="10" t="s">
        <v>304</v>
      </c>
      <c r="F10" s="10" t="s">
        <v>59</v>
      </c>
      <c r="K10" t="s">
        <v>80</v>
      </c>
      <c r="L10" t="s">
        <v>76</v>
      </c>
      <c r="N10">
        <f>N4</f>
        <v>21</v>
      </c>
      <c r="Y10" s="16" t="s">
        <v>37</v>
      </c>
      <c r="AC10" s="9" t="s">
        <v>192</v>
      </c>
      <c r="AD10" s="9" t="s">
        <v>202</v>
      </c>
      <c r="AE10" s="9" t="s">
        <v>207</v>
      </c>
    </row>
    <row r="11" spans="1:31" ht="16.75">
      <c r="A11" s="46" t="s">
        <v>301</v>
      </c>
      <c r="B11" s="10"/>
      <c r="D11" s="10" t="s">
        <v>238</v>
      </c>
      <c r="E11" s="10" t="s">
        <v>240</v>
      </c>
      <c r="F11" s="10" t="s">
        <v>301</v>
      </c>
      <c r="K11" t="s">
        <v>68</v>
      </c>
      <c r="L11" t="s">
        <v>77</v>
      </c>
      <c r="N11">
        <v>16</v>
      </c>
      <c r="Y11" s="16" t="s">
        <v>10</v>
      </c>
      <c r="AC11" s="9" t="s">
        <v>193</v>
      </c>
      <c r="AD11" s="9" t="s">
        <v>203</v>
      </c>
      <c r="AE11" s="9" t="s">
        <v>208</v>
      </c>
    </row>
    <row r="12" spans="1:31" ht="16.75">
      <c r="A12" s="46" t="s">
        <v>238</v>
      </c>
      <c r="B12" s="10" t="s">
        <v>13</v>
      </c>
      <c r="D12" s="10" t="s">
        <v>238</v>
      </c>
      <c r="E12" s="10" t="s">
        <v>307</v>
      </c>
      <c r="F12" s="10" t="s">
        <v>155</v>
      </c>
      <c r="K12" t="s">
        <v>70</v>
      </c>
      <c r="L12" t="s">
        <v>78</v>
      </c>
      <c r="M12" t="s">
        <v>86</v>
      </c>
      <c r="N12">
        <f>N9-N11</f>
        <v>13</v>
      </c>
      <c r="Y12" s="16" t="s">
        <v>14</v>
      </c>
      <c r="AC12" s="9" t="s">
        <v>194</v>
      </c>
      <c r="AD12" s="9" t="s">
        <v>204</v>
      </c>
      <c r="AE12" s="9" t="s">
        <v>5</v>
      </c>
    </row>
    <row r="13" spans="1:31" ht="16.75">
      <c r="A13" s="46" t="s">
        <v>64</v>
      </c>
      <c r="B13" s="10" t="s">
        <v>28</v>
      </c>
      <c r="D13" s="10" t="s">
        <v>10</v>
      </c>
      <c r="E13" s="10" t="s">
        <v>143</v>
      </c>
      <c r="F13" s="10" t="s">
        <v>153</v>
      </c>
      <c r="K13" t="s">
        <v>69</v>
      </c>
      <c r="L13" t="s">
        <v>79</v>
      </c>
      <c r="M13" t="s">
        <v>87</v>
      </c>
      <c r="Y13" s="16" t="s">
        <v>34</v>
      </c>
    </row>
    <row r="14" spans="1:31" ht="16.75">
      <c r="A14" s="46" t="s">
        <v>55</v>
      </c>
      <c r="B14" s="10" t="s">
        <v>32</v>
      </c>
      <c r="D14" s="10" t="s">
        <v>238</v>
      </c>
      <c r="E14" s="10" t="s">
        <v>307</v>
      </c>
      <c r="F14" s="10" t="s">
        <v>153</v>
      </c>
      <c r="K14" t="s">
        <v>83</v>
      </c>
      <c r="M14" t="s">
        <v>88</v>
      </c>
      <c r="Y14" s="16" t="s">
        <v>27</v>
      </c>
    </row>
    <row r="15" spans="1:31" ht="16.75">
      <c r="A15" s="46" t="s">
        <v>56</v>
      </c>
      <c r="B15" s="10" t="s">
        <v>34</v>
      </c>
      <c r="D15" s="10" t="s">
        <v>238</v>
      </c>
      <c r="E15" s="10" t="s">
        <v>168</v>
      </c>
      <c r="F15" s="10" t="s">
        <v>302</v>
      </c>
      <c r="K15" t="s">
        <v>89</v>
      </c>
      <c r="M15" t="s">
        <v>92</v>
      </c>
      <c r="Y15" s="16" t="s">
        <v>28</v>
      </c>
    </row>
    <row r="16" spans="1:31" ht="16.75">
      <c r="A16" s="46" t="s">
        <v>57</v>
      </c>
      <c r="B16" s="10" t="s">
        <v>33</v>
      </c>
      <c r="D16" s="10" t="s">
        <v>22</v>
      </c>
      <c r="E16" s="10" t="s">
        <v>308</v>
      </c>
      <c r="F16" s="10" t="s">
        <v>59</v>
      </c>
      <c r="K16" t="s">
        <v>90</v>
      </c>
      <c r="M16" t="s">
        <v>93</v>
      </c>
      <c r="Y16" s="16" t="s">
        <v>30</v>
      </c>
    </row>
    <row r="17" spans="1:25" ht="16.75">
      <c r="A17" s="46" t="s">
        <v>54</v>
      </c>
      <c r="B17" s="10" t="s">
        <v>31</v>
      </c>
      <c r="D17" s="10" t="s">
        <v>22</v>
      </c>
      <c r="E17" s="10" t="s">
        <v>246</v>
      </c>
      <c r="F17" s="10" t="s">
        <v>54</v>
      </c>
      <c r="K17" t="s">
        <v>91</v>
      </c>
      <c r="M17" t="s">
        <v>94</v>
      </c>
      <c r="Y17" s="16" t="s">
        <v>29</v>
      </c>
    </row>
    <row r="18" spans="1:25" ht="16.75">
      <c r="A18" s="46" t="s">
        <v>302</v>
      </c>
      <c r="B18" s="10" t="s">
        <v>28</v>
      </c>
      <c r="D18" s="10" t="s">
        <v>64</v>
      </c>
      <c r="E18" s="10" t="s">
        <v>215</v>
      </c>
      <c r="F18" s="10" t="s">
        <v>22</v>
      </c>
      <c r="K18" t="s">
        <v>84</v>
      </c>
      <c r="M18" t="s">
        <v>95</v>
      </c>
      <c r="Y18" s="16" t="s">
        <v>31</v>
      </c>
    </row>
    <row r="19" spans="1:25" ht="16.75">
      <c r="A19" s="46" t="s">
        <v>59</v>
      </c>
      <c r="B19" s="10" t="s">
        <v>32</v>
      </c>
      <c r="D19" s="10" t="s">
        <v>64</v>
      </c>
      <c r="E19" s="10" t="s">
        <v>303</v>
      </c>
      <c r="F19" s="10" t="s">
        <v>48</v>
      </c>
      <c r="K19" t="s">
        <v>85</v>
      </c>
      <c r="M19" t="s">
        <v>96</v>
      </c>
      <c r="Y19" s="16" t="s">
        <v>171</v>
      </c>
    </row>
    <row r="20" spans="1:25" ht="16.75">
      <c r="A20" s="46" t="s">
        <v>18</v>
      </c>
      <c r="B20" s="10" t="s">
        <v>18</v>
      </c>
      <c r="D20" s="10" t="s">
        <v>64</v>
      </c>
      <c r="E20" s="10" t="s">
        <v>305</v>
      </c>
      <c r="F20" s="10" t="s">
        <v>299</v>
      </c>
      <c r="K20" t="s">
        <v>97</v>
      </c>
      <c r="M20" t="s">
        <v>98</v>
      </c>
      <c r="Y20" s="16" t="s">
        <v>15</v>
      </c>
    </row>
    <row r="21" spans="1:25" ht="16.75">
      <c r="A21" s="46" t="s">
        <v>299</v>
      </c>
      <c r="B21" s="10"/>
      <c r="D21" s="10" t="s">
        <v>300</v>
      </c>
      <c r="E21" s="10" t="s">
        <v>142</v>
      </c>
      <c r="F21" s="10" t="s">
        <v>299</v>
      </c>
      <c r="Y21" s="16" t="s">
        <v>16</v>
      </c>
    </row>
    <row r="22" spans="1:25" ht="16.75">
      <c r="A22" s="46" t="s">
        <v>300</v>
      </c>
      <c r="B22" s="10"/>
      <c r="D22" s="10" t="s">
        <v>12</v>
      </c>
      <c r="E22" s="10" t="s">
        <v>143</v>
      </c>
      <c r="F22" s="10" t="s">
        <v>300</v>
      </c>
      <c r="Y22" s="16" t="s">
        <v>32</v>
      </c>
    </row>
    <row r="23" spans="1:25" ht="16.75">
      <c r="A23" s="46" t="s">
        <v>48</v>
      </c>
      <c r="B23" s="10"/>
      <c r="D23" s="10" t="s">
        <v>8</v>
      </c>
      <c r="E23" s="10" t="s">
        <v>143</v>
      </c>
      <c r="F23" s="10" t="s">
        <v>18</v>
      </c>
      <c r="Y23" s="16" t="s">
        <v>9</v>
      </c>
    </row>
    <row r="24" spans="1:25" ht="16.75">
      <c r="A24" s="46"/>
      <c r="B24" s="10"/>
      <c r="D24" s="10" t="s">
        <v>22</v>
      </c>
      <c r="E24" s="10" t="s">
        <v>306</v>
      </c>
      <c r="F24" s="10" t="s">
        <v>232</v>
      </c>
      <c r="Y24" s="16" t="s">
        <v>18</v>
      </c>
    </row>
    <row r="25" spans="1:25" ht="16.75">
      <c r="A25" s="10"/>
      <c r="B25" s="10"/>
      <c r="D25" s="10" t="s">
        <v>11</v>
      </c>
      <c r="E25" s="10" t="s">
        <v>143</v>
      </c>
      <c r="F25" s="10" t="s">
        <v>48</v>
      </c>
      <c r="Y25" s="16" t="s">
        <v>23</v>
      </c>
    </row>
    <row r="26" spans="1:25" ht="16.75">
      <c r="A26" s="10"/>
      <c r="B26" s="10"/>
      <c r="D26" s="10" t="s">
        <v>54</v>
      </c>
      <c r="E26" s="10" t="s">
        <v>245</v>
      </c>
      <c r="F26" s="10" t="s">
        <v>64</v>
      </c>
      <c r="Y26" s="16" t="s">
        <v>22</v>
      </c>
    </row>
    <row r="27" spans="1:25" ht="16.75">
      <c r="A27" s="46"/>
      <c r="B27" s="10"/>
      <c r="D27" s="10"/>
      <c r="E27" s="10"/>
      <c r="F27" s="10"/>
      <c r="Y27" s="16" t="s">
        <v>12</v>
      </c>
    </row>
    <row r="28" spans="1:25" ht="16.75">
      <c r="A28" s="46"/>
      <c r="B28" s="10"/>
      <c r="D28" s="10"/>
      <c r="E28" s="10"/>
      <c r="F28" s="10"/>
      <c r="Y28" s="16" t="s">
        <v>24</v>
      </c>
    </row>
    <row r="29" spans="1:25" ht="16.75">
      <c r="A29" s="46"/>
      <c r="B29" s="10"/>
      <c r="D29" s="10"/>
      <c r="E29" s="10"/>
      <c r="F29" s="10"/>
      <c r="Y29" s="16" t="s">
        <v>8</v>
      </c>
    </row>
    <row r="30" spans="1:25" ht="16.75">
      <c r="A30" s="46"/>
      <c r="B30" s="10"/>
      <c r="D30" s="10"/>
      <c r="E30" s="10"/>
      <c r="F30" s="10"/>
      <c r="Y30" s="16" t="s">
        <v>20</v>
      </c>
    </row>
    <row r="31" spans="1:25" ht="16.75">
      <c r="A31" s="10"/>
      <c r="B31" s="10"/>
      <c r="D31" s="10"/>
      <c r="E31" s="10"/>
      <c r="F31" s="10"/>
      <c r="Y31" s="16" t="s">
        <v>11</v>
      </c>
    </row>
    <row r="32" spans="1:25">
      <c r="A32" s="10"/>
      <c r="B32" s="10"/>
      <c r="D32" s="10"/>
      <c r="E32" s="10"/>
      <c r="F32" s="10"/>
    </row>
    <row r="33" spans="1:21">
      <c r="A33" s="10"/>
      <c r="B33" s="10"/>
      <c r="D33" s="10"/>
      <c r="E33" s="10"/>
      <c r="F33" s="10"/>
    </row>
    <row r="34" spans="1:21">
      <c r="A34" s="10"/>
      <c r="B34" s="10"/>
      <c r="D34" s="10"/>
      <c r="E34" s="10"/>
      <c r="F34" s="10"/>
    </row>
    <row r="35" spans="1:21">
      <c r="A35" s="10"/>
      <c r="B35" s="10"/>
      <c r="D35" s="10"/>
      <c r="E35" s="10"/>
      <c r="F35" s="10"/>
    </row>
    <row r="36" spans="1:21">
      <c r="A36" s="10"/>
      <c r="B36" s="10"/>
      <c r="D36" s="10"/>
      <c r="E36" s="10"/>
      <c r="F36" s="10"/>
    </row>
    <row r="37" spans="1:21">
      <c r="A37" s="10"/>
      <c r="B37" s="10"/>
    </row>
    <row r="38" spans="1:21">
      <c r="A38" s="30" t="s">
        <v>182</v>
      </c>
      <c r="B38" s="30"/>
      <c r="D38" s="104" t="s">
        <v>222</v>
      </c>
      <c r="E38" s="105"/>
      <c r="F38" s="105"/>
      <c r="G38" s="106"/>
      <c r="I38" s="98" t="s">
        <v>224</v>
      </c>
      <c r="J38" s="99"/>
      <c r="K38" s="99"/>
      <c r="L38" s="99"/>
      <c r="M38" s="100"/>
      <c r="O38" s="94" t="s">
        <v>229</v>
      </c>
      <c r="P38" s="94"/>
      <c r="Q38" s="94"/>
      <c r="R38" s="94"/>
      <c r="S38" s="94"/>
      <c r="T38" s="94"/>
      <c r="U38" s="94"/>
    </row>
    <row r="39" spans="1:21">
      <c r="A39" s="32" t="s">
        <v>251</v>
      </c>
      <c r="B39" s="33" t="s">
        <v>252</v>
      </c>
      <c r="D39" s="34" t="s">
        <v>220</v>
      </c>
      <c r="E39" s="34" t="s">
        <v>219</v>
      </c>
      <c r="F39" s="34" t="s">
        <v>221</v>
      </c>
      <c r="G39" s="34" t="s">
        <v>223</v>
      </c>
      <c r="I39" s="101" t="s">
        <v>225</v>
      </c>
      <c r="J39" s="102"/>
      <c r="K39" s="103"/>
      <c r="L39" s="101" t="s">
        <v>226</v>
      </c>
      <c r="M39" s="103"/>
      <c r="O39" s="95" t="s">
        <v>227</v>
      </c>
      <c r="P39" s="96"/>
      <c r="Q39" s="96"/>
      <c r="R39" s="96"/>
      <c r="S39" s="97"/>
      <c r="T39" s="95" t="s">
        <v>228</v>
      </c>
      <c r="U39" s="97"/>
    </row>
    <row r="40" spans="1:21">
      <c r="A40" s="46" t="s">
        <v>101</v>
      </c>
      <c r="B40" s="10" t="s">
        <v>3</v>
      </c>
      <c r="C40" s="9" t="str">
        <f>IF(INDEX($A$3:$B$27,MATCH(D3,$A$3:$A$27,0),2)&lt;&gt;0,"OK","NOK")</f>
        <v>OK</v>
      </c>
      <c r="D40" s="10" t="str">
        <f>IF(INDEX($A$3:$B$23,MATCH(D3,$A$3:$A$23,0),2)&lt;&gt;0,INDEX($A$3:$B$23,MATCH(D3,$A$3:$A$23,0),2),D3)</f>
        <v>marinha</v>
      </c>
      <c r="E40" s="10" t="str">
        <f>IF(INDEX($A$40:$B$54,MATCH(E3,$A$40:$A$54,0),2)&lt;&gt;0,INDEX($A$40:$B$54,MATCH(E3,$A$40:$A$54,0),2),E3)</f>
        <v>rdfs:subClassOf</v>
      </c>
      <c r="F40" s="10" t="str">
        <f>IF(INDEX($A$3:$B$23,MATCH(F3,$A$3:$A$23,0),2)&lt;&gt;0,INDEX($A$3:$B$23,MATCH(F3,$A$3:$A$23,0),2),F3)</f>
        <v>forcas_armadas</v>
      </c>
      <c r="G40" s="3" t="str">
        <f>IF(INDEX($A$3:$B$23,MATCH(F3,$A$3:$A$23,0),2)&lt;&gt;0,"OK","NOK")</f>
        <v>OK</v>
      </c>
      <c r="I40" s="10" t="str">
        <f t="shared" ref="I40:I63" si="1">D40 &amp;"-"&amp;F40</f>
        <v>marinha-forcas_armadas</v>
      </c>
      <c r="J40" s="10"/>
      <c r="K40" s="10"/>
      <c r="L40" s="3">
        <f>IF(INDEX(GRAFO!$L$2:'GRAFO'!$L$41,MATCH(I40,GRAFO!$L$2:'GRAFO'!$L$41,0),1)&lt;&gt;0,1,0)</f>
        <v>1</v>
      </c>
      <c r="M40" s="3">
        <f>IFERROR(L40,0)</f>
        <v>1</v>
      </c>
      <c r="O40" s="10" t="str">
        <f t="shared" ref="O40:O63" si="2">D40 &amp; "-" &amp; E40 &amp; "-" &amp; F40</f>
        <v>marinha-rdfs:subClassOf-forcas_armadas</v>
      </c>
      <c r="P40" s="10"/>
      <c r="Q40" s="10"/>
      <c r="R40" s="10"/>
      <c r="S40" s="10"/>
      <c r="T40" s="10">
        <f>IF(INDEX(GRAFO!$M$2:'GRAFO'!$M$41,MATCH(O40,GRAFO!$M$2:'GRAFO'!$M$41,0),1)&lt;&gt;0,1,0)</f>
        <v>1</v>
      </c>
      <c r="U40" s="10">
        <f>IFERROR(T40,0)</f>
        <v>1</v>
      </c>
    </row>
    <row r="41" spans="1:21">
      <c r="A41" s="46" t="s">
        <v>303</v>
      </c>
      <c r="B41" s="10" t="s">
        <v>7</v>
      </c>
      <c r="C41" s="9" t="str">
        <f t="shared" ref="C41:C62" si="3">IF(INDEX($A$3:$B$27,MATCH(D4,$A$3:$A$27,0),2)&lt;&gt;0,"OK","NOK")</f>
        <v>OK</v>
      </c>
      <c r="D41" s="10" t="str">
        <f t="shared" ref="D41:D63" si="4">IF(INDEX($A$3:$B$23,MATCH(D4,$A$3:$A$23,0),2)&lt;&gt;0,INDEX($A$3:$B$23,MATCH(D4,$A$3:$A$23,0),2),D4)</f>
        <v>exercito</v>
      </c>
      <c r="E41" s="10" t="str">
        <f t="shared" ref="E41:E63" si="5">IF(INDEX($A$40:$B$54,MATCH(E4,$A$40:$A$54,0),2)&lt;&gt;0,INDEX($A$40:$B$54,MATCH(E4,$A$40:$A$54,0),2),E4)</f>
        <v>rdfs:subClassOf</v>
      </c>
      <c r="F41" s="10" t="str">
        <f t="shared" ref="F41:F63" si="6">IF(INDEX($A$3:$B$23,MATCH(F4,$A$3:$A$23,0),2)&lt;&gt;0,INDEX($A$3:$B$23,MATCH(F4,$A$3:$A$23,0),2),F4)</f>
        <v>forcas_armadas</v>
      </c>
      <c r="G41" s="3" t="str">
        <f t="shared" ref="G41:G63" si="7">IF(INDEX($A$3:$B$23,MATCH(F4,$A$3:$A$23,0),2)&lt;&gt;0,"OK","NOK")</f>
        <v>OK</v>
      </c>
      <c r="I41" s="10" t="str">
        <f t="shared" si="1"/>
        <v>exercito-forcas_armadas</v>
      </c>
      <c r="J41" s="10"/>
      <c r="K41" s="10"/>
      <c r="L41" s="3">
        <f>IF(INDEX(GRAFO!$L$2:'GRAFO'!$L$41,MATCH(I41,GRAFO!$L$2:'GRAFO'!$L$41,0),1)&lt;&gt;0,1,0)</f>
        <v>1</v>
      </c>
      <c r="M41" s="3">
        <f t="shared" ref="M41:M62" si="8">IFERROR(L41,0)</f>
        <v>1</v>
      </c>
      <c r="O41" s="10" t="str">
        <f t="shared" si="2"/>
        <v>exercito-rdfs:subClassOf-forcas_armadas</v>
      </c>
      <c r="P41" s="10"/>
      <c r="Q41" s="10"/>
      <c r="R41" s="10"/>
      <c r="S41" s="10"/>
      <c r="T41" s="10">
        <f>IF(INDEX(GRAFO!$M$2:'GRAFO'!$M$41,MATCH(O41,GRAFO!$M$2:'GRAFO'!$M$41,0),1)&lt;&gt;0,1,0)</f>
        <v>1</v>
      </c>
      <c r="U41" s="10">
        <f t="shared" ref="U41:U62" si="9">IFERROR(T41,0)</f>
        <v>1</v>
      </c>
    </row>
    <row r="42" spans="1:21">
      <c r="A42" s="46" t="s">
        <v>142</v>
      </c>
      <c r="B42" s="10" t="s">
        <v>7</v>
      </c>
      <c r="C42" s="9" t="str">
        <f t="shared" si="3"/>
        <v>OK</v>
      </c>
      <c r="D42" s="10" t="str">
        <f t="shared" si="4"/>
        <v>aeronautica</v>
      </c>
      <c r="E42" s="10" t="str">
        <f t="shared" si="5"/>
        <v>rdfs:subClassOf</v>
      </c>
      <c r="F42" s="10" t="str">
        <f t="shared" si="6"/>
        <v>forcas_armadas</v>
      </c>
      <c r="G42" s="3" t="str">
        <f t="shared" si="7"/>
        <v>OK</v>
      </c>
      <c r="I42" s="10" t="str">
        <f t="shared" si="1"/>
        <v>aeronautica-forcas_armadas</v>
      </c>
      <c r="J42" s="10"/>
      <c r="K42" s="10"/>
      <c r="L42" s="3">
        <f>IF(INDEX(GRAFO!$L$2:'GRAFO'!$L$41,MATCH(I42,GRAFO!$L$2:'GRAFO'!$L$41,0),1)&lt;&gt;0,1,0)</f>
        <v>1</v>
      </c>
      <c r="M42" s="3">
        <f t="shared" si="8"/>
        <v>1</v>
      </c>
      <c r="O42" s="10" t="str">
        <f t="shared" si="2"/>
        <v>aeronautica-rdfs:subClassOf-forcas_armadas</v>
      </c>
      <c r="P42" s="10"/>
      <c r="Q42" s="10"/>
      <c r="R42" s="10"/>
      <c r="S42" s="10"/>
      <c r="T42" s="10">
        <f>IF(INDEX(GRAFO!$M$2:'GRAFO'!$M$41,MATCH(O42,GRAFO!$M$2:'GRAFO'!$M$41,0),1)&lt;&gt;0,1,0)</f>
        <v>1</v>
      </c>
      <c r="U42" s="10">
        <f t="shared" si="9"/>
        <v>1</v>
      </c>
    </row>
    <row r="43" spans="1:21">
      <c r="A43" s="46" t="s">
        <v>304</v>
      </c>
      <c r="B43" s="10" t="s">
        <v>4</v>
      </c>
      <c r="C43" s="9" t="str">
        <f t="shared" si="3"/>
        <v>OK</v>
      </c>
      <c r="D43" s="10" t="str">
        <f t="shared" si="4"/>
        <v>politico</v>
      </c>
      <c r="E43" s="10" t="str">
        <f t="shared" si="5"/>
        <v>rdfs:subClassOf</v>
      </c>
      <c r="F43" s="10" t="str">
        <f t="shared" si="6"/>
        <v>nivel_op</v>
      </c>
      <c r="G43" s="3" t="str">
        <f t="shared" si="7"/>
        <v>NOK</v>
      </c>
      <c r="I43" s="10" t="str">
        <f t="shared" si="1"/>
        <v>politico-nivel_op</v>
      </c>
      <c r="J43" s="10"/>
      <c r="K43" s="10"/>
      <c r="L43" s="3" t="e">
        <f>IF(INDEX(GRAFO!$L$2:'GRAFO'!$L$41,MATCH(I43,GRAFO!$L$2:'GRAFO'!$L$41,0),1)&lt;&gt;0,1,0)</f>
        <v>#N/A</v>
      </c>
      <c r="M43" s="3">
        <f t="shared" si="8"/>
        <v>0</v>
      </c>
      <c r="O43" s="10" t="str">
        <f t="shared" si="2"/>
        <v>politico-rdfs:subClassOf-nivel_op</v>
      </c>
      <c r="P43" s="10"/>
      <c r="Q43" s="10"/>
      <c r="R43" s="10"/>
      <c r="S43" s="10"/>
      <c r="T43" s="10" t="e">
        <f>IF(INDEX(GRAFO!$M$2:'GRAFO'!$M$41,MATCH(O43,GRAFO!$M$2:'GRAFO'!$M$41,0),1)&lt;&gt;0,1,0)</f>
        <v>#N/A</v>
      </c>
      <c r="U43" s="10">
        <f t="shared" si="9"/>
        <v>0</v>
      </c>
    </row>
    <row r="44" spans="1:21">
      <c r="A44" s="46" t="s">
        <v>240</v>
      </c>
      <c r="B44" s="10" t="s">
        <v>4</v>
      </c>
      <c r="C44" s="9" t="str">
        <f t="shared" si="3"/>
        <v>OK</v>
      </c>
      <c r="D44" s="10" t="str">
        <f t="shared" si="4"/>
        <v>estrategico</v>
      </c>
      <c r="E44" s="10" t="str">
        <f t="shared" si="5"/>
        <v>rdfs:subClassOf</v>
      </c>
      <c r="F44" s="10" t="str">
        <f t="shared" si="6"/>
        <v>nivel_op</v>
      </c>
      <c r="G44" s="3" t="str">
        <f t="shared" si="7"/>
        <v>NOK</v>
      </c>
      <c r="I44" s="10" t="str">
        <f t="shared" si="1"/>
        <v>estrategico-nivel_op</v>
      </c>
      <c r="J44" s="10"/>
      <c r="K44" s="10"/>
      <c r="L44" s="3" t="e">
        <f>IF(INDEX(GRAFO!$L$2:'GRAFO'!$L$41,MATCH(I44,GRAFO!$L$2:'GRAFO'!$L$41,0),1)&lt;&gt;0,1,0)</f>
        <v>#N/A</v>
      </c>
      <c r="M44" s="3">
        <f t="shared" si="8"/>
        <v>0</v>
      </c>
      <c r="O44" s="10" t="str">
        <f t="shared" si="2"/>
        <v>estrategico-rdfs:subClassOf-nivel_op</v>
      </c>
      <c r="P44" s="10"/>
      <c r="Q44" s="10"/>
      <c r="R44" s="10"/>
      <c r="S44" s="10"/>
      <c r="T44" s="10" t="e">
        <f>IF(INDEX(GRAFO!$M$2:'GRAFO'!$M$41,MATCH(O44,GRAFO!$M$2:'GRAFO'!$M$41,0),1)&lt;&gt;0,1,0)</f>
        <v>#N/A</v>
      </c>
      <c r="U44" s="10">
        <f t="shared" si="9"/>
        <v>0</v>
      </c>
    </row>
    <row r="45" spans="1:21">
      <c r="A45" s="46" t="s">
        <v>168</v>
      </c>
      <c r="B45" s="10" t="s">
        <v>5</v>
      </c>
      <c r="C45" s="9" t="str">
        <f t="shared" si="3"/>
        <v>OK</v>
      </c>
      <c r="D45" s="10" t="str">
        <f t="shared" si="4"/>
        <v>operacional</v>
      </c>
      <c r="E45" s="10" t="str">
        <f t="shared" si="5"/>
        <v>rdfs:subClassOf</v>
      </c>
      <c r="F45" s="10" t="str">
        <f t="shared" si="6"/>
        <v>nivel_op</v>
      </c>
      <c r="G45" s="3" t="str">
        <f t="shared" si="7"/>
        <v>NOK</v>
      </c>
      <c r="H45">
        <f>COUNTIFS(GRAFO!C2:C42,"=D34",GRAFO!E2:E42,"=F34")</f>
        <v>0</v>
      </c>
      <c r="I45" s="10" t="str">
        <f t="shared" si="1"/>
        <v>operacional-nivel_op</v>
      </c>
      <c r="J45" s="10"/>
      <c r="K45" s="10"/>
      <c r="L45" s="3" t="e">
        <f>IF(INDEX(GRAFO!$L$2:'GRAFO'!$L$41,MATCH(I45,GRAFO!$L$2:'GRAFO'!$L$41,0),1)&lt;&gt;0,1,0)</f>
        <v>#N/A</v>
      </c>
      <c r="M45" s="3">
        <f t="shared" si="8"/>
        <v>0</v>
      </c>
      <c r="O45" s="10" t="str">
        <f t="shared" si="2"/>
        <v>operacional-rdfs:subClassOf-nivel_op</v>
      </c>
      <c r="P45" s="10"/>
      <c r="Q45" s="10"/>
      <c r="R45" s="10"/>
      <c r="S45" s="10"/>
      <c r="T45" s="10" t="e">
        <f>IF(INDEX(GRAFO!$M$2:'GRAFO'!$M$41,MATCH(O45,GRAFO!$M$2:'GRAFO'!$M$41,0),1)&lt;&gt;0,1,0)</f>
        <v>#N/A</v>
      </c>
      <c r="U45" s="10">
        <f t="shared" si="9"/>
        <v>0</v>
      </c>
    </row>
    <row r="46" spans="1:21">
      <c r="A46" s="46" t="s">
        <v>143</v>
      </c>
      <c r="B46" s="10" t="s">
        <v>4</v>
      </c>
      <c r="C46" s="9" t="str">
        <f t="shared" si="3"/>
        <v>OK</v>
      </c>
      <c r="D46" s="10" t="str">
        <f t="shared" si="4"/>
        <v>tatico</v>
      </c>
      <c r="E46" s="10" t="str">
        <f t="shared" si="5"/>
        <v>rdfs:subClassOf</v>
      </c>
      <c r="F46" s="10" t="str">
        <f t="shared" si="6"/>
        <v>nivel_op</v>
      </c>
      <c r="G46" s="3" t="str">
        <f t="shared" si="7"/>
        <v>NOK</v>
      </c>
      <c r="I46" s="10" t="str">
        <f t="shared" si="1"/>
        <v>tatico-nivel_op</v>
      </c>
      <c r="J46" s="10"/>
      <c r="K46" s="10"/>
      <c r="L46" s="3" t="e">
        <f>IF(INDEX(GRAFO!$L$2:'GRAFO'!$L$41,MATCH(I46,GRAFO!$L$2:'GRAFO'!$L$41,0),1)&lt;&gt;0,1,0)</f>
        <v>#N/A</v>
      </c>
      <c r="M46" s="3">
        <f t="shared" si="8"/>
        <v>0</v>
      </c>
      <c r="O46" s="10" t="str">
        <f t="shared" si="2"/>
        <v>tatico-rdfs:subClassOf-nivel_op</v>
      </c>
      <c r="P46" s="10"/>
      <c r="Q46" s="10"/>
      <c r="R46" s="10"/>
      <c r="S46" s="10"/>
      <c r="T46" s="10" t="e">
        <f>IF(INDEX(GRAFO!$M$2:'GRAFO'!$M$41,MATCH(O46,GRAFO!$M$2:'GRAFO'!$M$41,0),1)&lt;&gt;0,1,0)</f>
        <v>#N/A</v>
      </c>
      <c r="U46" s="10">
        <f t="shared" si="9"/>
        <v>0</v>
      </c>
    </row>
    <row r="47" spans="1:21">
      <c r="A47" s="46" t="s">
        <v>305</v>
      </c>
      <c r="B47" s="10" t="s">
        <v>5</v>
      </c>
      <c r="C47" s="9" t="str">
        <f t="shared" si="3"/>
        <v>OK</v>
      </c>
      <c r="D47" s="10" t="str">
        <f t="shared" si="4"/>
        <v>comandos_operacionais</v>
      </c>
      <c r="E47" s="10" t="str">
        <f t="shared" si="5"/>
        <v>rdfs:seeAlso</v>
      </c>
      <c r="F47" s="10" t="str">
        <f t="shared" si="6"/>
        <v>marinha</v>
      </c>
      <c r="G47" s="3" t="str">
        <f t="shared" si="7"/>
        <v>OK</v>
      </c>
      <c r="I47" s="10" t="str">
        <f t="shared" si="1"/>
        <v>comandos_operacionais-marinha</v>
      </c>
      <c r="J47" s="10"/>
      <c r="K47" s="10"/>
      <c r="L47" s="3" t="e">
        <f>IF(INDEX(GRAFO!$L$2:'GRAFO'!$L$41,MATCH(I47,GRAFO!$L$2:'GRAFO'!$L$41,0),1)&lt;&gt;0,1,0)</f>
        <v>#N/A</v>
      </c>
      <c r="M47" s="3">
        <f t="shared" si="8"/>
        <v>0</v>
      </c>
      <c r="O47" s="10" t="str">
        <f t="shared" si="2"/>
        <v>comandos_operacionais-rdfs:seeAlso-marinha</v>
      </c>
      <c r="P47" s="10"/>
      <c r="Q47" s="10"/>
      <c r="R47" s="10"/>
      <c r="S47" s="10"/>
      <c r="T47" s="10" t="e">
        <f>IF(INDEX(GRAFO!$M$2:'GRAFO'!$M$41,MATCH(O47,GRAFO!$M$2:'GRAFO'!$M$41,0),1)&lt;&gt;0,1,0)</f>
        <v>#N/A</v>
      </c>
      <c r="U47" s="10">
        <f t="shared" si="9"/>
        <v>0</v>
      </c>
    </row>
    <row r="48" spans="1:21">
      <c r="A48" s="46" t="s">
        <v>306</v>
      </c>
      <c r="B48" s="10" t="s">
        <v>4</v>
      </c>
      <c r="C48" s="9" t="str">
        <f t="shared" si="3"/>
        <v>OK</v>
      </c>
      <c r="D48" s="10" t="str">
        <f t="shared" si="4"/>
        <v>comandos_operacionais</v>
      </c>
      <c r="E48" s="10" t="str">
        <f t="shared" si="5"/>
        <v>rdfs:seeAlso</v>
      </c>
      <c r="F48" s="10" t="str">
        <f t="shared" si="6"/>
        <v>sistemas</v>
      </c>
      <c r="G48" s="3" t="str">
        <f t="shared" si="7"/>
        <v>NOK</v>
      </c>
      <c r="I48" s="10" t="str">
        <f t="shared" si="1"/>
        <v>comandos_operacionais-sistemas</v>
      </c>
      <c r="J48" s="10"/>
      <c r="K48" s="10"/>
      <c r="L48" s="3" t="e">
        <f>IF(INDEX(GRAFO!$L$2:'GRAFO'!$L$41,MATCH(I48,GRAFO!$L$2:'GRAFO'!$L$41,0),1)&lt;&gt;0,1,0)</f>
        <v>#N/A</v>
      </c>
      <c r="M48" s="3">
        <f t="shared" si="8"/>
        <v>0</v>
      </c>
      <c r="O48" s="10" t="str">
        <f t="shared" si="2"/>
        <v>comandos_operacionais-rdfs:seeAlso-sistemas</v>
      </c>
      <c r="P48" s="10"/>
      <c r="Q48" s="10"/>
      <c r="R48" s="10"/>
      <c r="S48" s="10"/>
      <c r="T48" s="10" t="e">
        <f>IF(INDEX(GRAFO!$M$2:'GRAFO'!$M$41,MATCH(O48,GRAFO!$M$2:'GRAFO'!$M$41,0),1)&lt;&gt;0,1,0)</f>
        <v>#N/A</v>
      </c>
      <c r="U48" s="10">
        <f t="shared" si="9"/>
        <v>0</v>
      </c>
    </row>
    <row r="49" spans="1:21">
      <c r="A49" s="46" t="s">
        <v>307</v>
      </c>
      <c r="B49" s="10" t="s">
        <v>7</v>
      </c>
      <c r="C49" s="9" t="str">
        <f t="shared" si="3"/>
        <v>OK</v>
      </c>
      <c r="D49" s="10" t="str">
        <f t="shared" si="4"/>
        <v>comandos_operacionais</v>
      </c>
      <c r="E49" s="10" t="str">
        <f t="shared" si="5"/>
        <v>c2rm:responsible_for</v>
      </c>
      <c r="F49" s="10" t="str">
        <f t="shared" si="6"/>
        <v>plano_operacional</v>
      </c>
      <c r="G49" s="3" t="str">
        <f t="shared" si="7"/>
        <v>NOK</v>
      </c>
      <c r="I49" s="10" t="str">
        <f t="shared" si="1"/>
        <v>comandos_operacionais-plano_operacional</v>
      </c>
      <c r="J49" s="10"/>
      <c r="K49" s="10"/>
      <c r="L49" s="3" t="e">
        <f>IF(INDEX(GRAFO!$L$2:'GRAFO'!$L$41,MATCH(I49,GRAFO!$L$2:'GRAFO'!$L$41,0),1)&lt;&gt;0,1,0)</f>
        <v>#N/A</v>
      </c>
      <c r="M49" s="3">
        <f t="shared" si="8"/>
        <v>0</v>
      </c>
      <c r="O49" s="10" t="str">
        <f t="shared" si="2"/>
        <v>comandos_operacionais-c2rm:responsible_for-plano_operacional</v>
      </c>
      <c r="P49" s="10"/>
      <c r="Q49" s="10"/>
      <c r="R49" s="10"/>
      <c r="S49" s="10"/>
      <c r="T49" s="10" t="e">
        <f>IF(INDEX(GRAFO!$M$2:'GRAFO'!$M$41,MATCH(O49,GRAFO!$M$2:'GRAFO'!$M$41,0),1)&lt;&gt;0,1,0)</f>
        <v>#N/A</v>
      </c>
      <c r="U49" s="10">
        <f t="shared" si="9"/>
        <v>0</v>
      </c>
    </row>
    <row r="50" spans="1:21">
      <c r="A50" s="46" t="s">
        <v>245</v>
      </c>
      <c r="B50" s="10" t="s">
        <v>205</v>
      </c>
      <c r="C50" s="9" t="str">
        <f t="shared" si="3"/>
        <v>OK</v>
      </c>
      <c r="D50" s="10" t="str">
        <f t="shared" si="4"/>
        <v>estrategico</v>
      </c>
      <c r="E50" s="10" t="str">
        <f t="shared" si="5"/>
        <v>rdfs:seeAlso</v>
      </c>
      <c r="F50" s="10" t="str">
        <f t="shared" si="6"/>
        <v>plano_estrategico</v>
      </c>
      <c r="G50" s="3" t="str">
        <f t="shared" si="7"/>
        <v>NOK</v>
      </c>
      <c r="I50" s="10" t="str">
        <f t="shared" si="1"/>
        <v>estrategico-plano_estrategico</v>
      </c>
      <c r="J50" s="10"/>
      <c r="K50" s="10"/>
      <c r="L50" s="3" t="e">
        <f>IF(INDEX(GRAFO!$L$2:'GRAFO'!$L$41,MATCH(I50,GRAFO!$L$2:'GRAFO'!$L$41,0),1)&lt;&gt;0,1,0)</f>
        <v>#N/A</v>
      </c>
      <c r="M50" s="3">
        <f t="shared" si="8"/>
        <v>0</v>
      </c>
      <c r="O50" s="10" t="str">
        <f t="shared" si="2"/>
        <v>estrategico-rdfs:seeAlso-plano_estrategico</v>
      </c>
      <c r="P50" s="10"/>
      <c r="Q50" s="10"/>
      <c r="R50" s="10"/>
      <c r="S50" s="10"/>
      <c r="T50" s="10" t="e">
        <f>IF(INDEX(GRAFO!$M$2:'GRAFO'!$M$41,MATCH(O50,GRAFO!$M$2:'GRAFO'!$M$41,0),1)&lt;&gt;0,1,0)</f>
        <v>#N/A</v>
      </c>
      <c r="U50" s="10">
        <f t="shared" si="9"/>
        <v>0</v>
      </c>
    </row>
    <row r="51" spans="1:21">
      <c r="A51" s="46" t="s">
        <v>246</v>
      </c>
      <c r="B51" s="10" t="s">
        <v>5</v>
      </c>
      <c r="C51" s="9" t="str">
        <f t="shared" si="3"/>
        <v>OK</v>
      </c>
      <c r="D51" s="10" t="str">
        <f t="shared" si="4"/>
        <v>comandos_operacionais</v>
      </c>
      <c r="E51" s="10" t="str">
        <f t="shared" si="5"/>
        <v>c2rm:responsible_for</v>
      </c>
      <c r="F51" s="10" t="str">
        <f t="shared" si="6"/>
        <v>plano_estrategico</v>
      </c>
      <c r="G51" s="3" t="str">
        <f t="shared" si="7"/>
        <v>NOK</v>
      </c>
      <c r="I51" s="10" t="str">
        <f t="shared" si="1"/>
        <v>comandos_operacionais-plano_estrategico</v>
      </c>
      <c r="J51" s="10"/>
      <c r="K51" s="10"/>
      <c r="L51" s="3" t="e">
        <f>IF(INDEX(GRAFO!$L$2:'GRAFO'!$L$41,MATCH(I51,GRAFO!$L$2:'GRAFO'!$L$41,0),1)&lt;&gt;0,1,0)</f>
        <v>#N/A</v>
      </c>
      <c r="M51" s="3">
        <f t="shared" si="8"/>
        <v>0</v>
      </c>
      <c r="O51" s="10" t="str">
        <f t="shared" si="2"/>
        <v>comandos_operacionais-c2rm:responsible_for-plano_estrategico</v>
      </c>
      <c r="P51" s="10"/>
      <c r="Q51" s="10"/>
      <c r="R51" s="10"/>
      <c r="S51" s="10"/>
      <c r="T51" s="10" t="e">
        <f>IF(INDEX(GRAFO!$M$2:'GRAFO'!$M$41,MATCH(O51,GRAFO!$M$2:'GRAFO'!$M$41,0),1)&lt;&gt;0,1,0)</f>
        <v>#N/A</v>
      </c>
      <c r="U51" s="10">
        <f t="shared" si="9"/>
        <v>0</v>
      </c>
    </row>
    <row r="52" spans="1:21">
      <c r="A52" s="46" t="s">
        <v>143</v>
      </c>
      <c r="B52" s="10" t="s">
        <v>4</v>
      </c>
      <c r="C52" s="9" t="str">
        <f t="shared" si="3"/>
        <v>OK</v>
      </c>
      <c r="D52" s="10" t="str">
        <f t="shared" si="4"/>
        <v>comandos_operacionais</v>
      </c>
      <c r="E52" s="10" t="str">
        <f t="shared" si="5"/>
        <v>c2rm:applied_to</v>
      </c>
      <c r="F52" s="10" t="str">
        <f t="shared" si="6"/>
        <v>forca_componente</v>
      </c>
      <c r="G52" s="3" t="str">
        <f t="shared" si="7"/>
        <v>OK</v>
      </c>
      <c r="I52" s="10" t="str">
        <f t="shared" si="1"/>
        <v>comandos_operacionais-forca_componente</v>
      </c>
      <c r="J52" s="10"/>
      <c r="K52" s="10"/>
      <c r="L52" s="3" t="e">
        <f>IF(INDEX(GRAFO!$L$2:'GRAFO'!$L$41,MATCH(I52,GRAFO!$L$2:'GRAFO'!$L$41,0),1)&lt;&gt;0,1,0)</f>
        <v>#N/A</v>
      </c>
      <c r="M52" s="3">
        <f t="shared" si="8"/>
        <v>0</v>
      </c>
      <c r="O52" s="10" t="str">
        <f t="shared" si="2"/>
        <v>comandos_operacionais-c2rm:applied_to-forca_componente</v>
      </c>
      <c r="P52" s="10"/>
      <c r="Q52" s="10"/>
      <c r="R52" s="10"/>
      <c r="S52" s="10"/>
      <c r="T52" s="10" t="e">
        <f>IF(INDEX(GRAFO!$M$2:'GRAFO'!$M$41,MATCH(O52,GRAFO!$M$2:'GRAFO'!$M$41,0),1)&lt;&gt;0,1,0)</f>
        <v>#N/A</v>
      </c>
      <c r="U52" s="10">
        <f t="shared" si="9"/>
        <v>0</v>
      </c>
    </row>
    <row r="53" spans="1:21">
      <c r="A53" s="46" t="s">
        <v>308</v>
      </c>
      <c r="B53" s="10" t="s">
        <v>5</v>
      </c>
      <c r="C53" s="9" t="str">
        <f t="shared" si="3"/>
        <v>OK</v>
      </c>
      <c r="D53" s="10" t="str">
        <f t="shared" si="4"/>
        <v>operacao_conjunta</v>
      </c>
      <c r="E53" s="10" t="str">
        <f t="shared" si="5"/>
        <v>c2rm:applied_to</v>
      </c>
      <c r="F53" s="10" t="str">
        <f t="shared" si="6"/>
        <v>marinha</v>
      </c>
      <c r="G53" s="3" t="str">
        <f t="shared" si="7"/>
        <v>OK</v>
      </c>
      <c r="I53" s="10" t="str">
        <f t="shared" si="1"/>
        <v>operacao_conjunta-marinha</v>
      </c>
      <c r="J53" s="10"/>
      <c r="K53" s="10"/>
      <c r="L53" s="3" t="e">
        <f>IF(INDEX(GRAFO!$L$2:'GRAFO'!$L$41,MATCH(I53,GRAFO!$L$2:'GRAFO'!$L$41,0),1)&lt;&gt;0,1,0)</f>
        <v>#N/A</v>
      </c>
      <c r="M53" s="3">
        <f t="shared" si="8"/>
        <v>0</v>
      </c>
      <c r="O53" s="10" t="str">
        <f t="shared" si="2"/>
        <v>operacao_conjunta-c2rm:applied_to-marinha</v>
      </c>
      <c r="P53" s="10"/>
      <c r="Q53" s="10"/>
      <c r="R53" s="10"/>
      <c r="S53" s="10"/>
      <c r="T53" s="10" t="e">
        <f>IF(INDEX(GRAFO!$M$2:'GRAFO'!$M$41,MATCH(O53,GRAFO!$M$2:'GRAFO'!$M$41,0),1)&lt;&gt;0,1,0)</f>
        <v>#N/A</v>
      </c>
      <c r="U53" s="10">
        <f t="shared" si="9"/>
        <v>0</v>
      </c>
    </row>
    <row r="54" spans="1:21">
      <c r="A54" s="46" t="s">
        <v>215</v>
      </c>
      <c r="B54" s="10" t="s">
        <v>7</v>
      </c>
      <c r="C54" s="9" t="str">
        <f t="shared" si="3"/>
        <v>OK</v>
      </c>
      <c r="D54" s="10" t="str">
        <f t="shared" si="4"/>
        <v>operacao_conjunta</v>
      </c>
      <c r="E54" s="10" t="str">
        <f t="shared" si="5"/>
        <v>c2rm:applied_to</v>
      </c>
      <c r="F54" s="10" t="str">
        <f t="shared" si="6"/>
        <v>forcas_armadas</v>
      </c>
      <c r="G54" s="3" t="str">
        <f t="shared" si="7"/>
        <v>OK</v>
      </c>
      <c r="I54" s="10" t="str">
        <f t="shared" si="1"/>
        <v>operacao_conjunta-forcas_armadas</v>
      </c>
      <c r="J54" s="10"/>
      <c r="K54" s="10"/>
      <c r="L54" s="3" t="e">
        <f>IF(INDEX(GRAFO!$L$2:'GRAFO'!$L$41,MATCH(I54,GRAFO!$L$2:'GRAFO'!$L$41,0),1)&lt;&gt;0,1,0)</f>
        <v>#N/A</v>
      </c>
      <c r="M54" s="3">
        <f t="shared" si="8"/>
        <v>0</v>
      </c>
      <c r="O54" s="10" t="str">
        <f t="shared" si="2"/>
        <v>operacao_conjunta-c2rm:applied_to-forcas_armadas</v>
      </c>
      <c r="P54" s="10"/>
      <c r="Q54" s="10"/>
      <c r="R54" s="10"/>
      <c r="S54" s="10"/>
      <c r="T54" s="10" t="e">
        <f>IF(INDEX(GRAFO!$M$2:'GRAFO'!$M$41,MATCH(O54,GRAFO!$M$2:'GRAFO'!$M$41,0),1)&lt;&gt;0,1,0)</f>
        <v>#N/A</v>
      </c>
      <c r="U54" s="10">
        <f t="shared" si="9"/>
        <v>0</v>
      </c>
    </row>
    <row r="55" spans="1:21">
      <c r="A55" s="10"/>
      <c r="B55" s="10"/>
      <c r="C55" s="9" t="str">
        <f t="shared" si="3"/>
        <v>OK</v>
      </c>
      <c r="D55" s="10" t="str">
        <f t="shared" si="4"/>
        <v>forca_componente</v>
      </c>
      <c r="E55" s="10" t="str">
        <f t="shared" si="5"/>
        <v>c2rm:responsible_for</v>
      </c>
      <c r="F55" s="10" t="str">
        <f t="shared" si="6"/>
        <v>operacao_conjunta</v>
      </c>
      <c r="G55" s="3" t="str">
        <f t="shared" si="7"/>
        <v>OK</v>
      </c>
      <c r="I55" s="10" t="str">
        <f t="shared" si="1"/>
        <v>forca_componente-operacao_conjunta</v>
      </c>
      <c r="J55" s="10"/>
      <c r="K55" s="10"/>
      <c r="L55" s="3">
        <f>IF(INDEX(GRAFO!$L$2:'GRAFO'!$L$41,MATCH(I55,GRAFO!$L$2:'GRAFO'!$L$41,0),1)&lt;&gt;0,1,0)</f>
        <v>1</v>
      </c>
      <c r="M55" s="3">
        <f t="shared" si="8"/>
        <v>1</v>
      </c>
      <c r="O55" s="10" t="str">
        <f t="shared" si="2"/>
        <v>forca_componente-c2rm:responsible_for-operacao_conjunta</v>
      </c>
      <c r="P55" s="10"/>
      <c r="Q55" s="10"/>
      <c r="R55" s="10"/>
      <c r="S55" s="10"/>
      <c r="T55" s="10">
        <f>IF(INDEX(GRAFO!$M$2:'GRAFO'!$M$41,MATCH(O55,GRAFO!$M$2:'GRAFO'!$M$41,0),1)&lt;&gt;0,1,0)</f>
        <v>1</v>
      </c>
      <c r="U55" s="10">
        <f t="shared" si="9"/>
        <v>1</v>
      </c>
    </row>
    <row r="56" spans="1:21">
      <c r="A56" s="10"/>
      <c r="B56" s="10"/>
      <c r="C56" s="9" t="str">
        <f t="shared" si="3"/>
        <v>OK</v>
      </c>
      <c r="D56" s="10" t="str">
        <f t="shared" si="4"/>
        <v>forca_componente</v>
      </c>
      <c r="E56" s="10" t="str">
        <f t="shared" si="5"/>
        <v>c2rm:responsible_for</v>
      </c>
      <c r="F56" s="10" t="str">
        <f t="shared" si="6"/>
        <v>ordens</v>
      </c>
      <c r="G56" s="3" t="str">
        <f t="shared" si="7"/>
        <v>NOK</v>
      </c>
      <c r="I56" s="10" t="str">
        <f t="shared" si="1"/>
        <v>forca_componente-ordens</v>
      </c>
      <c r="J56" s="10"/>
      <c r="K56" s="10"/>
      <c r="L56" s="3" t="e">
        <f>IF(INDEX(GRAFO!$L$2:'GRAFO'!$L$41,MATCH(I56,GRAFO!$L$2:'GRAFO'!$L$41,0),1)&lt;&gt;0,1,0)</f>
        <v>#N/A</v>
      </c>
      <c r="M56" s="3">
        <f t="shared" si="8"/>
        <v>0</v>
      </c>
      <c r="O56" s="10" t="str">
        <f t="shared" si="2"/>
        <v>forca_componente-c2rm:responsible_for-ordens</v>
      </c>
      <c r="P56" s="10"/>
      <c r="Q56" s="10"/>
      <c r="R56" s="10"/>
      <c r="S56" s="10"/>
      <c r="T56" s="10" t="e">
        <f>IF(INDEX(GRAFO!$M$2:'GRAFO'!$M$41,MATCH(O56,GRAFO!$M$2:'GRAFO'!$M$41,0),1)&lt;&gt;0,1,0)</f>
        <v>#N/A</v>
      </c>
      <c r="U56" s="10">
        <f t="shared" si="9"/>
        <v>0</v>
      </c>
    </row>
    <row r="57" spans="1:21">
      <c r="C57" s="9" t="str">
        <f t="shared" si="3"/>
        <v>OK</v>
      </c>
      <c r="D57" s="10" t="str">
        <f t="shared" si="4"/>
        <v>forca_componente</v>
      </c>
      <c r="E57" s="10" t="str">
        <f t="shared" si="5"/>
        <v>c2rm:applied_to</v>
      </c>
      <c r="F57" s="10" t="str">
        <f t="shared" si="6"/>
        <v>objetivos</v>
      </c>
      <c r="G57" s="3" t="str">
        <f t="shared" si="7"/>
        <v>NOK</v>
      </c>
      <c r="I57" s="10" t="str">
        <f t="shared" si="1"/>
        <v>forca_componente-objetivos</v>
      </c>
      <c r="J57" s="10"/>
      <c r="K57" s="10"/>
      <c r="L57" s="3" t="e">
        <f>IF(INDEX(GRAFO!$L$2:'GRAFO'!$L$41,MATCH(I57,GRAFO!$L$2:'GRAFO'!$L$41,0),1)&lt;&gt;0,1,0)</f>
        <v>#N/A</v>
      </c>
      <c r="M57" s="3">
        <f t="shared" si="8"/>
        <v>0</v>
      </c>
      <c r="O57" s="10" t="str">
        <f t="shared" si="2"/>
        <v>forca_componente-c2rm:applied_to-objetivos</v>
      </c>
      <c r="P57" s="10"/>
      <c r="Q57" s="10"/>
      <c r="R57" s="10"/>
      <c r="S57" s="10"/>
      <c r="T57" s="10" t="e">
        <f>IF(INDEX(GRAFO!$M$2:'GRAFO'!$M$41,MATCH(O57,GRAFO!$M$2:'GRAFO'!$M$41,0),1)&lt;&gt;0,1,0)</f>
        <v>#N/A</v>
      </c>
      <c r="U57" s="10">
        <f t="shared" si="9"/>
        <v>0</v>
      </c>
    </row>
    <row r="58" spans="1:21">
      <c r="C58" s="9" t="str">
        <f t="shared" si="3"/>
        <v>NOK</v>
      </c>
      <c r="D58" s="10" t="str">
        <f t="shared" si="4"/>
        <v>planejamento_militar</v>
      </c>
      <c r="E58" s="10" t="str">
        <f t="shared" si="5"/>
        <v>c2rm:responsible_for</v>
      </c>
      <c r="F58" s="10" t="str">
        <f t="shared" si="6"/>
        <v>objetivos</v>
      </c>
      <c r="G58" s="3" t="str">
        <f t="shared" si="7"/>
        <v>NOK</v>
      </c>
      <c r="I58" s="10" t="str">
        <f t="shared" si="1"/>
        <v>planejamento_militar-objetivos</v>
      </c>
      <c r="J58" s="10"/>
      <c r="K58" s="10"/>
      <c r="L58" s="3" t="e">
        <f>IF(INDEX(GRAFO!$L$2:'GRAFO'!$L$41,MATCH(I58,GRAFO!$L$2:'GRAFO'!$L$41,0),1)&lt;&gt;0,1,0)</f>
        <v>#N/A</v>
      </c>
      <c r="M58" s="3">
        <f t="shared" si="8"/>
        <v>0</v>
      </c>
      <c r="O58" s="10" t="str">
        <f t="shared" si="2"/>
        <v>planejamento_militar-c2rm:responsible_for-objetivos</v>
      </c>
      <c r="P58" s="10"/>
      <c r="Q58" s="10"/>
      <c r="R58" s="10"/>
      <c r="S58" s="10"/>
      <c r="T58" s="10" t="e">
        <f>IF(INDEX(GRAFO!$M$2:'GRAFO'!$M$41,MATCH(O58,GRAFO!$M$2:'GRAFO'!$M$41,0),1)&lt;&gt;0,1,0)</f>
        <v>#N/A</v>
      </c>
      <c r="U58" s="10">
        <f t="shared" si="9"/>
        <v>0</v>
      </c>
    </row>
    <row r="59" spans="1:21">
      <c r="C59" s="9" t="str">
        <f t="shared" si="3"/>
        <v>OK</v>
      </c>
      <c r="D59" s="10" t="str">
        <f t="shared" si="4"/>
        <v>operacional</v>
      </c>
      <c r="E59" s="10" t="str">
        <f t="shared" si="5"/>
        <v>rdfs:seeAlso</v>
      </c>
      <c r="F59" s="10" t="str">
        <f t="shared" si="6"/>
        <v>planejamento_militar</v>
      </c>
      <c r="G59" s="3" t="str">
        <f t="shared" si="7"/>
        <v>NOK</v>
      </c>
      <c r="I59" s="10" t="str">
        <f t="shared" si="1"/>
        <v>operacional-planejamento_militar</v>
      </c>
      <c r="J59" s="10"/>
      <c r="K59" s="10"/>
      <c r="L59" s="3" t="e">
        <f>IF(INDEX(GRAFO!$L$2:'GRAFO'!$L$41,MATCH(I59,GRAFO!$L$2:'GRAFO'!$L$41,0),1)&lt;&gt;0,1,0)</f>
        <v>#N/A</v>
      </c>
      <c r="M59" s="3">
        <f t="shared" si="8"/>
        <v>0</v>
      </c>
      <c r="O59" s="10" t="str">
        <f t="shared" si="2"/>
        <v>operacional-rdfs:seeAlso-planejamento_militar</v>
      </c>
      <c r="P59" s="10"/>
      <c r="Q59" s="10"/>
      <c r="R59" s="10"/>
      <c r="S59" s="10"/>
      <c r="T59" s="10" t="e">
        <f>IF(INDEX(GRAFO!$M$2:'GRAFO'!$M$41,MATCH(O59,GRAFO!$M$2:'GRAFO'!$M$41,0),1)&lt;&gt;0,1,0)</f>
        <v>#N/A</v>
      </c>
      <c r="U59" s="10">
        <f t="shared" si="9"/>
        <v>0</v>
      </c>
    </row>
    <row r="60" spans="1:21">
      <c r="C60" s="9" t="str">
        <f t="shared" si="3"/>
        <v>OK</v>
      </c>
      <c r="D60" s="10" t="str">
        <f t="shared" si="4"/>
        <v>politico</v>
      </c>
      <c r="E60" s="10" t="str">
        <f t="shared" si="5"/>
        <v>rdfs:seeAlso</v>
      </c>
      <c r="F60" s="10" t="str">
        <f t="shared" si="6"/>
        <v>objetivos_politicos</v>
      </c>
      <c r="G60" s="3" t="str">
        <f t="shared" si="7"/>
        <v>OK</v>
      </c>
      <c r="I60" s="10" t="str">
        <f t="shared" si="1"/>
        <v>politico-objetivos_politicos</v>
      </c>
      <c r="J60" s="10"/>
      <c r="K60" s="10"/>
      <c r="L60" s="3">
        <f>IF(INDEX(GRAFO!$L$2:'GRAFO'!$L$41,MATCH(I60,GRAFO!$L$2:'GRAFO'!$L$41,0),1)&lt;&gt;0,1,0)</f>
        <v>1</v>
      </c>
      <c r="M60" s="3">
        <f t="shared" si="8"/>
        <v>1</v>
      </c>
      <c r="O60" s="10" t="str">
        <f t="shared" si="2"/>
        <v>politico-rdfs:seeAlso-objetivos_politicos</v>
      </c>
      <c r="P60" s="10"/>
      <c r="Q60" s="10"/>
      <c r="R60" s="10"/>
      <c r="S60" s="10"/>
      <c r="T60" s="10" t="e">
        <f>IF(INDEX(GRAFO!$M$2:'GRAFO'!$M$41,MATCH(O60,GRAFO!$M$2:'GRAFO'!$M$41,0),1)&lt;&gt;0,1,0)</f>
        <v>#N/A</v>
      </c>
      <c r="U60" s="10">
        <f t="shared" si="9"/>
        <v>0</v>
      </c>
    </row>
    <row r="61" spans="1:21">
      <c r="C61" s="9" t="str">
        <f t="shared" si="3"/>
        <v>OK</v>
      </c>
      <c r="D61" s="10" t="str">
        <f t="shared" si="4"/>
        <v>operacao_conjunta</v>
      </c>
      <c r="E61" s="10" t="str">
        <f t="shared" si="5"/>
        <v>rdfs:seeAlso</v>
      </c>
      <c r="F61" s="10" t="str">
        <f t="shared" si="6"/>
        <v>nivel_op</v>
      </c>
      <c r="G61" s="3" t="str">
        <f t="shared" si="7"/>
        <v>NOK</v>
      </c>
      <c r="I61" s="10" t="str">
        <f t="shared" si="1"/>
        <v>operacao_conjunta-nivel_op</v>
      </c>
      <c r="J61" s="10"/>
      <c r="K61" s="10"/>
      <c r="L61" s="3" t="e">
        <f>IF(INDEX(GRAFO!$L$2:'GRAFO'!$L$41,MATCH(I61,GRAFO!$L$2:'GRAFO'!$L$41,0),1)&lt;&gt;0,1,0)</f>
        <v>#N/A</v>
      </c>
      <c r="M61" s="3">
        <f t="shared" si="8"/>
        <v>0</v>
      </c>
      <c r="O61" s="10" t="str">
        <f t="shared" si="2"/>
        <v>operacao_conjunta-rdfs:seeAlso-nivel_op</v>
      </c>
      <c r="P61" s="10"/>
      <c r="Q61" s="10"/>
      <c r="R61" s="10"/>
      <c r="S61" s="10"/>
      <c r="T61" s="10" t="e">
        <f>IF(INDEX(GRAFO!$M$2:'GRAFO'!$M$41,MATCH(O61,GRAFO!$M$2:'GRAFO'!$M$41,0),1)&lt;&gt;0,1,0)</f>
        <v>#N/A</v>
      </c>
      <c r="U61" s="10">
        <f t="shared" si="9"/>
        <v>0</v>
      </c>
    </row>
    <row r="62" spans="1:21">
      <c r="C62" s="9" t="str">
        <f t="shared" si="3"/>
        <v>OK</v>
      </c>
      <c r="D62" s="10" t="str">
        <f t="shared" si="4"/>
        <v>tatico</v>
      </c>
      <c r="E62" s="10" t="str">
        <f t="shared" si="5"/>
        <v>rdfs:seeAlso</v>
      </c>
      <c r="F62" s="10" t="str">
        <f t="shared" si="6"/>
        <v>ordens</v>
      </c>
      <c r="G62" s="3" t="str">
        <f t="shared" si="7"/>
        <v>NOK</v>
      </c>
      <c r="I62" s="10" t="str">
        <f t="shared" si="1"/>
        <v>tatico-ordens</v>
      </c>
      <c r="J62" s="10"/>
      <c r="K62" s="10"/>
      <c r="L62" s="3" t="e">
        <f>IF(INDEX(GRAFO!$L$2:'GRAFO'!$L$41,MATCH(I62,GRAFO!$L$2:'GRAFO'!$L$41,0),1)&lt;&gt;0,1,0)</f>
        <v>#N/A</v>
      </c>
      <c r="M62" s="3">
        <f t="shared" si="8"/>
        <v>0</v>
      </c>
      <c r="O62" s="10" t="str">
        <f t="shared" si="2"/>
        <v>tatico-rdfs:seeAlso-ordens</v>
      </c>
      <c r="P62" s="10"/>
      <c r="Q62" s="10"/>
      <c r="R62" s="10"/>
      <c r="S62" s="10"/>
      <c r="T62" s="10" t="e">
        <f>IF(INDEX(GRAFO!$M$2:'GRAFO'!$M$41,MATCH(O62,GRAFO!$M$2:'GRAFO'!$M$41,0),1)&lt;&gt;0,1,0)</f>
        <v>#N/A</v>
      </c>
      <c r="U62" s="10">
        <f t="shared" si="9"/>
        <v>0</v>
      </c>
    </row>
    <row r="63" spans="1:21">
      <c r="C63" s="9"/>
      <c r="D63" s="10" t="str">
        <f t="shared" si="4"/>
        <v>forcas_armadas</v>
      </c>
      <c r="E63" s="10" t="str">
        <f t="shared" si="5"/>
        <v>rdf:Bag</v>
      </c>
      <c r="F63" s="10" t="str">
        <f t="shared" si="6"/>
        <v>forca_componente</v>
      </c>
      <c r="G63" s="3" t="str">
        <f t="shared" si="7"/>
        <v>OK</v>
      </c>
      <c r="I63" s="10" t="str">
        <f t="shared" si="1"/>
        <v>forcas_armadas-forca_componente</v>
      </c>
      <c r="J63" s="10"/>
      <c r="K63" s="10"/>
      <c r="L63" s="3"/>
      <c r="M63" s="3"/>
      <c r="O63" s="10" t="str">
        <f t="shared" si="2"/>
        <v>forcas_armadas-rdf:Bag-forca_componente</v>
      </c>
      <c r="P63" s="10"/>
      <c r="Q63" s="10"/>
      <c r="R63" s="10"/>
      <c r="S63" s="10"/>
      <c r="T63" s="10" t="e">
        <f>IF(INDEX(GRAFO!$M$2:'GRAFO'!$M$41,MATCH(O63,GRAFO!$M$2:'GRAFO'!$M$41,0),1)&lt;&gt;0,1,0)</f>
        <v>#N/A</v>
      </c>
      <c r="U63" s="10">
        <f t="shared" ref="U63" si="10">IFERROR(T63,0)</f>
        <v>0</v>
      </c>
    </row>
    <row r="64" spans="1:21">
      <c r="D64" s="10"/>
      <c r="E64" s="10"/>
      <c r="F64" s="10"/>
      <c r="G64" s="3"/>
      <c r="I64" s="10"/>
      <c r="J64" s="10"/>
      <c r="K64" s="10"/>
      <c r="L64" s="3"/>
      <c r="M64" s="3"/>
      <c r="O64" s="10"/>
      <c r="P64" s="10"/>
      <c r="Q64" s="10"/>
      <c r="R64" s="10"/>
      <c r="S64" s="10"/>
      <c r="T64" s="10"/>
      <c r="U64" s="10"/>
    </row>
    <row r="65" spans="4:21">
      <c r="D65" s="10"/>
      <c r="E65" s="10"/>
      <c r="F65" s="10"/>
      <c r="G65" s="3"/>
      <c r="I65" s="10"/>
      <c r="J65" s="10"/>
      <c r="K65" s="10"/>
      <c r="L65" s="3"/>
      <c r="M65" s="3"/>
      <c r="O65" s="10"/>
      <c r="P65" s="10"/>
      <c r="Q65" s="10"/>
      <c r="R65" s="10"/>
      <c r="S65" s="10"/>
      <c r="T65" s="10"/>
      <c r="U65" s="10"/>
    </row>
    <row r="66" spans="4:21">
      <c r="D66" s="10"/>
      <c r="E66" s="10"/>
      <c r="F66" s="10"/>
      <c r="G66" s="3"/>
      <c r="I66" s="10"/>
      <c r="J66" s="10"/>
      <c r="K66" s="10"/>
      <c r="L66" s="3"/>
      <c r="M66" s="3"/>
      <c r="O66" s="10"/>
      <c r="P66" s="10"/>
      <c r="Q66" s="10"/>
      <c r="R66" s="10"/>
      <c r="S66" s="10"/>
      <c r="T66" s="10"/>
      <c r="U66" s="10"/>
    </row>
    <row r="67" spans="4:21">
      <c r="D67" s="10"/>
      <c r="E67" s="10"/>
      <c r="F67" s="10"/>
      <c r="G67" s="3"/>
      <c r="I67" s="10"/>
      <c r="J67" s="10"/>
      <c r="K67" s="10"/>
      <c r="L67" s="3"/>
      <c r="M67" s="3"/>
      <c r="O67" s="10"/>
      <c r="P67" s="10"/>
      <c r="Q67" s="10"/>
      <c r="R67" s="10"/>
      <c r="S67" s="10"/>
      <c r="T67" s="10"/>
      <c r="U67" s="10"/>
    </row>
    <row r="68" spans="4:21">
      <c r="D68" s="10"/>
      <c r="E68" s="10"/>
      <c r="F68" s="10"/>
      <c r="G68" s="3"/>
      <c r="I68" s="10"/>
      <c r="J68" s="10"/>
      <c r="K68" s="10"/>
      <c r="L68" s="3"/>
      <c r="M68" s="3"/>
      <c r="O68" s="10"/>
      <c r="P68" s="10"/>
      <c r="Q68" s="10"/>
      <c r="R68" s="10"/>
      <c r="S68" s="10"/>
      <c r="T68" s="10"/>
      <c r="U68" s="10"/>
    </row>
    <row r="69" spans="4:21">
      <c r="D69" s="10"/>
      <c r="E69" s="10"/>
      <c r="F69" s="10"/>
      <c r="G69" s="3"/>
      <c r="I69" s="10"/>
      <c r="J69" s="10"/>
      <c r="K69" s="10"/>
      <c r="L69" s="3"/>
      <c r="M69" s="3"/>
      <c r="O69" s="10"/>
      <c r="P69" s="10"/>
      <c r="Q69" s="10"/>
      <c r="R69" s="10"/>
      <c r="S69" s="10"/>
      <c r="T69" s="10"/>
      <c r="U69" s="10"/>
    </row>
    <row r="70" spans="4:21">
      <c r="D70" s="10"/>
      <c r="E70" s="10"/>
      <c r="F70" s="10"/>
      <c r="G70" s="3"/>
      <c r="I70" s="10"/>
      <c r="J70" s="10"/>
      <c r="K70" s="10"/>
      <c r="L70" s="3"/>
      <c r="M70" s="3"/>
      <c r="O70" s="10"/>
      <c r="P70" s="10"/>
      <c r="Q70" s="10"/>
      <c r="R70" s="10"/>
      <c r="S70" s="10"/>
      <c r="T70" s="10"/>
      <c r="U70" s="10"/>
    </row>
    <row r="71" spans="4:21">
      <c r="D71" s="10"/>
      <c r="E71" s="10"/>
      <c r="F71" s="10"/>
      <c r="G71" s="3"/>
      <c r="I71" s="10"/>
      <c r="J71" s="10"/>
      <c r="K71" s="10"/>
      <c r="L71" s="3"/>
      <c r="M71" s="3"/>
      <c r="O71" s="10"/>
      <c r="P71" s="10"/>
      <c r="Q71" s="10"/>
      <c r="R71" s="10"/>
      <c r="S71" s="10"/>
      <c r="T71" s="10"/>
      <c r="U71" s="10"/>
    </row>
    <row r="72" spans="4:21">
      <c r="D72" s="10"/>
      <c r="E72" s="10"/>
      <c r="F72" s="10"/>
      <c r="G72" s="3"/>
      <c r="I72" s="10"/>
      <c r="J72" s="10"/>
      <c r="K72" s="10"/>
      <c r="L72" s="3"/>
      <c r="M72" s="3"/>
      <c r="O72" s="10"/>
      <c r="P72" s="10"/>
      <c r="Q72" s="10"/>
      <c r="R72" s="10"/>
      <c r="S72" s="10"/>
      <c r="T72" s="10"/>
      <c r="U72" s="10"/>
    </row>
    <row r="73" spans="4:21">
      <c r="D73" s="10"/>
      <c r="E73" s="10"/>
      <c r="F73" s="10"/>
      <c r="G73" s="3"/>
      <c r="I73" s="10"/>
      <c r="J73" s="10"/>
      <c r="K73" s="10"/>
      <c r="L73" s="3"/>
      <c r="M73" s="3"/>
      <c r="O73" s="10"/>
      <c r="P73" s="10"/>
      <c r="Q73" s="10"/>
      <c r="R73" s="10"/>
      <c r="S73" s="10"/>
      <c r="T73" s="10"/>
      <c r="U73" s="10"/>
    </row>
  </sheetData>
  <mergeCells count="10">
    <mergeCell ref="I39:K39"/>
    <mergeCell ref="L39:M39"/>
    <mergeCell ref="O39:S39"/>
    <mergeCell ref="T39:U39"/>
    <mergeCell ref="A1:B1"/>
    <mergeCell ref="D1:F1"/>
    <mergeCell ref="K4:K5"/>
    <mergeCell ref="D38:G38"/>
    <mergeCell ref="I38:M38"/>
    <mergeCell ref="O38:U38"/>
  </mergeCells>
  <dataValidations count="10">
    <dataValidation type="list" allowBlank="1" showInputMessage="1" showErrorMessage="1" sqref="E18:E36">
      <formula1>$A$40:$A$54</formula1>
    </dataValidation>
    <dataValidation type="list" allowBlank="1" showInputMessage="1" showErrorMessage="1" sqref="F38:G38">
      <formula1>$A$3:$A$27</formula1>
    </dataValidation>
    <dataValidation type="list" allowBlank="1" showInputMessage="1" showErrorMessage="1" sqref="C3:C37 B33:B37 B4:B19">
      <formula1>$Y$3:$Y$39</formula1>
    </dataValidation>
    <dataValidation type="list" allowBlank="1" showInputMessage="1" showErrorMessage="1" sqref="H3:H44 G3:G37 D3:D9 F3:F9 D13 F17 D23 F24 D25:D26">
      <formula1>$A$3:$A$22</formula1>
    </dataValidation>
    <dataValidation type="list" allowBlank="1" showInputMessage="1" showErrorMessage="1" sqref="B40:B56">
      <formula1>$AE$2:$AE$12</formula1>
    </dataValidation>
    <dataValidation type="list" allowBlank="1" showInputMessage="1" showErrorMessage="1" sqref="F37 D37">
      <formula1>$A$3:$A$28</formula1>
    </dataValidation>
    <dataValidation type="list" allowBlank="1" showInputMessage="1" showErrorMessage="1" sqref="E37">
      <formula1>$A$40:$A$48</formula1>
    </dataValidation>
    <dataValidation type="list" allowBlank="1" showInputMessage="1" showErrorMessage="1" sqref="B3 B20:B32">
      <formula1>$Y$3:$Y$31</formula1>
    </dataValidation>
    <dataValidation type="list" allowBlank="1" showInputMessage="1" showErrorMessage="1" sqref="F25:F36 D10:D12 F10:F16 D14:D22 F18:F23 D24 D27:D36">
      <formula1>$A$3:$A$23</formula1>
    </dataValidation>
    <dataValidation type="list" allowBlank="1" showInputMessage="1" showErrorMessage="1" sqref="E3:E17">
      <formula1>$A$40:$A$53</formula1>
    </dataValidation>
  </dataValidation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73"/>
  <sheetViews>
    <sheetView topLeftCell="O1" zoomScale="130" zoomScaleNormal="130" workbookViewId="0">
      <selection activeCell="X4" sqref="X4:X7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9" t="s">
        <v>184</v>
      </c>
      <c r="AD2" s="9" t="s">
        <v>195</v>
      </c>
      <c r="AE2" s="9" t="s">
        <v>35</v>
      </c>
    </row>
    <row r="3" spans="1:31" ht="16.75">
      <c r="A3" s="46" t="s">
        <v>309</v>
      </c>
      <c r="B3" s="10"/>
      <c r="D3" s="10" t="s">
        <v>8</v>
      </c>
      <c r="E3" s="10" t="s">
        <v>101</v>
      </c>
      <c r="F3" s="10" t="s">
        <v>309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s="16" t="s">
        <v>33</v>
      </c>
      <c r="AC3" s="9" t="s">
        <v>185</v>
      </c>
      <c r="AD3" s="9" t="s">
        <v>196</v>
      </c>
      <c r="AE3" s="9" t="s">
        <v>4</v>
      </c>
    </row>
    <row r="4" spans="1:31" ht="16.75">
      <c r="A4" s="46" t="s">
        <v>8</v>
      </c>
      <c r="B4" s="10" t="s">
        <v>8</v>
      </c>
      <c r="D4" s="10" t="s">
        <v>10</v>
      </c>
      <c r="E4" s="10" t="s">
        <v>101</v>
      </c>
      <c r="F4" s="10" t="s">
        <v>309</v>
      </c>
      <c r="K4" s="85" t="s">
        <v>80</v>
      </c>
      <c r="L4" s="8" t="s">
        <v>0</v>
      </c>
      <c r="M4" s="4">
        <f>GRAFO!J2</f>
        <v>29</v>
      </c>
      <c r="N4" s="11">
        <f>COUNTA(A3:A27)</f>
        <v>25</v>
      </c>
      <c r="O4" s="11">
        <f>COUNTIF(B3:B27,"&lt;&gt;"&amp;"")</f>
        <v>11</v>
      </c>
      <c r="P4" s="2">
        <f>N4-R4</f>
        <v>11</v>
      </c>
      <c r="Q4" s="2">
        <f>M4-O4</f>
        <v>18</v>
      </c>
      <c r="R4" s="2">
        <f>N4-O4</f>
        <v>14</v>
      </c>
      <c r="S4" s="2">
        <f>O4+P4</f>
        <v>22</v>
      </c>
      <c r="T4" s="2">
        <f>Q4+R4</f>
        <v>32</v>
      </c>
      <c r="U4" s="6">
        <f>O4/(O4+R4)</f>
        <v>0.44</v>
      </c>
      <c r="V4" s="6">
        <f>O4/(O4+Q4)</f>
        <v>0.37931034482758619</v>
      </c>
      <c r="W4" s="6">
        <f>(O4+P4)/(O4+P4+Q4+R4)</f>
        <v>0.40740740740740738</v>
      </c>
      <c r="X4" s="62">
        <f>AVERAGE(U4:W4)</f>
        <v>0.40890591741166454</v>
      </c>
      <c r="Y4" s="16" t="s">
        <v>21</v>
      </c>
      <c r="AC4" s="9" t="s">
        <v>186</v>
      </c>
      <c r="AD4" s="9" t="s">
        <v>197</v>
      </c>
      <c r="AE4" s="9" t="s">
        <v>205</v>
      </c>
    </row>
    <row r="5" spans="1:31" ht="16.75">
      <c r="A5" s="46" t="s">
        <v>10</v>
      </c>
      <c r="B5" s="10" t="s">
        <v>10</v>
      </c>
      <c r="D5" s="10" t="s">
        <v>12</v>
      </c>
      <c r="E5" s="10" t="s">
        <v>101</v>
      </c>
      <c r="F5" s="10" t="s">
        <v>309</v>
      </c>
      <c r="K5" s="85"/>
      <c r="L5" s="8" t="s">
        <v>100</v>
      </c>
      <c r="M5" s="5">
        <f>GRAFO!J3</f>
        <v>41</v>
      </c>
      <c r="N5" s="12">
        <f>COUNTA(D40:D70)</f>
        <v>31</v>
      </c>
      <c r="O5" s="12">
        <f>COUNTIF(M40:M70,"=1")</f>
        <v>3</v>
      </c>
      <c r="P5" s="2">
        <f>N5-R5</f>
        <v>3</v>
      </c>
      <c r="Q5" s="2">
        <f>M5-O5</f>
        <v>38</v>
      </c>
      <c r="R5" s="2">
        <f>N5-O5</f>
        <v>28</v>
      </c>
      <c r="S5" s="2">
        <f>O5+P5</f>
        <v>6</v>
      </c>
      <c r="T5" s="2">
        <f>Q5+R5</f>
        <v>66</v>
      </c>
      <c r="U5" s="6">
        <f>O5/(O5+R5)</f>
        <v>9.6774193548387094E-2</v>
      </c>
      <c r="V5" s="6">
        <f>O5/(O5+Q5)</f>
        <v>7.3170731707317069E-2</v>
      </c>
      <c r="W5" s="6">
        <f>(O5+P5)/(O5+P5+Q5+R5)</f>
        <v>8.3333333333333329E-2</v>
      </c>
      <c r="X5" s="62">
        <f t="shared" ref="X5:X6" si="0">AVERAGE(U5:W5)</f>
        <v>8.4426086196345826E-2</v>
      </c>
      <c r="Y5" s="16" t="s">
        <v>17</v>
      </c>
      <c r="AC5" s="9" t="s">
        <v>187</v>
      </c>
      <c r="AD5" s="9" t="s">
        <v>198</v>
      </c>
      <c r="AE5" s="9" t="s">
        <v>3</v>
      </c>
    </row>
    <row r="6" spans="1:31" ht="16.75">
      <c r="A6" s="46" t="s">
        <v>12</v>
      </c>
      <c r="B6" s="10" t="s">
        <v>12</v>
      </c>
      <c r="D6" s="10" t="s">
        <v>11</v>
      </c>
      <c r="E6" s="10" t="s">
        <v>101</v>
      </c>
      <c r="F6" s="10" t="s">
        <v>309</v>
      </c>
      <c r="L6" s="8" t="s">
        <v>99</v>
      </c>
      <c r="M6" s="5">
        <v>41</v>
      </c>
      <c r="N6" s="12">
        <f>COUNTA(D40:D70)</f>
        <v>31</v>
      </c>
      <c r="O6" s="12">
        <f>COUNTIF(U40:U70,"=1")</f>
        <v>3</v>
      </c>
      <c r="P6" s="2">
        <f>N6-R6</f>
        <v>3</v>
      </c>
      <c r="Q6" s="2">
        <f>M6-O6</f>
        <v>38</v>
      </c>
      <c r="R6" s="2">
        <f>N6-O6</f>
        <v>28</v>
      </c>
      <c r="S6" s="2">
        <f>O6+P6</f>
        <v>6</v>
      </c>
      <c r="T6" s="2">
        <f>Q6+R6</f>
        <v>66</v>
      </c>
      <c r="U6" s="6">
        <f>O6/(O6+R6)</f>
        <v>9.6774193548387094E-2</v>
      </c>
      <c r="V6" s="6">
        <f>O6/(O6+Q6)</f>
        <v>7.3170731707317069E-2</v>
      </c>
      <c r="W6" s="6">
        <f>(O6+P6)/(O6+P6+Q6+R6)</f>
        <v>8.3333333333333329E-2</v>
      </c>
      <c r="X6" s="62">
        <f t="shared" si="0"/>
        <v>8.4426086196345826E-2</v>
      </c>
      <c r="Y6" s="16" t="s">
        <v>40</v>
      </c>
      <c r="AC6" s="9" t="s">
        <v>188</v>
      </c>
      <c r="AD6" s="9" t="s">
        <v>199</v>
      </c>
      <c r="AE6" s="9" t="s">
        <v>6</v>
      </c>
    </row>
    <row r="7" spans="1:31" ht="16.75">
      <c r="A7" s="46" t="s">
        <v>11</v>
      </c>
      <c r="B7" s="10" t="s">
        <v>11</v>
      </c>
      <c r="D7" s="10" t="s">
        <v>310</v>
      </c>
      <c r="E7" s="10" t="s">
        <v>314</v>
      </c>
      <c r="F7" s="10" t="s">
        <v>123</v>
      </c>
      <c r="X7" s="62">
        <f>AVERAGE(X4:X6)</f>
        <v>0.19258602993478538</v>
      </c>
      <c r="Y7" s="16" t="s">
        <v>13</v>
      </c>
      <c r="AC7" s="9" t="s">
        <v>189</v>
      </c>
      <c r="AD7" s="9" t="s">
        <v>200</v>
      </c>
      <c r="AE7" s="9" t="s">
        <v>206</v>
      </c>
    </row>
    <row r="8" spans="1:31" ht="16.75">
      <c r="A8" s="46" t="s">
        <v>233</v>
      </c>
      <c r="B8" s="10" t="s">
        <v>40</v>
      </c>
      <c r="D8" s="10" t="s">
        <v>233</v>
      </c>
      <c r="E8" s="10" t="s">
        <v>315</v>
      </c>
      <c r="F8" s="10" t="s">
        <v>8</v>
      </c>
      <c r="Y8" s="16" t="s">
        <v>39</v>
      </c>
      <c r="AC8" s="9" t="s">
        <v>190</v>
      </c>
      <c r="AD8" s="9" t="s">
        <v>148</v>
      </c>
      <c r="AE8" s="9" t="s">
        <v>36</v>
      </c>
    </row>
    <row r="9" spans="1:31" ht="16.75">
      <c r="A9" s="46" t="s">
        <v>310</v>
      </c>
      <c r="B9" s="10"/>
      <c r="D9" s="10" t="s">
        <v>233</v>
      </c>
      <c r="E9" s="10" t="s">
        <v>277</v>
      </c>
      <c r="F9" s="10" t="s">
        <v>310</v>
      </c>
      <c r="K9" t="s">
        <v>74</v>
      </c>
      <c r="L9" t="s">
        <v>75</v>
      </c>
      <c r="N9">
        <f>GRAFO!J2</f>
        <v>29</v>
      </c>
      <c r="Y9" s="16" t="s">
        <v>19</v>
      </c>
      <c r="AC9" s="9" t="s">
        <v>191</v>
      </c>
      <c r="AD9" s="9" t="s">
        <v>201</v>
      </c>
      <c r="AE9" s="9" t="s">
        <v>7</v>
      </c>
    </row>
    <row r="10" spans="1:31" ht="16.75">
      <c r="A10" s="46" t="s">
        <v>123</v>
      </c>
      <c r="B10" s="10"/>
      <c r="D10" s="10" t="s">
        <v>10</v>
      </c>
      <c r="E10" s="10" t="s">
        <v>142</v>
      </c>
      <c r="F10" s="10" t="s">
        <v>153</v>
      </c>
      <c r="K10" t="s">
        <v>80</v>
      </c>
      <c r="L10" t="s">
        <v>76</v>
      </c>
      <c r="N10">
        <f>N4</f>
        <v>25</v>
      </c>
      <c r="Y10" s="16" t="s">
        <v>37</v>
      </c>
      <c r="AC10" s="9" t="s">
        <v>192</v>
      </c>
      <c r="AD10" s="9" t="s">
        <v>202</v>
      </c>
      <c r="AE10" s="9" t="s">
        <v>207</v>
      </c>
    </row>
    <row r="11" spans="1:31" ht="16.75">
      <c r="A11" s="46" t="s">
        <v>124</v>
      </c>
      <c r="B11" s="10"/>
      <c r="D11" s="10" t="s">
        <v>233</v>
      </c>
      <c r="E11" s="10" t="s">
        <v>142</v>
      </c>
      <c r="F11" s="10" t="s">
        <v>312</v>
      </c>
      <c r="K11" t="s">
        <v>68</v>
      </c>
      <c r="L11" t="s">
        <v>77</v>
      </c>
      <c r="N11">
        <v>16</v>
      </c>
      <c r="Y11" s="16" t="s">
        <v>10</v>
      </c>
      <c r="AC11" s="9" t="s">
        <v>193</v>
      </c>
      <c r="AD11" s="9" t="s">
        <v>203</v>
      </c>
      <c r="AE11" s="9" t="s">
        <v>208</v>
      </c>
    </row>
    <row r="12" spans="1:31" ht="16.75">
      <c r="A12" s="46" t="s">
        <v>66</v>
      </c>
      <c r="B12" s="10" t="s">
        <v>22</v>
      </c>
      <c r="D12" s="10" t="s">
        <v>11</v>
      </c>
      <c r="E12" s="10" t="s">
        <v>142</v>
      </c>
      <c r="F12" s="10" t="s">
        <v>11</v>
      </c>
      <c r="K12" t="s">
        <v>70</v>
      </c>
      <c r="L12" t="s">
        <v>78</v>
      </c>
      <c r="M12" t="s">
        <v>86</v>
      </c>
      <c r="N12">
        <f>N9-N11</f>
        <v>13</v>
      </c>
      <c r="Y12" s="16" t="s">
        <v>14</v>
      </c>
      <c r="AC12" s="9" t="s">
        <v>194</v>
      </c>
      <c r="AD12" s="9" t="s">
        <v>204</v>
      </c>
      <c r="AE12" s="9" t="s">
        <v>5</v>
      </c>
    </row>
    <row r="13" spans="1:31" ht="16.75">
      <c r="A13" s="46" t="s">
        <v>238</v>
      </c>
      <c r="B13" s="10" t="s">
        <v>13</v>
      </c>
      <c r="D13" s="10" t="s">
        <v>312</v>
      </c>
      <c r="E13" s="10" t="s">
        <v>146</v>
      </c>
      <c r="F13" s="10" t="s">
        <v>155</v>
      </c>
      <c r="K13" t="s">
        <v>69</v>
      </c>
      <c r="L13" t="s">
        <v>79</v>
      </c>
      <c r="M13" t="s">
        <v>87</v>
      </c>
      <c r="Y13" s="16" t="s">
        <v>34</v>
      </c>
    </row>
    <row r="14" spans="1:31" ht="16.75">
      <c r="A14" s="46" t="s">
        <v>59</v>
      </c>
      <c r="B14" s="10"/>
      <c r="D14" s="10" t="s">
        <v>238</v>
      </c>
      <c r="E14" s="10" t="s">
        <v>280</v>
      </c>
      <c r="F14" s="10" t="s">
        <v>155</v>
      </c>
      <c r="K14" t="s">
        <v>83</v>
      </c>
      <c r="M14" t="s">
        <v>88</v>
      </c>
      <c r="Y14" s="16" t="s">
        <v>27</v>
      </c>
    </row>
    <row r="15" spans="1:31" ht="16.75">
      <c r="A15" s="46" t="s">
        <v>62</v>
      </c>
      <c r="B15" s="10"/>
      <c r="D15" s="10" t="s">
        <v>155</v>
      </c>
      <c r="E15" s="10" t="s">
        <v>141</v>
      </c>
      <c r="F15" s="10" t="s">
        <v>62</v>
      </c>
      <c r="K15" t="s">
        <v>89</v>
      </c>
      <c r="M15" t="s">
        <v>92</v>
      </c>
      <c r="Y15" s="16" t="s">
        <v>28</v>
      </c>
    </row>
    <row r="16" spans="1:31" ht="16.75">
      <c r="A16" s="46" t="s">
        <v>292</v>
      </c>
      <c r="B16" s="10"/>
      <c r="D16" s="10" t="s">
        <v>62</v>
      </c>
      <c r="E16" s="10" t="s">
        <v>316</v>
      </c>
      <c r="F16" s="10" t="s">
        <v>313</v>
      </c>
      <c r="K16" t="s">
        <v>90</v>
      </c>
      <c r="M16" t="s">
        <v>93</v>
      </c>
      <c r="Y16" s="16" t="s">
        <v>30</v>
      </c>
    </row>
    <row r="17" spans="1:25" ht="16.75">
      <c r="A17" s="46" t="s">
        <v>311</v>
      </c>
      <c r="B17" s="10"/>
      <c r="D17" s="10" t="s">
        <v>62</v>
      </c>
      <c r="E17" s="10" t="s">
        <v>316</v>
      </c>
      <c r="F17" s="10" t="s">
        <v>292</v>
      </c>
      <c r="K17" t="s">
        <v>91</v>
      </c>
      <c r="M17" t="s">
        <v>94</v>
      </c>
      <c r="Y17" s="16" t="s">
        <v>29</v>
      </c>
    </row>
    <row r="18" spans="1:25" ht="16.75">
      <c r="A18" s="10" t="s">
        <v>46</v>
      </c>
      <c r="B18" s="10"/>
      <c r="D18" s="10" t="s">
        <v>59</v>
      </c>
      <c r="E18" s="10" t="s">
        <v>243</v>
      </c>
      <c r="F18" s="10" t="s">
        <v>66</v>
      </c>
      <c r="K18" t="s">
        <v>84</v>
      </c>
      <c r="M18" t="s">
        <v>95</v>
      </c>
      <c r="Y18" s="16" t="s">
        <v>31</v>
      </c>
    </row>
    <row r="19" spans="1:25" ht="16.75">
      <c r="A19" s="46" t="s">
        <v>55</v>
      </c>
      <c r="B19" s="10" t="s">
        <v>32</v>
      </c>
      <c r="D19" s="10" t="s">
        <v>66</v>
      </c>
      <c r="E19" s="10" t="s">
        <v>245</v>
      </c>
      <c r="F19" s="10" t="s">
        <v>54</v>
      </c>
      <c r="K19" t="s">
        <v>85</v>
      </c>
      <c r="M19" t="s">
        <v>96</v>
      </c>
      <c r="Y19" s="16" t="s">
        <v>171</v>
      </c>
    </row>
    <row r="20" spans="1:25" ht="16.75">
      <c r="A20" s="46" t="s">
        <v>56</v>
      </c>
      <c r="B20" s="10" t="s">
        <v>34</v>
      </c>
      <c r="D20" s="10" t="s">
        <v>56</v>
      </c>
      <c r="E20" s="10" t="s">
        <v>101</v>
      </c>
      <c r="F20" s="10" t="s">
        <v>54</v>
      </c>
      <c r="K20" t="s">
        <v>97</v>
      </c>
      <c r="M20" t="s">
        <v>98</v>
      </c>
      <c r="Y20" s="16" t="s">
        <v>15</v>
      </c>
    </row>
    <row r="21" spans="1:25" ht="16.75">
      <c r="A21" s="46" t="s">
        <v>57</v>
      </c>
      <c r="B21" s="10" t="s">
        <v>33</v>
      </c>
      <c r="D21" s="10" t="s">
        <v>55</v>
      </c>
      <c r="E21" s="10" t="s">
        <v>101</v>
      </c>
      <c r="F21" s="10" t="s">
        <v>54</v>
      </c>
      <c r="Y21" s="16" t="s">
        <v>16</v>
      </c>
    </row>
    <row r="22" spans="1:25" ht="16.75">
      <c r="A22" s="46" t="s">
        <v>54</v>
      </c>
      <c r="B22" s="10" t="s">
        <v>31</v>
      </c>
      <c r="D22" s="10" t="s">
        <v>57</v>
      </c>
      <c r="E22" s="10" t="s">
        <v>101</v>
      </c>
      <c r="F22" s="10" t="s">
        <v>54</v>
      </c>
      <c r="Y22" s="16" t="s">
        <v>32</v>
      </c>
    </row>
    <row r="23" spans="1:25" ht="16.75">
      <c r="A23" s="10" t="s">
        <v>312</v>
      </c>
      <c r="B23" s="10"/>
      <c r="D23" s="10" t="s">
        <v>54</v>
      </c>
      <c r="E23" s="10" t="s">
        <v>318</v>
      </c>
      <c r="F23" s="10" t="s">
        <v>54</v>
      </c>
      <c r="Y23" s="16" t="s">
        <v>9</v>
      </c>
    </row>
    <row r="24" spans="1:25" ht="16.75">
      <c r="A24" s="10" t="s">
        <v>153</v>
      </c>
      <c r="B24" s="10"/>
      <c r="D24" s="10" t="s">
        <v>66</v>
      </c>
      <c r="E24" s="10" t="s">
        <v>143</v>
      </c>
      <c r="F24" s="10" t="s">
        <v>46</v>
      </c>
      <c r="Y24" s="16" t="s">
        <v>18</v>
      </c>
    </row>
    <row r="25" spans="1:25" ht="16.75">
      <c r="A25" s="10" t="s">
        <v>154</v>
      </c>
      <c r="B25" s="10"/>
      <c r="D25" s="10" t="s">
        <v>312</v>
      </c>
      <c r="E25" s="10" t="s">
        <v>101</v>
      </c>
      <c r="F25" s="10" t="s">
        <v>46</v>
      </c>
      <c r="Y25" s="16" t="s">
        <v>23</v>
      </c>
    </row>
    <row r="26" spans="1:25" ht="16.75">
      <c r="A26" s="10" t="s">
        <v>155</v>
      </c>
      <c r="B26" s="10"/>
      <c r="D26" s="10" t="s">
        <v>153</v>
      </c>
      <c r="E26" s="10" t="s">
        <v>101</v>
      </c>
      <c r="F26" s="10" t="s">
        <v>46</v>
      </c>
      <c r="Y26" s="16" t="s">
        <v>22</v>
      </c>
    </row>
    <row r="27" spans="1:25" ht="16.75">
      <c r="A27" s="10" t="s">
        <v>313</v>
      </c>
      <c r="B27" s="10"/>
      <c r="D27" s="10" t="s">
        <v>155</v>
      </c>
      <c r="E27" s="10" t="s">
        <v>101</v>
      </c>
      <c r="F27" s="10" t="s">
        <v>46</v>
      </c>
      <c r="Y27" s="16" t="s">
        <v>12</v>
      </c>
    </row>
    <row r="28" spans="1:25" ht="16.75">
      <c r="A28" s="10"/>
      <c r="B28" s="10"/>
      <c r="D28" s="10" t="s">
        <v>154</v>
      </c>
      <c r="E28" s="10" t="s">
        <v>101</v>
      </c>
      <c r="F28" s="10" t="s">
        <v>46</v>
      </c>
      <c r="Y28" s="16" t="s">
        <v>24</v>
      </c>
    </row>
    <row r="29" spans="1:25" ht="16.75">
      <c r="A29" s="46"/>
      <c r="B29" s="10"/>
      <c r="D29" s="10" t="s">
        <v>153</v>
      </c>
      <c r="E29" s="10" t="s">
        <v>314</v>
      </c>
      <c r="F29" s="10" t="s">
        <v>124</v>
      </c>
      <c r="Y29" s="16" t="s">
        <v>8</v>
      </c>
    </row>
    <row r="30" spans="1:25" ht="16.75">
      <c r="A30" s="10"/>
      <c r="B30" s="10"/>
      <c r="D30" s="10" t="s">
        <v>311</v>
      </c>
      <c r="E30" s="10" t="s">
        <v>242</v>
      </c>
      <c r="F30" s="10" t="s">
        <v>66</v>
      </c>
      <c r="Y30" s="16" t="s">
        <v>20</v>
      </c>
    </row>
    <row r="31" spans="1:25" ht="16.75">
      <c r="A31" s="10"/>
      <c r="B31" s="10"/>
      <c r="D31" s="10" t="s">
        <v>66</v>
      </c>
      <c r="E31" s="10" t="s">
        <v>317</v>
      </c>
      <c r="F31" s="10" t="s">
        <v>309</v>
      </c>
      <c r="Y31" s="16" t="s">
        <v>11</v>
      </c>
    </row>
    <row r="32" spans="1:25">
      <c r="A32" s="10"/>
      <c r="B32" s="10"/>
      <c r="D32" s="10" t="s">
        <v>153</v>
      </c>
      <c r="E32" s="10" t="s">
        <v>145</v>
      </c>
      <c r="F32" s="10" t="s">
        <v>155</v>
      </c>
    </row>
    <row r="33" spans="1:21">
      <c r="A33" s="10"/>
      <c r="B33" s="10"/>
      <c r="D33" s="10" t="s">
        <v>311</v>
      </c>
      <c r="E33" s="10" t="s">
        <v>315</v>
      </c>
      <c r="F33" s="10" t="s">
        <v>12</v>
      </c>
    </row>
    <row r="34" spans="1:21">
      <c r="A34" s="10"/>
      <c r="B34" s="10"/>
      <c r="D34" s="10"/>
      <c r="E34" s="10"/>
      <c r="F34" s="10"/>
    </row>
    <row r="35" spans="1:21">
      <c r="A35" s="10"/>
      <c r="B35" s="10"/>
      <c r="D35" s="10"/>
      <c r="E35" s="10"/>
      <c r="F35" s="10"/>
    </row>
    <row r="36" spans="1:21">
      <c r="A36" s="10"/>
      <c r="B36" s="10"/>
      <c r="D36" s="10"/>
      <c r="E36" s="10"/>
      <c r="F36" s="10"/>
    </row>
    <row r="37" spans="1:21">
      <c r="A37" s="10"/>
      <c r="B37" s="10"/>
    </row>
    <row r="38" spans="1:21">
      <c r="A38" s="30" t="s">
        <v>182</v>
      </c>
      <c r="B38" s="30"/>
      <c r="D38" s="104" t="s">
        <v>222</v>
      </c>
      <c r="E38" s="105"/>
      <c r="F38" s="105"/>
      <c r="G38" s="106"/>
      <c r="I38" s="98" t="s">
        <v>224</v>
      </c>
      <c r="J38" s="99"/>
      <c r="K38" s="99"/>
      <c r="L38" s="99"/>
      <c r="M38" s="100"/>
      <c r="O38" s="94" t="s">
        <v>229</v>
      </c>
      <c r="P38" s="94"/>
      <c r="Q38" s="94"/>
      <c r="R38" s="94"/>
      <c r="S38" s="94"/>
      <c r="T38" s="94"/>
      <c r="U38" s="94"/>
    </row>
    <row r="39" spans="1:21">
      <c r="A39" s="32" t="s">
        <v>251</v>
      </c>
      <c r="B39" s="33" t="s">
        <v>252</v>
      </c>
      <c r="D39" s="34" t="s">
        <v>220</v>
      </c>
      <c r="E39" s="34" t="s">
        <v>219</v>
      </c>
      <c r="F39" s="34" t="s">
        <v>221</v>
      </c>
      <c r="G39" s="34" t="s">
        <v>223</v>
      </c>
      <c r="I39" s="101" t="s">
        <v>225</v>
      </c>
      <c r="J39" s="102"/>
      <c r="K39" s="103"/>
      <c r="L39" s="101" t="s">
        <v>226</v>
      </c>
      <c r="M39" s="103"/>
      <c r="O39" s="95" t="s">
        <v>227</v>
      </c>
      <c r="P39" s="96"/>
      <c r="Q39" s="96"/>
      <c r="R39" s="96"/>
      <c r="S39" s="97"/>
      <c r="T39" s="95" t="s">
        <v>228</v>
      </c>
      <c r="U39" s="97"/>
    </row>
    <row r="40" spans="1:21">
      <c r="A40" s="46" t="s">
        <v>101</v>
      </c>
      <c r="B40" s="10" t="s">
        <v>3</v>
      </c>
      <c r="D40" s="10" t="str">
        <f>IF(INDEX($A$3:$B$27,MATCH(D3,$A$3:$A$27,0),2)&lt;&gt;0,INDEX($A$3:$B$27,MATCH(D3,$A$3:$A$27,0),2),D3)</f>
        <v>politico</v>
      </c>
      <c r="E40" s="10" t="str">
        <f>IF(INDEX($A$40:$B$56,MATCH(E3,$A$40:$A$56,0),2)&lt;&gt;0,INDEX($A$40:$B$56,MATCH(E3,$A$40:$A$56,0),2),E3)</f>
        <v>rdfs:subClassOf</v>
      </c>
      <c r="F40" s="10" t="str">
        <f>IF(INDEX($A$3:$B$27,MATCH(F3,$A$3:$A$27,0),2)&lt;&gt;0,INDEX($A$3:$B$27,MATCH(F3,$A$3:$A$27,0),2),F3)</f>
        <v>objetivo_estrategico</v>
      </c>
      <c r="G40" s="3" t="str">
        <f>IF(INDEX($A$3:$B$27,MATCH(F3,$A$3:$A$27,0),2)&lt;&gt;0,"OK","NOK")</f>
        <v>NOK</v>
      </c>
      <c r="I40" s="10" t="str">
        <f t="shared" ref="I40" si="1">D40 &amp;"-"&amp;F40</f>
        <v>politico-objetivo_estrategico</v>
      </c>
      <c r="J40" s="10"/>
      <c r="K40" s="10"/>
      <c r="L40" s="3" t="e">
        <f>IF(INDEX(GRAFO!$L$2:'GRAFO'!$L$41,MATCH(I40,GRAFO!$L$2:'GRAFO'!$L$41,0),1)&lt;&gt;0,1,0)</f>
        <v>#N/A</v>
      </c>
      <c r="M40" s="3">
        <f>IFERROR(L40,0)</f>
        <v>0</v>
      </c>
      <c r="O40" s="10" t="str">
        <f t="shared" ref="O40:O63" si="2">D40 &amp; "-" &amp; E40 &amp; "-" &amp; F40</f>
        <v>politico-rdfs:subClassOf-objetivo_estrategico</v>
      </c>
      <c r="P40" s="10"/>
      <c r="Q40" s="10"/>
      <c r="R40" s="10"/>
      <c r="S40" s="10"/>
      <c r="T40" s="10" t="e">
        <f>IF(INDEX(GRAFO!$M$2:'GRAFO'!$M$41,MATCH(O40,GRAFO!$M$2:'GRAFO'!$M$41,0),1)&lt;&gt;0,1,0)</f>
        <v>#N/A</v>
      </c>
      <c r="U40" s="10">
        <f>IFERROR(T40,0)</f>
        <v>0</v>
      </c>
    </row>
    <row r="41" spans="1:21">
      <c r="A41" s="46" t="s">
        <v>143</v>
      </c>
      <c r="B41" s="10" t="s">
        <v>4</v>
      </c>
      <c r="D41" s="10" t="str">
        <f t="shared" ref="D41:D70" si="3">IF(INDEX($A$3:$B$27,MATCH(D4,$A$3:$A$27,0),2)&lt;&gt;0,INDEX($A$3:$B$27,MATCH(D4,$A$3:$A$27,0),2),D4)</f>
        <v>estrategico</v>
      </c>
      <c r="E41" s="10" t="str">
        <f t="shared" ref="E41:E70" si="4">IF(INDEX($A$40:$B$56,MATCH(E4,$A$40:$A$56,0),2)&lt;&gt;0,INDEX($A$40:$B$56,MATCH(E4,$A$40:$A$56,0),2),E4)</f>
        <v>rdfs:subClassOf</v>
      </c>
      <c r="F41" s="10" t="str">
        <f t="shared" ref="F41:F70" si="5">IF(INDEX($A$3:$B$27,MATCH(F4,$A$3:$A$27,0),2)&lt;&gt;0,INDEX($A$3:$B$27,MATCH(F4,$A$3:$A$27,0),2),F4)</f>
        <v>objetivo_estrategico</v>
      </c>
      <c r="G41" s="3" t="str">
        <f t="shared" ref="G41:G70" si="6">IF(INDEX($A$3:$B$27,MATCH(F4,$A$3:$A$27,0),2)&lt;&gt;0,"OK","NOK")</f>
        <v>NOK</v>
      </c>
      <c r="I41" s="10" t="str">
        <f t="shared" ref="I41:I70" si="7">D41 &amp;"-"&amp;F41</f>
        <v>estrategico-objetivo_estrategico</v>
      </c>
      <c r="J41" s="10"/>
      <c r="K41" s="10"/>
      <c r="L41" s="3" t="e">
        <f>IF(INDEX(GRAFO!$L$2:'GRAFO'!$L$41,MATCH(I41,GRAFO!$L$2:'GRAFO'!$L$41,0),1)&lt;&gt;0,1,0)</f>
        <v>#N/A</v>
      </c>
      <c r="M41" s="3">
        <f t="shared" ref="M41:M70" si="8">IFERROR(L41,0)</f>
        <v>0</v>
      </c>
      <c r="O41" s="10" t="str">
        <f t="shared" si="2"/>
        <v>estrategico-rdfs:subClassOf-objetivo_estrategico</v>
      </c>
      <c r="P41" s="10"/>
      <c r="Q41" s="10"/>
      <c r="R41" s="10"/>
      <c r="S41" s="10"/>
      <c r="T41" s="10" t="e">
        <f>IF(INDEX(GRAFO!$M$2:'GRAFO'!$M$41,MATCH(O41,GRAFO!$M$2:'GRAFO'!$M$41,0),1)&lt;&gt;0,1,0)</f>
        <v>#N/A</v>
      </c>
      <c r="U41" s="10">
        <f t="shared" ref="U41:U63" si="9">IFERROR(T41,0)</f>
        <v>0</v>
      </c>
    </row>
    <row r="42" spans="1:21">
      <c r="A42" s="46" t="s">
        <v>280</v>
      </c>
      <c r="B42" s="10" t="s">
        <v>7</v>
      </c>
      <c r="D42" s="10" t="str">
        <f t="shared" si="3"/>
        <v>operacional</v>
      </c>
      <c r="E42" s="10" t="str">
        <f t="shared" si="4"/>
        <v>rdfs:subClassOf</v>
      </c>
      <c r="F42" s="10" t="str">
        <f t="shared" si="5"/>
        <v>objetivo_estrategico</v>
      </c>
      <c r="G42" s="3" t="str">
        <f t="shared" si="6"/>
        <v>NOK</v>
      </c>
      <c r="I42" s="10" t="str">
        <f t="shared" si="7"/>
        <v>operacional-objetivo_estrategico</v>
      </c>
      <c r="J42" s="10"/>
      <c r="K42" s="10"/>
      <c r="L42" s="3" t="e">
        <f>IF(INDEX(GRAFO!$L$2:'GRAFO'!$L$41,MATCH(I42,GRAFO!$L$2:'GRAFO'!$L$41,0),1)&lt;&gt;0,1,0)</f>
        <v>#N/A</v>
      </c>
      <c r="M42" s="3">
        <f t="shared" si="8"/>
        <v>0</v>
      </c>
      <c r="O42" s="10" t="str">
        <f t="shared" si="2"/>
        <v>operacional-rdfs:subClassOf-objetivo_estrategico</v>
      </c>
      <c r="P42" s="10"/>
      <c r="Q42" s="10"/>
      <c r="R42" s="10"/>
      <c r="S42" s="10"/>
      <c r="T42" s="10" t="e">
        <f>IF(INDEX(GRAFO!$M$2:'GRAFO'!$M$41,MATCH(O42,GRAFO!$M$2:'GRAFO'!$M$41,0),1)&lt;&gt;0,1,0)</f>
        <v>#N/A</v>
      </c>
      <c r="U42" s="10">
        <f t="shared" si="9"/>
        <v>0</v>
      </c>
    </row>
    <row r="43" spans="1:21">
      <c r="A43" s="46" t="s">
        <v>277</v>
      </c>
      <c r="B43" s="10" t="s">
        <v>7</v>
      </c>
      <c r="D43" s="10" t="str">
        <f t="shared" si="3"/>
        <v>tatico</v>
      </c>
      <c r="E43" s="10" t="str">
        <f t="shared" si="4"/>
        <v>rdfs:subClassOf</v>
      </c>
      <c r="F43" s="10" t="str">
        <f t="shared" si="5"/>
        <v>objetivo_estrategico</v>
      </c>
      <c r="G43" s="3" t="str">
        <f t="shared" si="6"/>
        <v>NOK</v>
      </c>
      <c r="I43" s="10" t="str">
        <f t="shared" si="7"/>
        <v>tatico-objetivo_estrategico</v>
      </c>
      <c r="J43" s="10"/>
      <c r="K43" s="10"/>
      <c r="L43" s="3" t="e">
        <f>IF(INDEX(GRAFO!$L$2:'GRAFO'!$L$41,MATCH(I43,GRAFO!$L$2:'GRAFO'!$L$41,0),1)&lt;&gt;0,1,0)</f>
        <v>#N/A</v>
      </c>
      <c r="M43" s="3">
        <f t="shared" si="8"/>
        <v>0</v>
      </c>
      <c r="O43" s="10" t="str">
        <f t="shared" si="2"/>
        <v>tatico-rdfs:subClassOf-objetivo_estrategico</v>
      </c>
      <c r="P43" s="10"/>
      <c r="Q43" s="10"/>
      <c r="R43" s="10"/>
      <c r="S43" s="10"/>
      <c r="T43" s="10" t="e">
        <f>IF(INDEX(GRAFO!$M$2:'GRAFO'!$M$41,MATCH(O43,GRAFO!$M$2:'GRAFO'!$M$41,0),1)&lt;&gt;0,1,0)</f>
        <v>#N/A</v>
      </c>
      <c r="U43" s="10">
        <f t="shared" si="9"/>
        <v>0</v>
      </c>
    </row>
    <row r="44" spans="1:21">
      <c r="A44" s="46" t="s">
        <v>314</v>
      </c>
      <c r="B44" s="10" t="s">
        <v>7</v>
      </c>
      <c r="D44" s="10" t="str">
        <f t="shared" si="3"/>
        <v>acoes_estrategicas</v>
      </c>
      <c r="E44" s="10" t="str">
        <f t="shared" si="4"/>
        <v>c2rm:responsible_for</v>
      </c>
      <c r="F44" s="10" t="str">
        <f t="shared" si="5"/>
        <v>dped</v>
      </c>
      <c r="G44" s="3" t="str">
        <f t="shared" si="6"/>
        <v>NOK</v>
      </c>
      <c r="I44" s="10" t="str">
        <f t="shared" si="7"/>
        <v>acoes_estrategicas-dped</v>
      </c>
      <c r="J44" s="10"/>
      <c r="K44" s="10"/>
      <c r="L44" s="3" t="e">
        <f>IF(INDEX(GRAFO!$L$2:'GRAFO'!$L$41,MATCH(I44,GRAFO!$L$2:'GRAFO'!$L$41,0),1)&lt;&gt;0,1,0)</f>
        <v>#N/A</v>
      </c>
      <c r="M44" s="3">
        <f t="shared" si="8"/>
        <v>0</v>
      </c>
      <c r="O44" s="10" t="str">
        <f t="shared" si="2"/>
        <v>acoes_estrategicas-c2rm:responsible_for-dped</v>
      </c>
      <c r="P44" s="10"/>
      <c r="Q44" s="10"/>
      <c r="R44" s="10"/>
      <c r="S44" s="10"/>
      <c r="T44" s="10" t="e">
        <f>IF(INDEX(GRAFO!$M$2:'GRAFO'!$M$41,MATCH(O44,GRAFO!$M$2:'GRAFO'!$M$41,0),1)&lt;&gt;0,1,0)</f>
        <v>#N/A</v>
      </c>
      <c r="U44" s="10">
        <f t="shared" si="9"/>
        <v>0</v>
      </c>
    </row>
    <row r="45" spans="1:21">
      <c r="A45" s="46" t="s">
        <v>142</v>
      </c>
      <c r="B45" s="10" t="s">
        <v>7</v>
      </c>
      <c r="D45" s="10" t="str">
        <f t="shared" si="3"/>
        <v>comando_supremo</v>
      </c>
      <c r="E45" s="10" t="str">
        <f t="shared" si="4"/>
        <v>c2rm:responsible_for</v>
      </c>
      <c r="F45" s="10" t="str">
        <f t="shared" si="5"/>
        <v>politico</v>
      </c>
      <c r="G45" s="3" t="str">
        <f t="shared" si="6"/>
        <v>OK</v>
      </c>
      <c r="H45">
        <f>COUNTIFS(GRAFO!C2:C42,"=D34",GRAFO!E2:E42,"=F34")</f>
        <v>0</v>
      </c>
      <c r="I45" s="10" t="str">
        <f t="shared" si="7"/>
        <v>comando_supremo-politico</v>
      </c>
      <c r="J45" s="10"/>
      <c r="K45" s="10"/>
      <c r="L45" s="3" t="e">
        <f>IF(INDEX(GRAFO!$L$2:'GRAFO'!$L$41,MATCH(I45,GRAFO!$L$2:'GRAFO'!$L$41,0),1)&lt;&gt;0,1,0)</f>
        <v>#N/A</v>
      </c>
      <c r="M45" s="3">
        <f t="shared" si="8"/>
        <v>0</v>
      </c>
      <c r="O45" s="10" t="str">
        <f t="shared" si="2"/>
        <v>comando_supremo-c2rm:responsible_for-politico</v>
      </c>
      <c r="P45" s="10"/>
      <c r="Q45" s="10"/>
      <c r="R45" s="10"/>
      <c r="S45" s="10"/>
      <c r="T45" s="10" t="e">
        <f>IF(INDEX(GRAFO!$M$2:'GRAFO'!$M$41,MATCH(O45,GRAFO!$M$2:'GRAFO'!$M$41,0),1)&lt;&gt;0,1,0)</f>
        <v>#N/A</v>
      </c>
      <c r="U45" s="10">
        <f t="shared" si="9"/>
        <v>0</v>
      </c>
    </row>
    <row r="46" spans="1:21">
      <c r="A46" s="46" t="s">
        <v>315</v>
      </c>
      <c r="B46" s="10" t="s">
        <v>7</v>
      </c>
      <c r="D46" s="10" t="str">
        <f t="shared" si="3"/>
        <v>comando_supremo</v>
      </c>
      <c r="E46" s="10" t="str">
        <f t="shared" si="4"/>
        <v>c2rm:responsible_for</v>
      </c>
      <c r="F46" s="10" t="str">
        <f t="shared" si="5"/>
        <v>acoes_estrategicas</v>
      </c>
      <c r="G46" s="3" t="str">
        <f t="shared" si="6"/>
        <v>NOK</v>
      </c>
      <c r="I46" s="10" t="str">
        <f t="shared" si="7"/>
        <v>comando_supremo-acoes_estrategicas</v>
      </c>
      <c r="J46" s="10"/>
      <c r="K46" s="10"/>
      <c r="L46" s="3" t="e">
        <f>IF(INDEX(GRAFO!$L$2:'GRAFO'!$L$41,MATCH(I46,GRAFO!$L$2:'GRAFO'!$L$41,0),1)&lt;&gt;0,1,0)</f>
        <v>#N/A</v>
      </c>
      <c r="M46" s="3">
        <f t="shared" si="8"/>
        <v>0</v>
      </c>
      <c r="O46" s="10" t="str">
        <f t="shared" si="2"/>
        <v>comando_supremo-c2rm:responsible_for-acoes_estrategicas</v>
      </c>
      <c r="P46" s="10"/>
      <c r="Q46" s="10"/>
      <c r="R46" s="10"/>
      <c r="S46" s="10"/>
      <c r="T46" s="10" t="e">
        <f>IF(INDEX(GRAFO!$M$2:'GRAFO'!$M$41,MATCH(O46,GRAFO!$M$2:'GRAFO'!$M$41,0),1)&lt;&gt;0,1,0)</f>
        <v>#N/A</v>
      </c>
      <c r="U46" s="10">
        <f t="shared" si="9"/>
        <v>0</v>
      </c>
    </row>
    <row r="47" spans="1:21">
      <c r="A47" s="46" t="s">
        <v>146</v>
      </c>
      <c r="B47" s="10" t="s">
        <v>4</v>
      </c>
      <c r="C47" s="24"/>
      <c r="D47" s="10" t="str">
        <f t="shared" si="3"/>
        <v>estrategico</v>
      </c>
      <c r="E47" s="10" t="str">
        <f t="shared" si="4"/>
        <v>c2rm:responsible_for</v>
      </c>
      <c r="F47" s="10" t="str">
        <f t="shared" si="5"/>
        <v>plano_estrategico</v>
      </c>
      <c r="G47" s="3" t="str">
        <f t="shared" si="6"/>
        <v>NOK</v>
      </c>
      <c r="I47" s="10" t="str">
        <f t="shared" si="7"/>
        <v>estrategico-plano_estrategico</v>
      </c>
      <c r="J47" s="10"/>
      <c r="K47" s="10"/>
      <c r="L47" s="3" t="e">
        <f>IF(INDEX(GRAFO!$L$2:'GRAFO'!$L$41,MATCH(I47,GRAFO!$L$2:'GRAFO'!$L$41,0),1)&lt;&gt;0,1,0)</f>
        <v>#N/A</v>
      </c>
      <c r="M47" s="3">
        <f t="shared" si="8"/>
        <v>0</v>
      </c>
      <c r="O47" s="10" t="str">
        <f t="shared" si="2"/>
        <v>estrategico-c2rm:responsible_for-plano_estrategico</v>
      </c>
      <c r="P47" s="10"/>
      <c r="Q47" s="10"/>
      <c r="R47" s="10"/>
      <c r="S47" s="10"/>
      <c r="T47" s="10" t="e">
        <f>IF(INDEX(GRAFO!$M$2:'GRAFO'!$M$41,MATCH(O47,GRAFO!$M$2:'GRAFO'!$M$41,0),1)&lt;&gt;0,1,0)</f>
        <v>#N/A</v>
      </c>
      <c r="U47" s="10">
        <f t="shared" si="9"/>
        <v>0</v>
      </c>
    </row>
    <row r="48" spans="1:21">
      <c r="A48" s="10" t="s">
        <v>141</v>
      </c>
      <c r="B48" s="10" t="s">
        <v>5</v>
      </c>
      <c r="C48" s="9" t="str">
        <f t="shared" ref="C48:C63" si="10">IF(INDEX($A$3:$B$18,MATCH(D3,$A$3:$A$17,0),2)&lt;&gt;0,"OK","NOK")</f>
        <v>OK</v>
      </c>
      <c r="D48" s="10" t="str">
        <f t="shared" si="3"/>
        <v>comando_supremo</v>
      </c>
      <c r="E48" s="10" t="str">
        <f t="shared" si="4"/>
        <v>c2rm:responsible_for</v>
      </c>
      <c r="F48" s="10" t="str">
        <f t="shared" si="5"/>
        <v>plano_politico</v>
      </c>
      <c r="G48" s="3" t="str">
        <f t="shared" si="6"/>
        <v>NOK</v>
      </c>
      <c r="I48" s="10" t="str">
        <f t="shared" si="7"/>
        <v>comando_supremo-plano_politico</v>
      </c>
      <c r="J48" s="10"/>
      <c r="K48" s="10"/>
      <c r="L48" s="3" t="e">
        <f>IF(INDEX(GRAFO!$L$2:'GRAFO'!$L$41,MATCH(I48,GRAFO!$L$2:'GRAFO'!$L$41,0),1)&lt;&gt;0,1,0)</f>
        <v>#N/A</v>
      </c>
      <c r="M48" s="3">
        <f t="shared" si="8"/>
        <v>0</v>
      </c>
      <c r="O48" s="10" t="str">
        <f t="shared" si="2"/>
        <v>comando_supremo-c2rm:responsible_for-plano_politico</v>
      </c>
      <c r="P48" s="10"/>
      <c r="Q48" s="10"/>
      <c r="R48" s="10"/>
      <c r="S48" s="10"/>
      <c r="T48" s="10" t="e">
        <f>IF(INDEX(GRAFO!$M$2:'GRAFO'!$M$41,MATCH(O48,GRAFO!$M$2:'GRAFO'!$M$41,0),1)&lt;&gt;0,1,0)</f>
        <v>#N/A</v>
      </c>
      <c r="U48" s="10">
        <f t="shared" si="9"/>
        <v>0</v>
      </c>
    </row>
    <row r="49" spans="1:21">
      <c r="A49" s="10" t="s">
        <v>316</v>
      </c>
      <c r="B49" s="10" t="s">
        <v>4</v>
      </c>
      <c r="C49" s="9" t="str">
        <f t="shared" si="10"/>
        <v>OK</v>
      </c>
      <c r="D49" s="10" t="str">
        <f t="shared" si="3"/>
        <v>tatico</v>
      </c>
      <c r="E49" s="10" t="str">
        <f t="shared" si="4"/>
        <v>c2rm:responsible_for</v>
      </c>
      <c r="F49" s="10" t="str">
        <f t="shared" si="5"/>
        <v>tatico</v>
      </c>
      <c r="G49" s="3" t="str">
        <f t="shared" si="6"/>
        <v>OK</v>
      </c>
      <c r="I49" s="10" t="str">
        <f t="shared" si="7"/>
        <v>tatico-tatico</v>
      </c>
      <c r="J49" s="10"/>
      <c r="K49" s="10"/>
      <c r="L49" s="3" t="e">
        <f>IF(INDEX(GRAFO!$L$2:'GRAFO'!$L$41,MATCH(I49,GRAFO!$L$2:'GRAFO'!$L$41,0),1)&lt;&gt;0,1,0)</f>
        <v>#N/A</v>
      </c>
      <c r="M49" s="3">
        <f t="shared" si="8"/>
        <v>0</v>
      </c>
      <c r="O49" s="10" t="str">
        <f t="shared" si="2"/>
        <v>tatico-c2rm:responsible_for-tatico</v>
      </c>
      <c r="P49" s="10"/>
      <c r="Q49" s="10"/>
      <c r="R49" s="10"/>
      <c r="S49" s="10"/>
      <c r="T49" s="10" t="e">
        <f>IF(INDEX(GRAFO!$M$2:'GRAFO'!$M$41,MATCH(O49,GRAFO!$M$2:'GRAFO'!$M$41,0),1)&lt;&gt;0,1,0)</f>
        <v>#N/A</v>
      </c>
      <c r="U49" s="10">
        <f t="shared" si="9"/>
        <v>0</v>
      </c>
    </row>
    <row r="50" spans="1:21">
      <c r="A50" s="10" t="s">
        <v>242</v>
      </c>
      <c r="B50" s="10" t="s">
        <v>7</v>
      </c>
      <c r="C50" s="9" t="str">
        <f t="shared" si="10"/>
        <v>OK</v>
      </c>
      <c r="D50" s="10" t="str">
        <f t="shared" si="3"/>
        <v>plano_politico</v>
      </c>
      <c r="E50" s="10" t="str">
        <f t="shared" si="4"/>
        <v>rdfs:seeAlso</v>
      </c>
      <c r="F50" s="10" t="str">
        <f t="shared" si="5"/>
        <v>plano_operacional</v>
      </c>
      <c r="G50" s="3" t="str">
        <f t="shared" si="6"/>
        <v>NOK</v>
      </c>
      <c r="I50" s="10" t="str">
        <f t="shared" si="7"/>
        <v>plano_politico-plano_operacional</v>
      </c>
      <c r="J50" s="10"/>
      <c r="K50" s="10"/>
      <c r="L50" s="3" t="e">
        <f>IF(INDEX(GRAFO!$L$2:'GRAFO'!$L$41,MATCH(I50,GRAFO!$L$2:'GRAFO'!$L$41,0),1)&lt;&gt;0,1,0)</f>
        <v>#N/A</v>
      </c>
      <c r="M50" s="3">
        <f t="shared" si="8"/>
        <v>0</v>
      </c>
      <c r="O50" s="10" t="str">
        <f t="shared" si="2"/>
        <v>plano_politico-rdfs:seeAlso-plano_operacional</v>
      </c>
      <c r="P50" s="10"/>
      <c r="Q50" s="10"/>
      <c r="R50" s="10"/>
      <c r="S50" s="10"/>
      <c r="T50" s="10" t="e">
        <f>IF(INDEX(GRAFO!$M$2:'GRAFO'!$M$41,MATCH(O50,GRAFO!$M$2:'GRAFO'!$M$41,0),1)&lt;&gt;0,1,0)</f>
        <v>#N/A</v>
      </c>
      <c r="U50" s="10">
        <f t="shared" si="9"/>
        <v>0</v>
      </c>
    </row>
    <row r="51" spans="1:21">
      <c r="A51" s="10" t="s">
        <v>317</v>
      </c>
      <c r="B51" s="10" t="s">
        <v>4</v>
      </c>
      <c r="C51" s="9" t="str">
        <f t="shared" si="10"/>
        <v>OK</v>
      </c>
      <c r="D51" s="10" t="str">
        <f t="shared" si="3"/>
        <v>comandos_operacionais</v>
      </c>
      <c r="E51" s="10" t="str">
        <f t="shared" si="4"/>
        <v>c2rm:responsible_for</v>
      </c>
      <c r="F51" s="10" t="str">
        <f t="shared" si="5"/>
        <v>plano_operacional</v>
      </c>
      <c r="G51" s="3" t="str">
        <f t="shared" si="6"/>
        <v>NOK</v>
      </c>
      <c r="I51" s="10" t="str">
        <f t="shared" si="7"/>
        <v>comandos_operacionais-plano_operacional</v>
      </c>
      <c r="J51" s="10"/>
      <c r="K51" s="10"/>
      <c r="L51" s="3" t="e">
        <f>IF(INDEX(GRAFO!$L$2:'GRAFO'!$L$41,MATCH(I51,GRAFO!$L$2:'GRAFO'!$L$41,0),1)&lt;&gt;0,1,0)</f>
        <v>#N/A</v>
      </c>
      <c r="M51" s="3">
        <f t="shared" si="8"/>
        <v>0</v>
      </c>
      <c r="O51" s="10" t="str">
        <f t="shared" si="2"/>
        <v>comandos_operacionais-c2rm:responsible_for-plano_operacional</v>
      </c>
      <c r="P51" s="10"/>
      <c r="Q51" s="10"/>
      <c r="R51" s="10"/>
      <c r="S51" s="10"/>
      <c r="T51" s="10" t="e">
        <f>IF(INDEX(GRAFO!$M$2:'GRAFO'!$M$41,MATCH(O51,GRAFO!$M$2:'GRAFO'!$M$41,0),1)&lt;&gt;0,1,0)</f>
        <v>#N/A</v>
      </c>
      <c r="U51" s="10">
        <f t="shared" si="9"/>
        <v>0</v>
      </c>
    </row>
    <row r="52" spans="1:21">
      <c r="A52" s="10" t="s">
        <v>245</v>
      </c>
      <c r="B52" s="10" t="s">
        <v>7</v>
      </c>
      <c r="C52" s="9" t="str">
        <f t="shared" si="10"/>
        <v>NOK</v>
      </c>
      <c r="D52" s="10" t="str">
        <f t="shared" si="3"/>
        <v>plano_operacional</v>
      </c>
      <c r="E52" s="10" t="str">
        <f t="shared" si="4"/>
        <v>c2rm:applied_to</v>
      </c>
      <c r="F52" s="10" t="str">
        <f t="shared" si="5"/>
        <v>ar</v>
      </c>
      <c r="G52" s="3" t="str">
        <f t="shared" si="6"/>
        <v>NOK</v>
      </c>
      <c r="I52" s="10" t="str">
        <f t="shared" si="7"/>
        <v>plano_operacional-ar</v>
      </c>
      <c r="J52" s="10"/>
      <c r="K52" s="10"/>
      <c r="L52" s="3" t="e">
        <f>IF(INDEX(GRAFO!$L$2:'GRAFO'!$L$41,MATCH(I52,GRAFO!$L$2:'GRAFO'!$L$41,0),1)&lt;&gt;0,1,0)</f>
        <v>#N/A</v>
      </c>
      <c r="M52" s="3">
        <f t="shared" si="8"/>
        <v>0</v>
      </c>
      <c r="O52" s="10" t="str">
        <f t="shared" si="2"/>
        <v>plano_operacional-c2rm:applied_to-ar</v>
      </c>
      <c r="P52" s="10"/>
      <c r="Q52" s="10"/>
      <c r="R52" s="10"/>
      <c r="S52" s="10"/>
      <c r="T52" s="10" t="e">
        <f>IF(INDEX(GRAFO!$M$2:'GRAFO'!$M$41,MATCH(O52,GRAFO!$M$2:'GRAFO'!$M$41,0),1)&lt;&gt;0,1,0)</f>
        <v>#N/A</v>
      </c>
      <c r="U52" s="10">
        <f t="shared" si="9"/>
        <v>0</v>
      </c>
    </row>
    <row r="53" spans="1:21">
      <c r="A53" s="10" t="s">
        <v>318</v>
      </c>
      <c r="B53" s="10" t="s">
        <v>4</v>
      </c>
      <c r="C53" s="9" t="str">
        <f t="shared" si="10"/>
        <v>OK</v>
      </c>
      <c r="D53" s="10" t="str">
        <f t="shared" si="3"/>
        <v>ar</v>
      </c>
      <c r="E53" s="10" t="str">
        <f t="shared" si="4"/>
        <v>rdfs:seeAlso</v>
      </c>
      <c r="F53" s="10" t="str">
        <f t="shared" si="5"/>
        <v>meios_adjudicados</v>
      </c>
      <c r="G53" s="3" t="str">
        <f t="shared" si="6"/>
        <v>NOK</v>
      </c>
      <c r="I53" s="10" t="str">
        <f t="shared" si="7"/>
        <v>ar-meios_adjudicados</v>
      </c>
      <c r="J53" s="10"/>
      <c r="K53" s="10"/>
      <c r="L53" s="3" t="e">
        <f>IF(INDEX(GRAFO!$L$2:'GRAFO'!$L$41,MATCH(I53,GRAFO!$L$2:'GRAFO'!$L$41,0),1)&lt;&gt;0,1,0)</f>
        <v>#N/A</v>
      </c>
      <c r="M53" s="3">
        <f t="shared" si="8"/>
        <v>0</v>
      </c>
      <c r="O53" s="10" t="str">
        <f t="shared" si="2"/>
        <v>ar-rdfs:seeAlso-meios_adjudicados</v>
      </c>
      <c r="P53" s="10"/>
      <c r="Q53" s="10"/>
      <c r="R53" s="10"/>
      <c r="S53" s="10"/>
      <c r="T53" s="10" t="e">
        <f>IF(INDEX(GRAFO!$M$2:'GRAFO'!$M$41,MATCH(O53,GRAFO!$M$2:'GRAFO'!$M$41,0),1)&lt;&gt;0,1,0)</f>
        <v>#N/A</v>
      </c>
      <c r="U53" s="10">
        <f t="shared" si="9"/>
        <v>0</v>
      </c>
    </row>
    <row r="54" spans="1:21">
      <c r="A54" s="10" t="s">
        <v>243</v>
      </c>
      <c r="B54" s="10" t="s">
        <v>7</v>
      </c>
      <c r="C54" s="9" t="str">
        <f t="shared" si="10"/>
        <v>OK</v>
      </c>
      <c r="D54" s="10" t="str">
        <f t="shared" si="3"/>
        <v>ar</v>
      </c>
      <c r="E54" s="10" t="str">
        <f t="shared" si="4"/>
        <v>rdfs:seeAlso</v>
      </c>
      <c r="F54" s="10" t="str">
        <f t="shared" si="5"/>
        <v>a_op</v>
      </c>
      <c r="G54" s="3" t="str">
        <f t="shared" si="6"/>
        <v>NOK</v>
      </c>
      <c r="I54" s="10" t="str">
        <f t="shared" si="7"/>
        <v>ar-a_op</v>
      </c>
      <c r="J54" s="10"/>
      <c r="K54" s="10"/>
      <c r="L54" s="3" t="e">
        <f>IF(INDEX(GRAFO!$L$2:'GRAFO'!$L$41,MATCH(I54,GRAFO!$L$2:'GRAFO'!$L$41,0),1)&lt;&gt;0,1,0)</f>
        <v>#N/A</v>
      </c>
      <c r="M54" s="3">
        <f t="shared" si="8"/>
        <v>0</v>
      </c>
      <c r="O54" s="10" t="str">
        <f t="shared" si="2"/>
        <v>ar-rdfs:seeAlso-a_op</v>
      </c>
      <c r="P54" s="10"/>
      <c r="Q54" s="10"/>
      <c r="R54" s="10"/>
      <c r="S54" s="10"/>
      <c r="T54" s="10" t="e">
        <f>IF(INDEX(GRAFO!$M$2:'GRAFO'!$M$41,MATCH(O54,GRAFO!$M$2:'GRAFO'!$M$41,0),1)&lt;&gt;0,1,0)</f>
        <v>#N/A</v>
      </c>
      <c r="U54" s="10">
        <f t="shared" si="9"/>
        <v>0</v>
      </c>
    </row>
    <row r="55" spans="1:21">
      <c r="A55" s="10" t="s">
        <v>143</v>
      </c>
      <c r="B55" s="10" t="s">
        <v>4</v>
      </c>
      <c r="C55" s="9" t="str">
        <f t="shared" si="10"/>
        <v>OK</v>
      </c>
      <c r="D55" s="10" t="str">
        <f t="shared" si="3"/>
        <v>c_log</v>
      </c>
      <c r="E55" s="10" t="str">
        <f t="shared" si="4"/>
        <v>c2rm:responsible_for</v>
      </c>
      <c r="F55" s="10" t="str">
        <f t="shared" si="5"/>
        <v>operacao_conjunta</v>
      </c>
      <c r="G55" s="3" t="str">
        <f t="shared" si="6"/>
        <v>OK</v>
      </c>
      <c r="I55" s="10" t="str">
        <f t="shared" si="7"/>
        <v>c_log-operacao_conjunta</v>
      </c>
      <c r="J55" s="10"/>
      <c r="K55" s="10"/>
      <c r="L55" s="3" t="e">
        <f>IF(INDEX(GRAFO!$L$2:'GRAFO'!$L$41,MATCH(I55,GRAFO!$L$2:'GRAFO'!$L$41,0),1)&lt;&gt;0,1,0)</f>
        <v>#N/A</v>
      </c>
      <c r="M55" s="3">
        <f t="shared" si="8"/>
        <v>0</v>
      </c>
      <c r="O55" s="10" t="str">
        <f t="shared" si="2"/>
        <v>c_log-c2rm:responsible_for-operacao_conjunta</v>
      </c>
      <c r="P55" s="10"/>
      <c r="Q55" s="10"/>
      <c r="R55" s="10"/>
      <c r="S55" s="10"/>
      <c r="T55" s="10" t="e">
        <f>IF(INDEX(GRAFO!$M$2:'GRAFO'!$M$41,MATCH(O55,GRAFO!$M$2:'GRAFO'!$M$41,0),1)&lt;&gt;0,1,0)</f>
        <v>#N/A</v>
      </c>
      <c r="U55" s="10">
        <f t="shared" si="9"/>
        <v>0</v>
      </c>
    </row>
    <row r="56" spans="1:21">
      <c r="A56" s="10" t="s">
        <v>145</v>
      </c>
      <c r="B56" s="10" t="s">
        <v>4</v>
      </c>
      <c r="C56" s="9" t="str">
        <f t="shared" si="10"/>
        <v>OK</v>
      </c>
      <c r="D56" s="10" t="str">
        <f t="shared" si="3"/>
        <v>operacao_conjunta</v>
      </c>
      <c r="E56" s="10" t="str">
        <f t="shared" si="4"/>
        <v>c2rm:responsible_for</v>
      </c>
      <c r="F56" s="10" t="str">
        <f t="shared" si="5"/>
        <v>forcas_armadas</v>
      </c>
      <c r="G56" s="3" t="str">
        <f t="shared" si="6"/>
        <v>OK</v>
      </c>
      <c r="I56" s="10" t="str">
        <f t="shared" si="7"/>
        <v>operacao_conjunta-forcas_armadas</v>
      </c>
      <c r="J56" s="10"/>
      <c r="K56" s="10"/>
      <c r="L56" s="3" t="e">
        <f>IF(INDEX(GRAFO!$L$2:'GRAFO'!$L$41,MATCH(I56,GRAFO!$L$2:'GRAFO'!$L$41,0),1)&lt;&gt;0,1,0)</f>
        <v>#N/A</v>
      </c>
      <c r="M56" s="3">
        <f t="shared" si="8"/>
        <v>0</v>
      </c>
      <c r="O56" s="10" t="str">
        <f t="shared" si="2"/>
        <v>operacao_conjunta-c2rm:responsible_for-forcas_armadas</v>
      </c>
      <c r="P56" s="10"/>
      <c r="Q56" s="10"/>
      <c r="R56" s="10"/>
      <c r="S56" s="10"/>
      <c r="T56" s="10" t="e">
        <f>IF(INDEX(GRAFO!$M$2:'GRAFO'!$M$41,MATCH(O56,GRAFO!$M$2:'GRAFO'!$M$41,0),1)&lt;&gt;0,1,0)</f>
        <v>#N/A</v>
      </c>
      <c r="U56" s="10">
        <f t="shared" si="9"/>
        <v>0</v>
      </c>
    </row>
    <row r="57" spans="1:21">
      <c r="C57" s="9" t="str">
        <f t="shared" si="10"/>
        <v>OK</v>
      </c>
      <c r="D57" s="10" t="str">
        <f t="shared" si="3"/>
        <v>exercito</v>
      </c>
      <c r="E57" s="10" t="str">
        <f t="shared" si="4"/>
        <v>rdfs:subClassOf</v>
      </c>
      <c r="F57" s="10" t="str">
        <f t="shared" si="5"/>
        <v>forcas_armadas</v>
      </c>
      <c r="G57" s="3" t="str">
        <f t="shared" si="6"/>
        <v>OK</v>
      </c>
      <c r="I57" s="10" t="str">
        <f t="shared" si="7"/>
        <v>exercito-forcas_armadas</v>
      </c>
      <c r="J57" s="10"/>
      <c r="K57" s="10"/>
      <c r="L57" s="3">
        <f>IF(INDEX(GRAFO!$L$2:'GRAFO'!$L$41,MATCH(I57,GRAFO!$L$2:'GRAFO'!$L$41,0),1)&lt;&gt;0,1,0)</f>
        <v>1</v>
      </c>
      <c r="M57" s="3">
        <f t="shared" si="8"/>
        <v>1</v>
      </c>
      <c r="O57" s="10" t="str">
        <f t="shared" si="2"/>
        <v>exercito-rdfs:subClassOf-forcas_armadas</v>
      </c>
      <c r="P57" s="10"/>
      <c r="Q57" s="10"/>
      <c r="R57" s="10"/>
      <c r="S57" s="10"/>
      <c r="T57" s="10">
        <f>IF(INDEX(GRAFO!$M$2:'GRAFO'!$M$41,MATCH(O57,GRAFO!$M$2:'GRAFO'!$M$41,0),1)&lt;&gt;0,1,0)</f>
        <v>1</v>
      </c>
      <c r="U57" s="10">
        <f t="shared" si="9"/>
        <v>1</v>
      </c>
    </row>
    <row r="58" spans="1:21">
      <c r="C58" s="9" t="e">
        <f t="shared" si="10"/>
        <v>#N/A</v>
      </c>
      <c r="D58" s="10" t="str">
        <f t="shared" si="3"/>
        <v>marinha</v>
      </c>
      <c r="E58" s="10" t="str">
        <f t="shared" si="4"/>
        <v>rdfs:subClassOf</v>
      </c>
      <c r="F58" s="10" t="str">
        <f t="shared" si="5"/>
        <v>forcas_armadas</v>
      </c>
      <c r="G58" s="3" t="str">
        <f t="shared" si="6"/>
        <v>OK</v>
      </c>
      <c r="I58" s="10" t="str">
        <f t="shared" si="7"/>
        <v>marinha-forcas_armadas</v>
      </c>
      <c r="J58" s="10"/>
      <c r="K58" s="10"/>
      <c r="L58" s="3">
        <f>IF(INDEX(GRAFO!$L$2:'GRAFO'!$L$41,MATCH(I58,GRAFO!$L$2:'GRAFO'!$L$41,0),1)&lt;&gt;0,1,0)</f>
        <v>1</v>
      </c>
      <c r="M58" s="3">
        <f t="shared" si="8"/>
        <v>1</v>
      </c>
      <c r="O58" s="10" t="str">
        <f t="shared" si="2"/>
        <v>marinha-rdfs:subClassOf-forcas_armadas</v>
      </c>
      <c r="P58" s="10"/>
      <c r="Q58" s="10"/>
      <c r="R58" s="10"/>
      <c r="S58" s="10"/>
      <c r="T58" s="10">
        <f>IF(INDEX(GRAFO!$M$2:'GRAFO'!$M$41,MATCH(O58,GRAFO!$M$2:'GRAFO'!$M$41,0),1)&lt;&gt;0,1,0)</f>
        <v>1</v>
      </c>
      <c r="U58" s="10">
        <f t="shared" si="9"/>
        <v>1</v>
      </c>
    </row>
    <row r="59" spans="1:21">
      <c r="C59" s="9" t="str">
        <f t="shared" si="10"/>
        <v>OK</v>
      </c>
      <c r="D59" s="10" t="str">
        <f t="shared" si="3"/>
        <v>aeronautica</v>
      </c>
      <c r="E59" s="10" t="str">
        <f t="shared" si="4"/>
        <v>rdfs:subClassOf</v>
      </c>
      <c r="F59" s="10" t="str">
        <f t="shared" si="5"/>
        <v>forcas_armadas</v>
      </c>
      <c r="G59" s="3" t="str">
        <f t="shared" si="6"/>
        <v>OK</v>
      </c>
      <c r="I59" s="10" t="str">
        <f t="shared" si="7"/>
        <v>aeronautica-forcas_armadas</v>
      </c>
      <c r="J59" s="10"/>
      <c r="K59" s="10"/>
      <c r="L59" s="3">
        <f>IF(INDEX(GRAFO!$L$2:'GRAFO'!$L$41,MATCH(I59,GRAFO!$L$2:'GRAFO'!$L$41,0),1)&lt;&gt;0,1,0)</f>
        <v>1</v>
      </c>
      <c r="M59" s="3">
        <f t="shared" si="8"/>
        <v>1</v>
      </c>
      <c r="O59" s="10" t="str">
        <f t="shared" si="2"/>
        <v>aeronautica-rdfs:subClassOf-forcas_armadas</v>
      </c>
      <c r="P59" s="10"/>
      <c r="Q59" s="10"/>
      <c r="R59" s="10"/>
      <c r="S59" s="10"/>
      <c r="T59" s="10">
        <f>IF(INDEX(GRAFO!$M$2:'GRAFO'!$M$41,MATCH(O59,GRAFO!$M$2:'GRAFO'!$M$41,0),1)&lt;&gt;0,1,0)</f>
        <v>1</v>
      </c>
      <c r="U59" s="10">
        <f t="shared" si="9"/>
        <v>1</v>
      </c>
    </row>
    <row r="60" spans="1:21">
      <c r="C60" s="9" t="e">
        <f t="shared" si="10"/>
        <v>#N/A</v>
      </c>
      <c r="D60" s="10" t="str">
        <f t="shared" si="3"/>
        <v>forcas_armadas</v>
      </c>
      <c r="E60" s="10" t="str">
        <f t="shared" si="4"/>
        <v>rdfs:seeAlso</v>
      </c>
      <c r="F60" s="10" t="str">
        <f t="shared" si="5"/>
        <v>forcas_armadas</v>
      </c>
      <c r="G60" s="3" t="str">
        <f t="shared" si="6"/>
        <v>OK</v>
      </c>
      <c r="I60" s="10" t="str">
        <f t="shared" si="7"/>
        <v>forcas_armadas-forcas_armadas</v>
      </c>
      <c r="J60" s="10"/>
      <c r="K60" s="10"/>
      <c r="L60" s="3" t="e">
        <f>IF(INDEX(GRAFO!$L$2:'GRAFO'!$L$41,MATCH(I60,GRAFO!$L$2:'GRAFO'!$L$41,0),1)&lt;&gt;0,1,0)</f>
        <v>#N/A</v>
      </c>
      <c r="M60" s="3">
        <f t="shared" si="8"/>
        <v>0</v>
      </c>
      <c r="O60" s="10" t="str">
        <f t="shared" si="2"/>
        <v>forcas_armadas-rdfs:seeAlso-forcas_armadas</v>
      </c>
      <c r="P60" s="10"/>
      <c r="Q60" s="10"/>
      <c r="R60" s="10"/>
      <c r="S60" s="10"/>
      <c r="T60" s="10" t="e">
        <f>IF(INDEX(GRAFO!$M$2:'GRAFO'!$M$41,MATCH(O60,GRAFO!$M$2:'GRAFO'!$M$41,0),1)&lt;&gt;0,1,0)</f>
        <v>#N/A</v>
      </c>
      <c r="U60" s="10">
        <f t="shared" si="9"/>
        <v>0</v>
      </c>
    </row>
    <row r="61" spans="1:21">
      <c r="C61" s="9" t="str">
        <f t="shared" si="10"/>
        <v>NOK</v>
      </c>
      <c r="D61" s="10" t="str">
        <f t="shared" si="3"/>
        <v>operacao_conjunta</v>
      </c>
      <c r="E61" s="10" t="str">
        <f t="shared" si="4"/>
        <v>rdfs:seeAlso</v>
      </c>
      <c r="F61" s="10" t="str">
        <f t="shared" si="5"/>
        <v>plano</v>
      </c>
      <c r="G61" s="3" t="str">
        <f t="shared" si="6"/>
        <v>NOK</v>
      </c>
      <c r="I61" s="10" t="str">
        <f t="shared" si="7"/>
        <v>operacao_conjunta-plano</v>
      </c>
      <c r="J61" s="10"/>
      <c r="K61" s="10"/>
      <c r="L61" s="3" t="e">
        <f>IF(INDEX(GRAFO!$L$2:'GRAFO'!$L$41,MATCH(I61,GRAFO!$L$2:'GRAFO'!$L$41,0),1)&lt;&gt;0,1,0)</f>
        <v>#N/A</v>
      </c>
      <c r="M61" s="3">
        <f t="shared" si="8"/>
        <v>0</v>
      </c>
      <c r="O61" s="10" t="str">
        <f t="shared" si="2"/>
        <v>operacao_conjunta-rdfs:seeAlso-plano</v>
      </c>
      <c r="P61" s="10"/>
      <c r="Q61" s="10"/>
      <c r="R61" s="10"/>
      <c r="S61" s="10"/>
      <c r="T61" s="10" t="e">
        <f>IF(INDEX(GRAFO!$M$2:'GRAFO'!$M$41,MATCH(O61,GRAFO!$M$2:'GRAFO'!$M$41,0),1)&lt;&gt;0,1,0)</f>
        <v>#N/A</v>
      </c>
      <c r="U61" s="10">
        <f t="shared" si="9"/>
        <v>0</v>
      </c>
    </row>
    <row r="62" spans="1:21">
      <c r="C62" s="9" t="str">
        <f t="shared" si="10"/>
        <v>NOK</v>
      </c>
      <c r="D62" s="10" t="str">
        <f t="shared" si="3"/>
        <v>plano_politico</v>
      </c>
      <c r="E62" s="10" t="str">
        <f t="shared" si="4"/>
        <v>rdfs:subClassOf</v>
      </c>
      <c r="F62" s="10" t="str">
        <f t="shared" si="5"/>
        <v>plano</v>
      </c>
      <c r="G62" s="3" t="str">
        <f t="shared" si="6"/>
        <v>NOK</v>
      </c>
      <c r="I62" s="10" t="str">
        <f t="shared" si="7"/>
        <v>plano_politico-plano</v>
      </c>
      <c r="J62" s="10"/>
      <c r="K62" s="10"/>
      <c r="L62" s="3" t="e">
        <f>IF(INDEX(GRAFO!$L$2:'GRAFO'!$L$41,MATCH(I62,GRAFO!$L$2:'GRAFO'!$L$41,0),1)&lt;&gt;0,1,0)</f>
        <v>#N/A</v>
      </c>
      <c r="M62" s="3">
        <f t="shared" si="8"/>
        <v>0</v>
      </c>
      <c r="O62" s="10" t="str">
        <f t="shared" si="2"/>
        <v>plano_politico-rdfs:subClassOf-plano</v>
      </c>
      <c r="P62" s="10"/>
      <c r="Q62" s="10"/>
      <c r="R62" s="10"/>
      <c r="S62" s="10"/>
      <c r="T62" s="10" t="e">
        <f>IF(INDEX(GRAFO!$M$2:'GRAFO'!$M$41,MATCH(O62,GRAFO!$M$2:'GRAFO'!$M$41,0),1)&lt;&gt;0,1,0)</f>
        <v>#N/A</v>
      </c>
      <c r="U62" s="10">
        <f t="shared" si="9"/>
        <v>0</v>
      </c>
    </row>
    <row r="63" spans="1:21">
      <c r="C63" s="9" t="str">
        <f t="shared" si="10"/>
        <v>NOK</v>
      </c>
      <c r="D63" s="10" t="str">
        <f t="shared" si="3"/>
        <v>plano_estrategico</v>
      </c>
      <c r="E63" s="10" t="str">
        <f t="shared" si="4"/>
        <v>rdfs:subClassOf</v>
      </c>
      <c r="F63" s="10" t="str">
        <f t="shared" si="5"/>
        <v>plano</v>
      </c>
      <c r="G63" s="3" t="str">
        <f t="shared" si="6"/>
        <v>NOK</v>
      </c>
      <c r="I63" s="10" t="str">
        <f t="shared" si="7"/>
        <v>plano_estrategico-plano</v>
      </c>
      <c r="J63" s="10"/>
      <c r="K63" s="10"/>
      <c r="L63" s="3" t="e">
        <f>IF(INDEX(GRAFO!$L$2:'GRAFO'!$L$41,MATCH(I63,GRAFO!$L$2:'GRAFO'!$L$41,0),1)&lt;&gt;0,1,0)</f>
        <v>#N/A</v>
      </c>
      <c r="M63" s="3">
        <f t="shared" si="8"/>
        <v>0</v>
      </c>
      <c r="O63" s="10" t="str">
        <f t="shared" si="2"/>
        <v>plano_estrategico-rdfs:subClassOf-plano</v>
      </c>
      <c r="P63" s="10"/>
      <c r="Q63" s="10"/>
      <c r="R63" s="10"/>
      <c r="S63" s="10"/>
      <c r="T63" s="10" t="e">
        <f>IF(INDEX(GRAFO!$M$2:'GRAFO'!$M$41,MATCH(O63,GRAFO!$M$2:'GRAFO'!$M$41,0),1)&lt;&gt;0,1,0)</f>
        <v>#N/A</v>
      </c>
      <c r="U63" s="10">
        <f t="shared" si="9"/>
        <v>0</v>
      </c>
    </row>
    <row r="64" spans="1:21">
      <c r="D64" s="10" t="str">
        <f t="shared" si="3"/>
        <v>plano_operacional</v>
      </c>
      <c r="E64" s="10" t="str">
        <f t="shared" si="4"/>
        <v>rdfs:subClassOf</v>
      </c>
      <c r="F64" s="10" t="str">
        <f t="shared" si="5"/>
        <v>plano</v>
      </c>
      <c r="G64" s="3" t="str">
        <f t="shared" si="6"/>
        <v>NOK</v>
      </c>
      <c r="I64" s="10" t="str">
        <f t="shared" si="7"/>
        <v>plano_operacional-plano</v>
      </c>
      <c r="J64" s="10"/>
      <c r="K64" s="10"/>
      <c r="L64" s="3" t="e">
        <f>IF(INDEX(GRAFO!$L$2:'GRAFO'!$L$41,MATCH(I64,GRAFO!$L$2:'GRAFO'!$L$41,0),1)&lt;&gt;0,1,0)</f>
        <v>#N/A</v>
      </c>
      <c r="M64" s="3">
        <f t="shared" si="8"/>
        <v>0</v>
      </c>
      <c r="O64" s="10" t="str">
        <f t="shared" ref="O64:O70" si="11">D64 &amp; "-" &amp; E64 &amp; "-" &amp; F64</f>
        <v>plano_operacional-rdfs:subClassOf-plano</v>
      </c>
      <c r="P64" s="10"/>
      <c r="Q64" s="10"/>
      <c r="R64" s="10"/>
      <c r="S64" s="10"/>
      <c r="T64" s="10" t="e">
        <f>IF(INDEX(GRAFO!$M$2:'GRAFO'!$M$41,MATCH(O64,GRAFO!$M$2:'GRAFO'!$M$41,0),1)&lt;&gt;0,1,0)</f>
        <v>#N/A</v>
      </c>
      <c r="U64" s="10">
        <f t="shared" ref="U64:U70" si="12">IFERROR(T64,0)</f>
        <v>0</v>
      </c>
    </row>
    <row r="65" spans="4:21">
      <c r="D65" s="10" t="str">
        <f t="shared" si="3"/>
        <v>plano_tatico</v>
      </c>
      <c r="E65" s="10" t="str">
        <f t="shared" si="4"/>
        <v>rdfs:subClassOf</v>
      </c>
      <c r="F65" s="10" t="str">
        <f t="shared" si="5"/>
        <v>plano</v>
      </c>
      <c r="G65" s="3" t="str">
        <f t="shared" si="6"/>
        <v>NOK</v>
      </c>
      <c r="I65" s="10" t="str">
        <f t="shared" si="7"/>
        <v>plano_tatico-plano</v>
      </c>
      <c r="J65" s="10"/>
      <c r="K65" s="10"/>
      <c r="L65" s="3" t="e">
        <f>IF(INDEX(GRAFO!$L$2:'GRAFO'!$L$41,MATCH(I65,GRAFO!$L$2:'GRAFO'!$L$41,0),1)&lt;&gt;0,1,0)</f>
        <v>#N/A</v>
      </c>
      <c r="M65" s="3">
        <f t="shared" si="8"/>
        <v>0</v>
      </c>
      <c r="O65" s="10" t="str">
        <f t="shared" si="11"/>
        <v>plano_tatico-rdfs:subClassOf-plano</v>
      </c>
      <c r="P65" s="10"/>
      <c r="Q65" s="10"/>
      <c r="R65" s="10"/>
      <c r="S65" s="10"/>
      <c r="T65" s="10" t="e">
        <f>IF(INDEX(GRAFO!$M$2:'GRAFO'!$M$41,MATCH(O65,GRAFO!$M$2:'GRAFO'!$M$41,0),1)&lt;&gt;0,1,0)</f>
        <v>#N/A</v>
      </c>
      <c r="U65" s="10">
        <f t="shared" si="12"/>
        <v>0</v>
      </c>
    </row>
    <row r="66" spans="4:21">
      <c r="D66" s="10" t="str">
        <f t="shared" si="3"/>
        <v>plano_estrategico</v>
      </c>
      <c r="E66" s="10" t="str">
        <f t="shared" si="4"/>
        <v>c2rm:responsible_for</v>
      </c>
      <c r="F66" s="10" t="str">
        <f t="shared" si="5"/>
        <v>dmed</v>
      </c>
      <c r="G66" s="3" t="str">
        <f t="shared" si="6"/>
        <v>NOK</v>
      </c>
      <c r="I66" s="10" t="str">
        <f t="shared" si="7"/>
        <v>plano_estrategico-dmed</v>
      </c>
      <c r="J66" s="10"/>
      <c r="K66" s="10"/>
      <c r="L66" s="3" t="e">
        <f>IF(INDEX(GRAFO!$L$2:'GRAFO'!$L$41,MATCH(I66,GRAFO!$L$2:'GRAFO'!$L$41,0),1)&lt;&gt;0,1,0)</f>
        <v>#N/A</v>
      </c>
      <c r="M66" s="3">
        <f t="shared" si="8"/>
        <v>0</v>
      </c>
      <c r="O66" s="10" t="str">
        <f t="shared" si="11"/>
        <v>plano_estrategico-c2rm:responsible_for-dmed</v>
      </c>
      <c r="P66" s="10"/>
      <c r="Q66" s="10"/>
      <c r="R66" s="10"/>
      <c r="S66" s="10"/>
      <c r="T66" s="10" t="e">
        <f>IF(INDEX(GRAFO!$M$2:'GRAFO'!$M$41,MATCH(O66,GRAFO!$M$2:'GRAFO'!$M$41,0),1)&lt;&gt;0,1,0)</f>
        <v>#N/A</v>
      </c>
      <c r="U66" s="10">
        <f t="shared" si="12"/>
        <v>0</v>
      </c>
    </row>
    <row r="67" spans="4:21">
      <c r="D67" s="10" t="str">
        <f t="shared" si="3"/>
        <v>cmt_op</v>
      </c>
      <c r="E67" s="10" t="str">
        <f t="shared" si="4"/>
        <v>c2rm:responsible_for</v>
      </c>
      <c r="F67" s="10" t="str">
        <f t="shared" si="5"/>
        <v>operacao_conjunta</v>
      </c>
      <c r="G67" s="3" t="str">
        <f t="shared" si="6"/>
        <v>OK</v>
      </c>
      <c r="I67" s="10" t="str">
        <f t="shared" si="7"/>
        <v>cmt_op-operacao_conjunta</v>
      </c>
      <c r="J67" s="10"/>
      <c r="K67" s="10"/>
      <c r="L67" s="3" t="e">
        <f>IF(INDEX(GRAFO!$L$2:'GRAFO'!$L$41,MATCH(I67,GRAFO!$L$2:'GRAFO'!$L$41,0),1)&lt;&gt;0,1,0)</f>
        <v>#N/A</v>
      </c>
      <c r="M67" s="3">
        <f t="shared" si="8"/>
        <v>0</v>
      </c>
      <c r="O67" s="10" t="str">
        <f t="shared" si="11"/>
        <v>cmt_op-c2rm:responsible_for-operacao_conjunta</v>
      </c>
      <c r="P67" s="10"/>
      <c r="Q67" s="10"/>
      <c r="R67" s="10"/>
      <c r="S67" s="10"/>
      <c r="T67" s="10" t="e">
        <f>IF(INDEX(GRAFO!$M$2:'GRAFO'!$M$41,MATCH(O67,GRAFO!$M$2:'GRAFO'!$M$41,0),1)&lt;&gt;0,1,0)</f>
        <v>#N/A</v>
      </c>
      <c r="U67" s="10">
        <f t="shared" si="12"/>
        <v>0</v>
      </c>
    </row>
    <row r="68" spans="4:21">
      <c r="D68" s="10" t="str">
        <f t="shared" si="3"/>
        <v>operacao_conjunta</v>
      </c>
      <c r="E68" s="10" t="str">
        <f t="shared" si="4"/>
        <v>rdfs:seeAlso</v>
      </c>
      <c r="F68" s="10" t="str">
        <f t="shared" si="5"/>
        <v>objetivo_estrategico</v>
      </c>
      <c r="G68" s="3" t="str">
        <f t="shared" si="6"/>
        <v>NOK</v>
      </c>
      <c r="I68" s="10" t="str">
        <f t="shared" si="7"/>
        <v>operacao_conjunta-objetivo_estrategico</v>
      </c>
      <c r="J68" s="10"/>
      <c r="K68" s="10"/>
      <c r="L68" s="3" t="e">
        <f>IF(INDEX(GRAFO!$L$2:'GRAFO'!$L$41,MATCH(I68,GRAFO!$L$2:'GRAFO'!$L$41,0),1)&lt;&gt;0,1,0)</f>
        <v>#N/A</v>
      </c>
      <c r="M68" s="3">
        <f t="shared" si="8"/>
        <v>0</v>
      </c>
      <c r="O68" s="10" t="str">
        <f t="shared" si="11"/>
        <v>operacao_conjunta-rdfs:seeAlso-objetivo_estrategico</v>
      </c>
      <c r="P68" s="10"/>
      <c r="Q68" s="10"/>
      <c r="R68" s="10"/>
      <c r="S68" s="10"/>
      <c r="T68" s="10" t="e">
        <f>IF(INDEX(GRAFO!$M$2:'GRAFO'!$M$41,MATCH(O68,GRAFO!$M$2:'GRAFO'!$M$41,0),1)&lt;&gt;0,1,0)</f>
        <v>#N/A</v>
      </c>
      <c r="U68" s="10">
        <f t="shared" si="12"/>
        <v>0</v>
      </c>
    </row>
    <row r="69" spans="4:21">
      <c r="D69" s="10" t="str">
        <f t="shared" si="3"/>
        <v>plano_estrategico</v>
      </c>
      <c r="E69" s="10" t="str">
        <f t="shared" si="4"/>
        <v>rdfs:seeAlso</v>
      </c>
      <c r="F69" s="10" t="str">
        <f t="shared" si="5"/>
        <v>plano_operacional</v>
      </c>
      <c r="G69" s="3" t="str">
        <f t="shared" si="6"/>
        <v>NOK</v>
      </c>
      <c r="I69" s="10" t="str">
        <f t="shared" si="7"/>
        <v>plano_estrategico-plano_operacional</v>
      </c>
      <c r="J69" s="10"/>
      <c r="K69" s="10"/>
      <c r="L69" s="3" t="e">
        <f>IF(INDEX(GRAFO!$L$2:'GRAFO'!$L$41,MATCH(I69,GRAFO!$L$2:'GRAFO'!$L$41,0),1)&lt;&gt;0,1,0)</f>
        <v>#N/A</v>
      </c>
      <c r="M69" s="3">
        <f t="shared" si="8"/>
        <v>0</v>
      </c>
      <c r="O69" s="10" t="str">
        <f t="shared" si="11"/>
        <v>plano_estrategico-rdfs:seeAlso-plano_operacional</v>
      </c>
      <c r="P69" s="10"/>
      <c r="Q69" s="10"/>
      <c r="R69" s="10"/>
      <c r="S69" s="10"/>
      <c r="T69" s="10" t="e">
        <f>IF(INDEX(GRAFO!$M$2:'GRAFO'!$M$41,MATCH(O69,GRAFO!$M$2:'GRAFO'!$M$41,0),1)&lt;&gt;0,1,0)</f>
        <v>#N/A</v>
      </c>
      <c r="U69" s="10">
        <f t="shared" si="12"/>
        <v>0</v>
      </c>
    </row>
    <row r="70" spans="4:21">
      <c r="D70" s="10" t="str">
        <f t="shared" si="3"/>
        <v>cmt_op</v>
      </c>
      <c r="E70" s="10" t="str">
        <f t="shared" si="4"/>
        <v>c2rm:responsible_for</v>
      </c>
      <c r="F70" s="10" t="str">
        <f t="shared" si="5"/>
        <v>operacional</v>
      </c>
      <c r="G70" s="3" t="str">
        <f t="shared" si="6"/>
        <v>OK</v>
      </c>
      <c r="I70" s="10" t="str">
        <f t="shared" si="7"/>
        <v>cmt_op-operacional</v>
      </c>
      <c r="J70" s="10"/>
      <c r="K70" s="10"/>
      <c r="L70" s="3" t="e">
        <f>IF(INDEX(GRAFO!$L$2:'GRAFO'!$L$41,MATCH(I70,GRAFO!$L$2:'GRAFO'!$L$41,0),1)&lt;&gt;0,1,0)</f>
        <v>#N/A</v>
      </c>
      <c r="M70" s="3">
        <f t="shared" si="8"/>
        <v>0</v>
      </c>
      <c r="O70" s="10" t="str">
        <f t="shared" si="11"/>
        <v>cmt_op-c2rm:responsible_for-operacional</v>
      </c>
      <c r="P70" s="10"/>
      <c r="Q70" s="10"/>
      <c r="R70" s="10"/>
      <c r="S70" s="10"/>
      <c r="T70" s="10" t="e">
        <f>IF(INDEX(GRAFO!$M$2:'GRAFO'!$M$41,MATCH(O70,GRAFO!$M$2:'GRAFO'!$M$41,0),1)&lt;&gt;0,1,0)</f>
        <v>#N/A</v>
      </c>
      <c r="U70" s="10">
        <f t="shared" si="12"/>
        <v>0</v>
      </c>
    </row>
    <row r="71" spans="4:21">
      <c r="D71" s="10"/>
      <c r="E71" s="10"/>
      <c r="F71" s="10"/>
      <c r="G71" s="3"/>
      <c r="I71" s="10"/>
      <c r="J71" s="10"/>
      <c r="K71" s="10"/>
      <c r="L71" s="3"/>
      <c r="M71" s="3"/>
      <c r="O71" s="10"/>
      <c r="P71" s="10"/>
      <c r="Q71" s="10"/>
      <c r="R71" s="10"/>
      <c r="S71" s="10"/>
      <c r="T71" s="10"/>
      <c r="U71" s="10"/>
    </row>
    <row r="72" spans="4:21">
      <c r="D72" s="10"/>
      <c r="E72" s="10"/>
      <c r="F72" s="10"/>
      <c r="G72" s="3"/>
      <c r="I72" s="10"/>
      <c r="J72" s="10"/>
      <c r="K72" s="10"/>
      <c r="L72" s="3"/>
      <c r="M72" s="3"/>
      <c r="O72" s="10"/>
      <c r="P72" s="10"/>
      <c r="Q72" s="10"/>
      <c r="R72" s="10"/>
      <c r="S72" s="10"/>
      <c r="T72" s="10"/>
      <c r="U72" s="10"/>
    </row>
    <row r="73" spans="4:21">
      <c r="D73" s="10"/>
      <c r="E73" s="10"/>
      <c r="F73" s="10"/>
      <c r="G73" s="3"/>
      <c r="I73" s="10"/>
      <c r="J73" s="10"/>
      <c r="K73" s="10"/>
      <c r="L73" s="3"/>
      <c r="M73" s="3"/>
      <c r="O73" s="10"/>
      <c r="P73" s="10"/>
      <c r="Q73" s="10"/>
      <c r="R73" s="10"/>
      <c r="S73" s="10"/>
      <c r="T73" s="10"/>
      <c r="U73" s="10"/>
    </row>
  </sheetData>
  <mergeCells count="10">
    <mergeCell ref="I39:K39"/>
    <mergeCell ref="L39:M39"/>
    <mergeCell ref="O39:S39"/>
    <mergeCell ref="T39:U39"/>
    <mergeCell ref="A1:B1"/>
    <mergeCell ref="D1:F1"/>
    <mergeCell ref="K4:K5"/>
    <mergeCell ref="D38:G38"/>
    <mergeCell ref="I38:M38"/>
    <mergeCell ref="O38:U38"/>
  </mergeCells>
  <dataValidations count="8">
    <dataValidation type="list" allowBlank="1" showInputMessage="1" showErrorMessage="1" sqref="F38:G38 D3:D36 F3:F36">
      <formula1>$A$3:$A$27</formula1>
    </dataValidation>
    <dataValidation type="list" allowBlank="1" showInputMessage="1" showErrorMessage="1" sqref="C3:C37 B4:B37">
      <formula1>$Y$3:$Y$39</formula1>
    </dataValidation>
    <dataValidation type="list" allowBlank="1" showInputMessage="1" showErrorMessage="1" sqref="H3:H44 G3:G37">
      <formula1>$A$3:$A$22</formula1>
    </dataValidation>
    <dataValidation type="list" allowBlank="1" showInputMessage="1" showErrorMessage="1" sqref="B40:B56">
      <formula1>$AE$2:$AE$12</formula1>
    </dataValidation>
    <dataValidation type="list" allowBlank="1" showInputMessage="1" showErrorMessage="1" sqref="F37 D37">
      <formula1>$A$3:$A$28</formula1>
    </dataValidation>
    <dataValidation type="list" allowBlank="1" showInputMessage="1" showErrorMessage="1" sqref="E37">
      <formula1>$A$40:$A$48</formula1>
    </dataValidation>
    <dataValidation type="list" allowBlank="1" showInputMessage="1" showErrorMessage="1" sqref="B3">
      <formula1>$Y$3:$Y$31</formula1>
    </dataValidation>
    <dataValidation type="list" allowBlank="1" showInputMessage="1" showErrorMessage="1" sqref="E3:E36">
      <formula1>$A$40:$A$56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E73"/>
  <sheetViews>
    <sheetView topLeftCell="M1" zoomScaleNormal="100" workbookViewId="0">
      <selection activeCell="X4" sqref="X4:X7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9" t="s">
        <v>184</v>
      </c>
      <c r="AD2" s="9" t="s">
        <v>195</v>
      </c>
      <c r="AE2" s="9" t="s">
        <v>35</v>
      </c>
    </row>
    <row r="3" spans="1:31" ht="16.75">
      <c r="A3" s="46" t="s">
        <v>319</v>
      </c>
      <c r="B3" s="10" t="s">
        <v>9</v>
      </c>
      <c r="D3" s="10" t="s">
        <v>8</v>
      </c>
      <c r="E3" s="10" t="s">
        <v>101</v>
      </c>
      <c r="F3" s="10" t="s">
        <v>319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s="16" t="s">
        <v>33</v>
      </c>
      <c r="AC3" s="9" t="s">
        <v>185</v>
      </c>
      <c r="AD3" s="9" t="s">
        <v>196</v>
      </c>
      <c r="AE3" s="9" t="s">
        <v>4</v>
      </c>
    </row>
    <row r="4" spans="1:31" ht="16.75">
      <c r="A4" s="46" t="s">
        <v>8</v>
      </c>
      <c r="B4" s="10" t="s">
        <v>8</v>
      </c>
      <c r="D4" s="10" t="s">
        <v>10</v>
      </c>
      <c r="E4" s="10" t="s">
        <v>101</v>
      </c>
      <c r="F4" s="10" t="s">
        <v>319</v>
      </c>
      <c r="K4" s="85" t="s">
        <v>80</v>
      </c>
      <c r="L4" s="8" t="s">
        <v>0</v>
      </c>
      <c r="M4" s="4">
        <f>GRAFO!J2</f>
        <v>29</v>
      </c>
      <c r="N4" s="11">
        <f>COUNTA(A3:A29)</f>
        <v>27</v>
      </c>
      <c r="O4" s="11">
        <f>COUNTIF(B3:B29,"&lt;&gt;"&amp;"")</f>
        <v>15</v>
      </c>
      <c r="P4" s="2">
        <f>N4-R4</f>
        <v>15</v>
      </c>
      <c r="Q4" s="2">
        <f>M4-O4</f>
        <v>14</v>
      </c>
      <c r="R4" s="2">
        <f>N4-O4</f>
        <v>12</v>
      </c>
      <c r="S4" s="2">
        <f>O4+P4</f>
        <v>30</v>
      </c>
      <c r="T4" s="2">
        <f>Q4+R4</f>
        <v>26</v>
      </c>
      <c r="U4" s="6">
        <f>O4/(O4+R4)</f>
        <v>0.55555555555555558</v>
      </c>
      <c r="V4" s="6">
        <f>O4/(O4+Q4)</f>
        <v>0.51724137931034486</v>
      </c>
      <c r="W4" s="6">
        <f>(O4+P4)/(O4+P4+Q4+R4)</f>
        <v>0.5357142857142857</v>
      </c>
      <c r="X4" s="62">
        <f>AVERAGE(U4:W4)</f>
        <v>0.53617040686006201</v>
      </c>
      <c r="Y4" s="16" t="s">
        <v>21</v>
      </c>
      <c r="AC4" s="9" t="s">
        <v>186</v>
      </c>
      <c r="AD4" s="9" t="s">
        <v>197</v>
      </c>
      <c r="AE4" s="9" t="s">
        <v>205</v>
      </c>
    </row>
    <row r="5" spans="1:31" ht="16.75">
      <c r="A5" s="46" t="s">
        <v>10</v>
      </c>
      <c r="B5" s="10" t="s">
        <v>10</v>
      </c>
      <c r="D5" s="10" t="s">
        <v>12</v>
      </c>
      <c r="E5" s="10" t="s">
        <v>101</v>
      </c>
      <c r="F5" s="10" t="s">
        <v>319</v>
      </c>
      <c r="K5" s="85"/>
      <c r="L5" s="8" t="s">
        <v>100</v>
      </c>
      <c r="M5" s="5">
        <f>GRAFO!J3</f>
        <v>41</v>
      </c>
      <c r="N5" s="12">
        <f>COUNTA(D40:D69)</f>
        <v>30</v>
      </c>
      <c r="O5" s="12">
        <f>COUNTIF(M40:M69,"=1")</f>
        <v>10</v>
      </c>
      <c r="P5" s="2">
        <f>N5-R5</f>
        <v>10</v>
      </c>
      <c r="Q5" s="2">
        <f>M5-O5</f>
        <v>31</v>
      </c>
      <c r="R5" s="2">
        <f>N5-O5</f>
        <v>20</v>
      </c>
      <c r="S5" s="2">
        <f>O5+P5</f>
        <v>20</v>
      </c>
      <c r="T5" s="2">
        <f>Q5+R5</f>
        <v>51</v>
      </c>
      <c r="U5" s="6">
        <f>O5/(O5+R5)</f>
        <v>0.33333333333333331</v>
      </c>
      <c r="V5" s="6">
        <f>O5/(O5+Q5)</f>
        <v>0.24390243902439024</v>
      </c>
      <c r="W5" s="6">
        <f>(O5+P5)/(O5+P5+Q5+R5)</f>
        <v>0.28169014084507044</v>
      </c>
      <c r="X5" s="62">
        <f t="shared" ref="X5:X6" si="0">AVERAGE(U5:W5)</f>
        <v>0.28630863773426468</v>
      </c>
      <c r="Y5" s="16" t="s">
        <v>17</v>
      </c>
      <c r="AC5" s="9" t="s">
        <v>187</v>
      </c>
      <c r="AD5" s="9" t="s">
        <v>198</v>
      </c>
      <c r="AE5" s="9" t="s">
        <v>3</v>
      </c>
    </row>
    <row r="6" spans="1:31" ht="16.75">
      <c r="A6" s="46" t="s">
        <v>12</v>
      </c>
      <c r="B6" s="10" t="s">
        <v>12</v>
      </c>
      <c r="D6" s="10" t="s">
        <v>11</v>
      </c>
      <c r="E6" s="10" t="s">
        <v>101</v>
      </c>
      <c r="F6" s="10" t="s">
        <v>319</v>
      </c>
      <c r="L6" s="8" t="s">
        <v>99</v>
      </c>
      <c r="M6" s="5">
        <v>41</v>
      </c>
      <c r="N6" s="12">
        <f>COUNTA(D40:D69)</f>
        <v>30</v>
      </c>
      <c r="O6" s="12">
        <f>COUNTIF(U40:U69,"=1")</f>
        <v>7</v>
      </c>
      <c r="P6" s="2">
        <f>N6-R6</f>
        <v>7</v>
      </c>
      <c r="Q6" s="2">
        <f>M6-O6</f>
        <v>34</v>
      </c>
      <c r="R6" s="2">
        <f>N6-O6</f>
        <v>23</v>
      </c>
      <c r="S6" s="2">
        <f>O6+P6</f>
        <v>14</v>
      </c>
      <c r="T6" s="2">
        <f>Q6+R6</f>
        <v>57</v>
      </c>
      <c r="U6" s="6">
        <f>O6/(O6+R6)</f>
        <v>0.23333333333333334</v>
      </c>
      <c r="V6" s="6">
        <f>O6/(O6+Q6)</f>
        <v>0.17073170731707318</v>
      </c>
      <c r="W6" s="6">
        <f>(O6+P6)/(O6+P6+Q6+R6)</f>
        <v>0.19718309859154928</v>
      </c>
      <c r="X6" s="62">
        <f t="shared" si="0"/>
        <v>0.20041604641398525</v>
      </c>
      <c r="Y6" s="16" t="s">
        <v>40</v>
      </c>
      <c r="AC6" s="9" t="s">
        <v>188</v>
      </c>
      <c r="AD6" s="9" t="s">
        <v>199</v>
      </c>
      <c r="AE6" s="9" t="s">
        <v>6</v>
      </c>
    </row>
    <row r="7" spans="1:31" ht="16.75">
      <c r="A7" s="46" t="s">
        <v>11</v>
      </c>
      <c r="B7" s="10" t="s">
        <v>11</v>
      </c>
      <c r="D7" s="10" t="s">
        <v>324</v>
      </c>
      <c r="E7" s="10" t="s">
        <v>101</v>
      </c>
      <c r="F7" s="10" t="s">
        <v>323</v>
      </c>
      <c r="X7" s="62">
        <f>AVERAGE(X4:X6)</f>
        <v>0.34096503033610398</v>
      </c>
      <c r="Y7" s="16" t="s">
        <v>13</v>
      </c>
      <c r="AC7" s="9" t="s">
        <v>189</v>
      </c>
      <c r="AD7" s="9" t="s">
        <v>200</v>
      </c>
      <c r="AE7" s="9" t="s">
        <v>206</v>
      </c>
    </row>
    <row r="8" spans="1:31" ht="16.75">
      <c r="A8" s="46" t="s">
        <v>21</v>
      </c>
      <c r="B8" s="10" t="s">
        <v>40</v>
      </c>
      <c r="D8" s="10" t="s">
        <v>324</v>
      </c>
      <c r="E8" s="10" t="s">
        <v>101</v>
      </c>
      <c r="F8" s="10" t="s">
        <v>323</v>
      </c>
      <c r="Y8" s="16" t="s">
        <v>39</v>
      </c>
      <c r="AC8" s="9" t="s">
        <v>190</v>
      </c>
      <c r="AD8" s="9" t="s">
        <v>148</v>
      </c>
      <c r="AE8" s="9" t="s">
        <v>36</v>
      </c>
    </row>
    <row r="9" spans="1:31" ht="16.75">
      <c r="A9" s="46" t="s">
        <v>256</v>
      </c>
      <c r="B9" s="10"/>
      <c r="D9" s="10" t="s">
        <v>55</v>
      </c>
      <c r="E9" s="10" t="s">
        <v>101</v>
      </c>
      <c r="F9" s="10" t="s">
        <v>31</v>
      </c>
      <c r="K9" t="s">
        <v>74</v>
      </c>
      <c r="L9" t="s">
        <v>75</v>
      </c>
      <c r="N9">
        <f>GRAFO!J2</f>
        <v>29</v>
      </c>
      <c r="Y9" s="16" t="s">
        <v>19</v>
      </c>
      <c r="AC9" s="9" t="s">
        <v>191</v>
      </c>
      <c r="AD9" s="9" t="s">
        <v>201</v>
      </c>
      <c r="AE9" s="9" t="s">
        <v>7</v>
      </c>
    </row>
    <row r="10" spans="1:31" ht="16.75">
      <c r="A10" s="46" t="s">
        <v>123</v>
      </c>
      <c r="B10" s="10"/>
      <c r="D10" s="10" t="s">
        <v>56</v>
      </c>
      <c r="E10" s="10" t="s">
        <v>101</v>
      </c>
      <c r="F10" s="10" t="s">
        <v>31</v>
      </c>
      <c r="K10" t="s">
        <v>80</v>
      </c>
      <c r="L10" t="s">
        <v>76</v>
      </c>
      <c r="N10">
        <f>N4</f>
        <v>27</v>
      </c>
      <c r="Y10" s="16" t="s">
        <v>37</v>
      </c>
      <c r="AC10" s="9" t="s">
        <v>192</v>
      </c>
      <c r="AD10" s="9" t="s">
        <v>202</v>
      </c>
      <c r="AE10" s="9" t="s">
        <v>207</v>
      </c>
    </row>
    <row r="11" spans="1:31" ht="16.75">
      <c r="A11" s="46" t="s">
        <v>124</v>
      </c>
      <c r="B11" s="10"/>
      <c r="D11" s="10" t="s">
        <v>57</v>
      </c>
      <c r="E11" s="10" t="s">
        <v>101</v>
      </c>
      <c r="F11" s="10" t="s">
        <v>31</v>
      </c>
      <c r="K11" t="s">
        <v>68</v>
      </c>
      <c r="L11" t="s">
        <v>77</v>
      </c>
      <c r="N11">
        <v>16</v>
      </c>
      <c r="Y11" s="16" t="s">
        <v>10</v>
      </c>
      <c r="AC11" s="9" t="s">
        <v>193</v>
      </c>
      <c r="AD11" s="9" t="s">
        <v>203</v>
      </c>
      <c r="AE11" s="9" t="s">
        <v>208</v>
      </c>
    </row>
    <row r="12" spans="1:31" ht="16.75">
      <c r="A12" s="46" t="s">
        <v>22</v>
      </c>
      <c r="B12" s="10" t="s">
        <v>22</v>
      </c>
      <c r="D12" s="10" t="s">
        <v>22</v>
      </c>
      <c r="E12" s="10" t="s">
        <v>105</v>
      </c>
      <c r="F12" s="10" t="s">
        <v>31</v>
      </c>
      <c r="K12" t="s">
        <v>70</v>
      </c>
      <c r="L12" t="s">
        <v>78</v>
      </c>
      <c r="M12" t="s">
        <v>86</v>
      </c>
      <c r="N12">
        <f>N9-N11</f>
        <v>13</v>
      </c>
      <c r="Y12" s="16" t="s">
        <v>14</v>
      </c>
      <c r="AC12" s="9" t="s">
        <v>194</v>
      </c>
      <c r="AD12" s="9" t="s">
        <v>204</v>
      </c>
      <c r="AE12" s="9" t="s">
        <v>5</v>
      </c>
    </row>
    <row r="13" spans="1:31" ht="16.75">
      <c r="A13" s="46" t="s">
        <v>320</v>
      </c>
      <c r="B13" s="10" t="s">
        <v>13</v>
      </c>
      <c r="D13" s="10" t="s">
        <v>22</v>
      </c>
      <c r="E13" s="10" t="s">
        <v>326</v>
      </c>
      <c r="F13" s="10" t="s">
        <v>26</v>
      </c>
      <c r="K13" t="s">
        <v>69</v>
      </c>
      <c r="L13" t="s">
        <v>79</v>
      </c>
      <c r="M13" t="s">
        <v>87</v>
      </c>
      <c r="Y13" s="16" t="s">
        <v>34</v>
      </c>
    </row>
    <row r="14" spans="1:31" ht="16.75">
      <c r="A14" s="10" t="s">
        <v>160</v>
      </c>
      <c r="B14" s="10"/>
      <c r="D14" s="10" t="s">
        <v>22</v>
      </c>
      <c r="E14" s="10" t="s">
        <v>330</v>
      </c>
      <c r="F14" s="10" t="s">
        <v>319</v>
      </c>
      <c r="K14" t="s">
        <v>83</v>
      </c>
      <c r="M14" t="s">
        <v>88</v>
      </c>
      <c r="Y14" s="16" t="s">
        <v>27</v>
      </c>
    </row>
    <row r="15" spans="1:31" ht="16.75">
      <c r="A15" s="10" t="s">
        <v>321</v>
      </c>
      <c r="B15" s="10"/>
      <c r="D15" s="10" t="s">
        <v>256</v>
      </c>
      <c r="E15" s="10" t="s">
        <v>240</v>
      </c>
      <c r="F15" s="10" t="s">
        <v>10</v>
      </c>
      <c r="K15" t="s">
        <v>89</v>
      </c>
      <c r="M15" t="s">
        <v>92</v>
      </c>
      <c r="Y15" s="16" t="s">
        <v>28</v>
      </c>
    </row>
    <row r="16" spans="1:31" ht="16.75">
      <c r="A16" s="10" t="s">
        <v>322</v>
      </c>
      <c r="B16" s="10"/>
      <c r="D16" s="10" t="s">
        <v>21</v>
      </c>
      <c r="E16" s="10" t="s">
        <v>240</v>
      </c>
      <c r="F16" s="10" t="s">
        <v>8</v>
      </c>
      <c r="K16" t="s">
        <v>90</v>
      </c>
      <c r="M16" t="s">
        <v>93</v>
      </c>
      <c r="Y16" s="16" t="s">
        <v>30</v>
      </c>
    </row>
    <row r="17" spans="1:25" ht="16.75">
      <c r="A17" s="46" t="s">
        <v>26</v>
      </c>
      <c r="B17" s="10" t="s">
        <v>28</v>
      </c>
      <c r="D17" s="10" t="s">
        <v>20</v>
      </c>
      <c r="E17" s="10" t="s">
        <v>101</v>
      </c>
      <c r="F17" s="10" t="s">
        <v>21</v>
      </c>
      <c r="K17" t="s">
        <v>91</v>
      </c>
      <c r="M17" t="s">
        <v>94</v>
      </c>
      <c r="Y17" s="16" t="s">
        <v>29</v>
      </c>
    </row>
    <row r="18" spans="1:25" ht="16.75">
      <c r="A18" s="46" t="s">
        <v>55</v>
      </c>
      <c r="B18" s="10" t="s">
        <v>32</v>
      </c>
      <c r="D18" s="10" t="s">
        <v>20</v>
      </c>
      <c r="E18" s="10" t="s">
        <v>141</v>
      </c>
      <c r="F18" s="10" t="s">
        <v>123</v>
      </c>
      <c r="K18" t="s">
        <v>84</v>
      </c>
      <c r="M18" t="s">
        <v>95</v>
      </c>
      <c r="Y18" s="16" t="s">
        <v>31</v>
      </c>
    </row>
    <row r="19" spans="1:25" ht="16.75">
      <c r="A19" s="46" t="s">
        <v>56</v>
      </c>
      <c r="B19" s="10" t="s">
        <v>34</v>
      </c>
      <c r="D19" s="10" t="s">
        <v>123</v>
      </c>
      <c r="E19" s="10" t="s">
        <v>328</v>
      </c>
      <c r="F19" s="10" t="s">
        <v>259</v>
      </c>
      <c r="K19" t="s">
        <v>85</v>
      </c>
      <c r="M19" t="s">
        <v>96</v>
      </c>
      <c r="Y19" s="16" t="s">
        <v>171</v>
      </c>
    </row>
    <row r="20" spans="1:25" ht="16.75">
      <c r="A20" s="46" t="s">
        <v>57</v>
      </c>
      <c r="B20" s="10" t="s">
        <v>33</v>
      </c>
      <c r="D20" s="10" t="s">
        <v>322</v>
      </c>
      <c r="E20" s="10" t="s">
        <v>101</v>
      </c>
      <c r="F20" s="10" t="s">
        <v>321</v>
      </c>
      <c r="K20" t="s">
        <v>97</v>
      </c>
      <c r="M20" t="s">
        <v>98</v>
      </c>
      <c r="Y20" s="16" t="s">
        <v>15</v>
      </c>
    </row>
    <row r="21" spans="1:25" ht="16.75">
      <c r="A21" s="46" t="s">
        <v>31</v>
      </c>
      <c r="B21" s="10" t="s">
        <v>31</v>
      </c>
      <c r="D21" s="10" t="s">
        <v>322</v>
      </c>
      <c r="E21" s="10" t="s">
        <v>105</v>
      </c>
      <c r="F21" s="10" t="s">
        <v>323</v>
      </c>
      <c r="Y21" s="16" t="s">
        <v>16</v>
      </c>
    </row>
    <row r="22" spans="1:25" ht="16.75">
      <c r="A22" s="46" t="s">
        <v>323</v>
      </c>
      <c r="B22" s="10"/>
      <c r="D22" s="10" t="s">
        <v>160</v>
      </c>
      <c r="E22" s="10" t="s">
        <v>101</v>
      </c>
      <c r="F22" s="10" t="s">
        <v>321</v>
      </c>
      <c r="Y22" s="16" t="s">
        <v>32</v>
      </c>
    </row>
    <row r="23" spans="1:25" ht="16.75">
      <c r="A23" s="46" t="s">
        <v>324</v>
      </c>
      <c r="B23" s="10"/>
      <c r="D23" s="10" t="s">
        <v>160</v>
      </c>
      <c r="E23" s="10" t="s">
        <v>243</v>
      </c>
      <c r="F23" s="10" t="s">
        <v>31</v>
      </c>
      <c r="Y23" s="16" t="s">
        <v>9</v>
      </c>
    </row>
    <row r="24" spans="1:25" ht="16.75">
      <c r="A24" s="46" t="s">
        <v>325</v>
      </c>
      <c r="B24" s="10"/>
      <c r="D24" s="10" t="s">
        <v>26</v>
      </c>
      <c r="E24" s="10" t="s">
        <v>240</v>
      </c>
      <c r="F24" s="10" t="s">
        <v>11</v>
      </c>
      <c r="Y24" s="16" t="s">
        <v>18</v>
      </c>
    </row>
    <row r="25" spans="1:25" ht="16.75">
      <c r="A25" s="46" t="s">
        <v>20</v>
      </c>
      <c r="B25" s="10" t="s">
        <v>20</v>
      </c>
      <c r="D25" s="10" t="s">
        <v>320</v>
      </c>
      <c r="E25" s="10" t="s">
        <v>240</v>
      </c>
      <c r="F25" s="10" t="s">
        <v>12</v>
      </c>
      <c r="Y25" s="16" t="s">
        <v>23</v>
      </c>
    </row>
    <row r="26" spans="1:25" ht="16.75">
      <c r="A26" s="46" t="s">
        <v>58</v>
      </c>
      <c r="B26" s="10" t="s">
        <v>13</v>
      </c>
      <c r="D26" s="10" t="s">
        <v>320</v>
      </c>
      <c r="E26" s="10" t="s">
        <v>215</v>
      </c>
      <c r="F26" s="10" t="s">
        <v>58</v>
      </c>
      <c r="Y26" s="16" t="s">
        <v>22</v>
      </c>
    </row>
    <row r="27" spans="1:25" ht="16.75">
      <c r="A27" s="46" t="s">
        <v>259</v>
      </c>
      <c r="B27" s="10"/>
      <c r="D27" s="10" t="s">
        <v>58</v>
      </c>
      <c r="E27" s="10" t="s">
        <v>143</v>
      </c>
      <c r="F27" s="10" t="s">
        <v>321</v>
      </c>
      <c r="Y27" s="16" t="s">
        <v>12</v>
      </c>
    </row>
    <row r="28" spans="1:25" ht="16.75">
      <c r="A28" s="46" t="s">
        <v>165</v>
      </c>
      <c r="B28" s="10"/>
      <c r="D28" s="10" t="s">
        <v>320</v>
      </c>
      <c r="E28" s="10" t="s">
        <v>218</v>
      </c>
      <c r="F28" s="10" t="s">
        <v>165</v>
      </c>
      <c r="Y28" s="16" t="s">
        <v>24</v>
      </c>
    </row>
    <row r="29" spans="1:25" ht="16.75">
      <c r="A29" s="46" t="s">
        <v>161</v>
      </c>
      <c r="B29" s="10"/>
      <c r="D29" s="10" t="s">
        <v>165</v>
      </c>
      <c r="E29" s="10" t="s">
        <v>327</v>
      </c>
      <c r="F29" s="10" t="s">
        <v>161</v>
      </c>
      <c r="Y29" s="16" t="s">
        <v>8</v>
      </c>
    </row>
    <row r="30" spans="1:25" ht="16.75">
      <c r="A30" s="10"/>
      <c r="B30" s="10"/>
      <c r="D30" s="10" t="s">
        <v>26</v>
      </c>
      <c r="E30" s="10" t="s">
        <v>141</v>
      </c>
      <c r="F30" s="10" t="s">
        <v>161</v>
      </c>
      <c r="Y30" s="16" t="s">
        <v>20</v>
      </c>
    </row>
    <row r="31" spans="1:25" ht="16.75">
      <c r="A31" s="10"/>
      <c r="B31" s="10"/>
      <c r="D31" s="10" t="s">
        <v>259</v>
      </c>
      <c r="E31" s="10" t="s">
        <v>141</v>
      </c>
      <c r="F31" s="10" t="s">
        <v>124</v>
      </c>
      <c r="Y31" s="16" t="s">
        <v>11</v>
      </c>
    </row>
    <row r="32" spans="1:25">
      <c r="A32" s="10"/>
      <c r="B32" s="10"/>
      <c r="D32" s="10" t="s">
        <v>256</v>
      </c>
      <c r="E32" s="10" t="s">
        <v>329</v>
      </c>
      <c r="F32" s="10" t="s">
        <v>124</v>
      </c>
    </row>
    <row r="33" spans="1:21">
      <c r="A33" s="10"/>
      <c r="B33" s="10"/>
      <c r="D33" s="10"/>
      <c r="E33" s="10"/>
      <c r="F33" s="10"/>
    </row>
    <row r="34" spans="1:21">
      <c r="A34" s="10"/>
      <c r="B34" s="10"/>
      <c r="D34" s="10"/>
      <c r="E34" s="10"/>
      <c r="F34" s="10"/>
    </row>
    <row r="35" spans="1:21">
      <c r="A35" s="10"/>
      <c r="B35" s="10"/>
      <c r="D35" s="10"/>
      <c r="E35" s="10"/>
      <c r="F35" s="10"/>
    </row>
    <row r="36" spans="1:21">
      <c r="A36" s="10"/>
      <c r="B36" s="10"/>
      <c r="D36" s="10"/>
      <c r="E36" s="10"/>
      <c r="F36" s="10"/>
    </row>
    <row r="37" spans="1:21">
      <c r="A37" s="10"/>
      <c r="B37" s="10"/>
    </row>
    <row r="38" spans="1:21">
      <c r="A38" s="30" t="s">
        <v>182</v>
      </c>
      <c r="B38" s="30"/>
      <c r="D38" s="104" t="s">
        <v>222</v>
      </c>
      <c r="E38" s="105"/>
      <c r="F38" s="105"/>
      <c r="G38" s="106"/>
      <c r="I38" s="98" t="s">
        <v>224</v>
      </c>
      <c r="J38" s="99"/>
      <c r="K38" s="99"/>
      <c r="L38" s="99"/>
      <c r="M38" s="100"/>
      <c r="O38" s="94" t="s">
        <v>229</v>
      </c>
      <c r="P38" s="94"/>
      <c r="Q38" s="94"/>
      <c r="R38" s="94"/>
      <c r="S38" s="94"/>
      <c r="T38" s="94"/>
      <c r="U38" s="94"/>
    </row>
    <row r="39" spans="1:21">
      <c r="A39" s="32" t="s">
        <v>251</v>
      </c>
      <c r="B39" s="33" t="s">
        <v>252</v>
      </c>
      <c r="D39" s="34" t="s">
        <v>220</v>
      </c>
      <c r="E39" s="34" t="s">
        <v>219</v>
      </c>
      <c r="F39" s="34" t="s">
        <v>221</v>
      </c>
      <c r="G39" s="34" t="s">
        <v>223</v>
      </c>
      <c r="I39" s="101" t="s">
        <v>225</v>
      </c>
      <c r="J39" s="102"/>
      <c r="K39" s="103"/>
      <c r="L39" s="101" t="s">
        <v>226</v>
      </c>
      <c r="M39" s="103"/>
      <c r="O39" s="95" t="s">
        <v>227</v>
      </c>
      <c r="P39" s="96"/>
      <c r="Q39" s="96"/>
      <c r="R39" s="96"/>
      <c r="S39" s="97"/>
      <c r="T39" s="95" t="s">
        <v>228</v>
      </c>
      <c r="U39" s="97"/>
    </row>
    <row r="40" spans="1:21">
      <c r="A40" s="46" t="s">
        <v>101</v>
      </c>
      <c r="B40" s="10" t="s">
        <v>3</v>
      </c>
      <c r="D40" s="10" t="str">
        <f>IF(INDEX($A$3:$B$29,MATCH(D3,$A$3:$A$29,0),2)&lt;&gt;0,INDEX($A$3:$B$29,MATCH(D3,$A$3:$A$29,0),2),D3)</f>
        <v>politico</v>
      </c>
      <c r="E40" s="10" t="str">
        <f>IF(INDEX($A$40:$B$54,MATCH(E3,$A$40:$A$54,0),2)&lt;&gt;0,INDEX($A$40:$B$54,MATCH(E3,$A$40:$A$54,0),2),E3)</f>
        <v>rdfs:subClassOf</v>
      </c>
      <c r="F40" s="10" t="str">
        <f>IF(INDEX($A$3:$B$29,MATCH(F3,$A$3:$A$29,0),2)&lt;&gt;0,INDEX($A$3:$B$29,MATCH(F3,$A$3:$A$29,0),2),F3)</f>
        <v>nivel</v>
      </c>
      <c r="G40" s="3" t="str">
        <f>IF(INDEX($A$3:$B$29,MATCH(F3,$A$3:$A$29,0),2)&lt;&gt;0,"OK","NOK")</f>
        <v>OK</v>
      </c>
      <c r="I40" s="10" t="str">
        <f t="shared" ref="I40:I63" si="1">D40 &amp;"-"&amp;F40</f>
        <v>politico-nivel</v>
      </c>
      <c r="J40" s="10"/>
      <c r="K40" s="10"/>
      <c r="L40" s="3">
        <f>IF(INDEX(GRAFO!$L$2:'GRAFO'!$L$41,MATCH(I40,GRAFO!$L$2:'GRAFO'!$L$41,0),1)&lt;&gt;0,1,0)</f>
        <v>1</v>
      </c>
      <c r="M40" s="3">
        <f>IFERROR(L40,0)</f>
        <v>1</v>
      </c>
      <c r="O40" s="10" t="str">
        <f t="shared" ref="O40:O63" si="2">D40 &amp; "-" &amp; E40 &amp; "-" &amp; F40</f>
        <v>politico-rdfs:subClassOf-nivel</v>
      </c>
      <c r="P40" s="10"/>
      <c r="Q40" s="10"/>
      <c r="R40" s="10"/>
      <c r="S40" s="10"/>
      <c r="T40" s="10">
        <f>IF(INDEX(GRAFO!$M$2:'GRAFO'!$M$41,MATCH(O40,GRAFO!$M$2:'GRAFO'!$M$41,0),1)&lt;&gt;0,1,0)</f>
        <v>1</v>
      </c>
      <c r="U40" s="10">
        <f>IFERROR(T40,0)</f>
        <v>1</v>
      </c>
    </row>
    <row r="41" spans="1:21">
      <c r="A41" s="46" t="s">
        <v>143</v>
      </c>
      <c r="B41" s="10" t="s">
        <v>4</v>
      </c>
      <c r="D41" s="10" t="str">
        <f t="shared" ref="D41:D69" si="3">IF(INDEX($A$3:$B$29,MATCH(D4,$A$3:$A$29,0),2)&lt;&gt;0,INDEX($A$3:$B$29,MATCH(D4,$A$3:$A$29,0),2),D4)</f>
        <v>estrategico</v>
      </c>
      <c r="E41" s="10" t="str">
        <f t="shared" ref="E41:E69" si="4">IF(INDEX($A$40:$B$54,MATCH(E4,$A$40:$A$54,0),2)&lt;&gt;0,INDEX($A$40:$B$54,MATCH(E4,$A$40:$A$54,0),2),E4)</f>
        <v>rdfs:subClassOf</v>
      </c>
      <c r="F41" s="10" t="str">
        <f t="shared" ref="F41:F69" si="5">IF(INDEX($A$3:$B$29,MATCH(F4,$A$3:$A$29,0),2)&lt;&gt;0,INDEX($A$3:$B$29,MATCH(F4,$A$3:$A$29,0),2),F4)</f>
        <v>nivel</v>
      </c>
      <c r="G41" s="3" t="str">
        <f t="shared" ref="G41:G69" si="6">IF(INDEX($A$3:$B$29,MATCH(F4,$A$3:$A$29,0),2)&lt;&gt;0,"OK","NOK")</f>
        <v>OK</v>
      </c>
      <c r="I41" s="10" t="str">
        <f t="shared" si="1"/>
        <v>estrategico-nivel</v>
      </c>
      <c r="J41" s="10"/>
      <c r="K41" s="10"/>
      <c r="L41" s="3">
        <f>IF(INDEX(GRAFO!$L$2:'GRAFO'!$L$41,MATCH(I41,GRAFO!$L$2:'GRAFO'!$L$41,0),1)&lt;&gt;0,1,0)</f>
        <v>1</v>
      </c>
      <c r="M41" s="3">
        <f t="shared" ref="M41:M63" si="7">IFERROR(L41,0)</f>
        <v>1</v>
      </c>
      <c r="O41" s="10" t="str">
        <f t="shared" si="2"/>
        <v>estrategico-rdfs:subClassOf-nivel</v>
      </c>
      <c r="P41" s="10"/>
      <c r="Q41" s="10"/>
      <c r="R41" s="10"/>
      <c r="S41" s="10"/>
      <c r="T41" s="10">
        <f>IF(INDEX(GRAFO!$M$2:'GRAFO'!$M$41,MATCH(O41,GRAFO!$M$2:'GRAFO'!$M$41,0),1)&lt;&gt;0,1,0)</f>
        <v>1</v>
      </c>
      <c r="U41" s="10">
        <f t="shared" ref="U41:U63" si="8">IFERROR(T41,0)</f>
        <v>1</v>
      </c>
    </row>
    <row r="42" spans="1:21">
      <c r="A42" s="46" t="s">
        <v>240</v>
      </c>
      <c r="B42" s="10" t="s">
        <v>4</v>
      </c>
      <c r="D42" s="10" t="str">
        <f t="shared" si="3"/>
        <v>operacional</v>
      </c>
      <c r="E42" s="10" t="str">
        <f t="shared" si="4"/>
        <v>rdfs:subClassOf</v>
      </c>
      <c r="F42" s="10" t="str">
        <f t="shared" si="5"/>
        <v>nivel</v>
      </c>
      <c r="G42" s="3" t="str">
        <f t="shared" si="6"/>
        <v>OK</v>
      </c>
      <c r="I42" s="10" t="str">
        <f t="shared" si="1"/>
        <v>operacional-nivel</v>
      </c>
      <c r="J42" s="10"/>
      <c r="K42" s="10"/>
      <c r="L42" s="3">
        <f>IF(INDEX(GRAFO!$L$2:'GRAFO'!$L$41,MATCH(I42,GRAFO!$L$2:'GRAFO'!$L$41,0),1)&lt;&gt;0,1,0)</f>
        <v>1</v>
      </c>
      <c r="M42" s="3">
        <f t="shared" si="7"/>
        <v>1</v>
      </c>
      <c r="O42" s="10" t="str">
        <f t="shared" si="2"/>
        <v>operacional-rdfs:subClassOf-nivel</v>
      </c>
      <c r="P42" s="10"/>
      <c r="Q42" s="10"/>
      <c r="R42" s="10"/>
      <c r="S42" s="10"/>
      <c r="T42" s="10">
        <f>IF(INDEX(GRAFO!$M$2:'GRAFO'!$M$41,MATCH(O42,GRAFO!$M$2:'GRAFO'!$M$41,0),1)&lt;&gt;0,1,0)</f>
        <v>1</v>
      </c>
      <c r="U42" s="10">
        <f t="shared" si="8"/>
        <v>1</v>
      </c>
    </row>
    <row r="43" spans="1:21">
      <c r="A43" s="46" t="s">
        <v>326</v>
      </c>
      <c r="B43" s="10" t="s">
        <v>7</v>
      </c>
      <c r="D43" s="10" t="str">
        <f t="shared" si="3"/>
        <v>tatico</v>
      </c>
      <c r="E43" s="10" t="str">
        <f t="shared" si="4"/>
        <v>rdfs:subClassOf</v>
      </c>
      <c r="F43" s="10" t="str">
        <f t="shared" si="5"/>
        <v>nivel</v>
      </c>
      <c r="G43" s="3" t="str">
        <f t="shared" si="6"/>
        <v>OK</v>
      </c>
      <c r="I43" s="10" t="str">
        <f t="shared" si="1"/>
        <v>tatico-nivel</v>
      </c>
      <c r="J43" s="10"/>
      <c r="K43" s="10"/>
      <c r="L43" s="3">
        <f>IF(INDEX(GRAFO!$L$2:'GRAFO'!$L$41,MATCH(I43,GRAFO!$L$2:'GRAFO'!$L$41,0),1)&lt;&gt;0,1,0)</f>
        <v>1</v>
      </c>
      <c r="M43" s="3">
        <f t="shared" si="7"/>
        <v>1</v>
      </c>
      <c r="O43" s="10" t="str">
        <f t="shared" si="2"/>
        <v>tatico-rdfs:subClassOf-nivel</v>
      </c>
      <c r="P43" s="10"/>
      <c r="Q43" s="10"/>
      <c r="R43" s="10"/>
      <c r="S43" s="10"/>
      <c r="T43" s="10">
        <f>IF(INDEX(GRAFO!$M$2:'GRAFO'!$M$41,MATCH(O43,GRAFO!$M$2:'GRAFO'!$M$41,0),1)&lt;&gt;0,1,0)</f>
        <v>1</v>
      </c>
      <c r="U43" s="10">
        <f t="shared" si="8"/>
        <v>1</v>
      </c>
    </row>
    <row r="44" spans="1:21">
      <c r="A44" s="46" t="s">
        <v>141</v>
      </c>
      <c r="B44" s="10" t="s">
        <v>7</v>
      </c>
      <c r="D44" s="10" t="str">
        <f t="shared" si="3"/>
        <v>defesa_ativa</v>
      </c>
      <c r="E44" s="10" t="str">
        <f t="shared" si="4"/>
        <v>rdfs:subClassOf</v>
      </c>
      <c r="F44" s="10" t="str">
        <f t="shared" si="5"/>
        <v>defesa_aeroespacial</v>
      </c>
      <c r="G44" s="3" t="str">
        <f t="shared" si="6"/>
        <v>NOK</v>
      </c>
      <c r="I44" s="10" t="str">
        <f t="shared" si="1"/>
        <v>defesa_ativa-defesa_aeroespacial</v>
      </c>
      <c r="J44" s="10"/>
      <c r="K44" s="10"/>
      <c r="L44" s="3" t="e">
        <f>IF(INDEX(GRAFO!$L$2:'GRAFO'!$L$41,MATCH(I44,GRAFO!$L$2:'GRAFO'!$L$41,0),1)&lt;&gt;0,1,0)</f>
        <v>#N/A</v>
      </c>
      <c r="M44" s="3">
        <f t="shared" si="7"/>
        <v>0</v>
      </c>
      <c r="O44" s="10" t="str">
        <f t="shared" si="2"/>
        <v>defesa_ativa-rdfs:subClassOf-defesa_aeroespacial</v>
      </c>
      <c r="P44" s="10"/>
      <c r="Q44" s="10"/>
      <c r="R44" s="10"/>
      <c r="S44" s="10"/>
      <c r="T44" s="10" t="e">
        <f>IF(INDEX(GRAFO!$M$2:'GRAFO'!$M$41,MATCH(O44,GRAFO!$M$2:'GRAFO'!$M$41,0),1)&lt;&gt;0,1,0)</f>
        <v>#N/A</v>
      </c>
      <c r="U44" s="10">
        <f t="shared" si="8"/>
        <v>0</v>
      </c>
    </row>
    <row r="45" spans="1:21">
      <c r="A45" s="46" t="s">
        <v>142</v>
      </c>
      <c r="B45" s="10" t="s">
        <v>7</v>
      </c>
      <c r="D45" s="10" t="str">
        <f t="shared" si="3"/>
        <v>defesa_ativa</v>
      </c>
      <c r="E45" s="10" t="str">
        <f t="shared" si="4"/>
        <v>rdfs:subClassOf</v>
      </c>
      <c r="F45" s="10" t="str">
        <f t="shared" si="5"/>
        <v>defesa_aeroespacial</v>
      </c>
      <c r="G45" s="3" t="str">
        <f t="shared" si="6"/>
        <v>NOK</v>
      </c>
      <c r="H45">
        <f>COUNTIFS(GRAFO!C2:C42,"=D34",GRAFO!E2:E42,"=F34")</f>
        <v>0</v>
      </c>
      <c r="I45" s="10" t="str">
        <f t="shared" si="1"/>
        <v>defesa_ativa-defesa_aeroespacial</v>
      </c>
      <c r="J45" s="10"/>
      <c r="K45" s="10"/>
      <c r="L45" s="3" t="e">
        <f>IF(INDEX(GRAFO!$L$2:'GRAFO'!$L$41,MATCH(I45,GRAFO!$L$2:'GRAFO'!$L$41,0),1)&lt;&gt;0,1,0)</f>
        <v>#N/A</v>
      </c>
      <c r="M45" s="3">
        <f t="shared" si="7"/>
        <v>0</v>
      </c>
      <c r="O45" s="10" t="str">
        <f t="shared" si="2"/>
        <v>defesa_ativa-rdfs:subClassOf-defesa_aeroespacial</v>
      </c>
      <c r="P45" s="10"/>
      <c r="Q45" s="10"/>
      <c r="R45" s="10"/>
      <c r="S45" s="10"/>
      <c r="T45" s="10" t="e">
        <f>IF(INDEX(GRAFO!$M$2:'GRAFO'!$M$41,MATCH(O45,GRAFO!$M$2:'GRAFO'!$M$41,0),1)&lt;&gt;0,1,0)</f>
        <v>#N/A</v>
      </c>
      <c r="U45" s="10">
        <f t="shared" si="8"/>
        <v>0</v>
      </c>
    </row>
    <row r="46" spans="1:21">
      <c r="A46" s="46" t="s">
        <v>105</v>
      </c>
      <c r="B46" s="10" t="s">
        <v>5</v>
      </c>
      <c r="D46" s="10" t="str">
        <f t="shared" si="3"/>
        <v>marinha</v>
      </c>
      <c r="E46" s="10" t="str">
        <f t="shared" si="4"/>
        <v>rdfs:subClassOf</v>
      </c>
      <c r="F46" s="10" t="str">
        <f t="shared" si="5"/>
        <v>forcas_armadas</v>
      </c>
      <c r="G46" s="3" t="str">
        <f t="shared" si="6"/>
        <v>OK</v>
      </c>
      <c r="I46" s="10" t="str">
        <f t="shared" si="1"/>
        <v>marinha-forcas_armadas</v>
      </c>
      <c r="J46" s="10"/>
      <c r="K46" s="10"/>
      <c r="L46" s="3">
        <f>IF(INDEX(GRAFO!$L$2:'GRAFO'!$L$41,MATCH(I46,GRAFO!$L$2:'GRAFO'!$L$41,0),1)&lt;&gt;0,1,0)</f>
        <v>1</v>
      </c>
      <c r="M46" s="3">
        <f t="shared" si="7"/>
        <v>1</v>
      </c>
      <c r="O46" s="10" t="str">
        <f t="shared" si="2"/>
        <v>marinha-rdfs:subClassOf-forcas_armadas</v>
      </c>
      <c r="P46" s="10"/>
      <c r="Q46" s="10"/>
      <c r="R46" s="10"/>
      <c r="S46" s="10"/>
      <c r="T46" s="10">
        <f>IF(INDEX(GRAFO!$M$2:'GRAFO'!$M$41,MATCH(O46,GRAFO!$M$2:'GRAFO'!$M$41,0),1)&lt;&gt;0,1,0)</f>
        <v>1</v>
      </c>
      <c r="U46" s="10">
        <f t="shared" si="8"/>
        <v>1</v>
      </c>
    </row>
    <row r="47" spans="1:21">
      <c r="A47" s="46" t="s">
        <v>218</v>
      </c>
      <c r="B47" s="10" t="s">
        <v>7</v>
      </c>
      <c r="C47" s="24"/>
      <c r="D47" s="10" t="str">
        <f t="shared" si="3"/>
        <v>exercito</v>
      </c>
      <c r="E47" s="10" t="str">
        <f t="shared" si="4"/>
        <v>rdfs:subClassOf</v>
      </c>
      <c r="F47" s="10" t="str">
        <f t="shared" si="5"/>
        <v>forcas_armadas</v>
      </c>
      <c r="G47" s="3" t="str">
        <f t="shared" si="6"/>
        <v>OK</v>
      </c>
      <c r="I47" s="10" t="str">
        <f t="shared" si="1"/>
        <v>exercito-forcas_armadas</v>
      </c>
      <c r="J47" s="10"/>
      <c r="K47" s="10"/>
      <c r="L47" s="3">
        <f>IF(INDEX(GRAFO!$L$2:'GRAFO'!$L$41,MATCH(I47,GRAFO!$L$2:'GRAFO'!$L$41,0),1)&lt;&gt;0,1,0)</f>
        <v>1</v>
      </c>
      <c r="M47" s="3">
        <f t="shared" si="7"/>
        <v>1</v>
      </c>
      <c r="O47" s="10" t="str">
        <f t="shared" si="2"/>
        <v>exercito-rdfs:subClassOf-forcas_armadas</v>
      </c>
      <c r="P47" s="10"/>
      <c r="Q47" s="10"/>
      <c r="R47" s="10"/>
      <c r="S47" s="10"/>
      <c r="T47" s="10">
        <f>IF(INDEX(GRAFO!$M$2:'GRAFO'!$M$41,MATCH(O47,GRAFO!$M$2:'GRAFO'!$M$41,0),1)&lt;&gt;0,1,0)</f>
        <v>1</v>
      </c>
      <c r="U47" s="10">
        <f t="shared" si="8"/>
        <v>1</v>
      </c>
    </row>
    <row r="48" spans="1:21">
      <c r="A48" s="46" t="s">
        <v>327</v>
      </c>
      <c r="B48" s="10" t="s">
        <v>4</v>
      </c>
      <c r="C48" s="9" t="str">
        <f t="shared" ref="C48:C63" si="9">IF(INDEX($A$3:$B$18,MATCH(D3,$A$3:$A$17,0),2)&lt;&gt;0,"OK","NOK")</f>
        <v>OK</v>
      </c>
      <c r="D48" s="10" t="str">
        <f t="shared" si="3"/>
        <v>aeronautica</v>
      </c>
      <c r="E48" s="10" t="str">
        <f t="shared" si="4"/>
        <v>rdfs:subClassOf</v>
      </c>
      <c r="F48" s="10" t="str">
        <f t="shared" si="5"/>
        <v>forcas_armadas</v>
      </c>
      <c r="G48" s="3" t="str">
        <f t="shared" si="6"/>
        <v>OK</v>
      </c>
      <c r="I48" s="10" t="str">
        <f t="shared" si="1"/>
        <v>aeronautica-forcas_armadas</v>
      </c>
      <c r="J48" s="10"/>
      <c r="K48" s="10"/>
      <c r="L48" s="3">
        <f>IF(INDEX(GRAFO!$L$2:'GRAFO'!$L$41,MATCH(I48,GRAFO!$L$2:'GRAFO'!$L$41,0),1)&lt;&gt;0,1,0)</f>
        <v>1</v>
      </c>
      <c r="M48" s="3">
        <f t="shared" si="7"/>
        <v>1</v>
      </c>
      <c r="O48" s="10" t="str">
        <f t="shared" si="2"/>
        <v>aeronautica-rdfs:subClassOf-forcas_armadas</v>
      </c>
      <c r="P48" s="10"/>
      <c r="Q48" s="10"/>
      <c r="R48" s="10"/>
      <c r="S48" s="10"/>
      <c r="T48" s="10">
        <f>IF(INDEX(GRAFO!$M$2:'GRAFO'!$M$41,MATCH(O48,GRAFO!$M$2:'GRAFO'!$M$41,0),1)&lt;&gt;0,1,0)</f>
        <v>1</v>
      </c>
      <c r="U48" s="10">
        <f t="shared" si="8"/>
        <v>1</v>
      </c>
    </row>
    <row r="49" spans="1:21">
      <c r="A49" s="46" t="s">
        <v>243</v>
      </c>
      <c r="B49" s="10" t="s">
        <v>4</v>
      </c>
      <c r="C49" s="9" t="str">
        <f t="shared" si="9"/>
        <v>OK</v>
      </c>
      <c r="D49" s="10" t="str">
        <f t="shared" si="3"/>
        <v>operacao_conjunta</v>
      </c>
      <c r="E49" s="10" t="str">
        <f t="shared" si="4"/>
        <v>c2rm:applied_to</v>
      </c>
      <c r="F49" s="10" t="str">
        <f t="shared" si="5"/>
        <v>forcas_armadas</v>
      </c>
      <c r="G49" s="3" t="str">
        <f t="shared" si="6"/>
        <v>OK</v>
      </c>
      <c r="I49" s="10" t="str">
        <f t="shared" si="1"/>
        <v>operacao_conjunta-forcas_armadas</v>
      </c>
      <c r="J49" s="10"/>
      <c r="K49" s="10"/>
      <c r="L49" s="3" t="e">
        <f>IF(INDEX(GRAFO!$L$2:'GRAFO'!$L$41,MATCH(I49,GRAFO!$L$2:'GRAFO'!$L$41,0),1)&lt;&gt;0,1,0)</f>
        <v>#N/A</v>
      </c>
      <c r="M49" s="3">
        <f t="shared" si="7"/>
        <v>0</v>
      </c>
      <c r="O49" s="10" t="str">
        <f t="shared" si="2"/>
        <v>operacao_conjunta-c2rm:applied_to-forcas_armadas</v>
      </c>
      <c r="P49" s="10"/>
      <c r="Q49" s="10"/>
      <c r="R49" s="10"/>
      <c r="S49" s="10"/>
      <c r="T49" s="10" t="e">
        <f>IF(INDEX(GRAFO!$M$2:'GRAFO'!$M$41,MATCH(O49,GRAFO!$M$2:'GRAFO'!$M$41,0),1)&lt;&gt;0,1,0)</f>
        <v>#N/A</v>
      </c>
      <c r="U49" s="10">
        <f t="shared" si="8"/>
        <v>0</v>
      </c>
    </row>
    <row r="50" spans="1:21">
      <c r="A50" s="46" t="s">
        <v>328</v>
      </c>
      <c r="B50" s="10" t="s">
        <v>4</v>
      </c>
      <c r="C50" s="9" t="str">
        <f t="shared" si="9"/>
        <v>OK</v>
      </c>
      <c r="D50" s="10" t="str">
        <f t="shared" si="3"/>
        <v>operacao_conjunta</v>
      </c>
      <c r="E50" s="10" t="str">
        <f t="shared" si="4"/>
        <v>c2rm:responsible_for</v>
      </c>
      <c r="F50" s="10" t="str">
        <f t="shared" si="5"/>
        <v>forca_componente</v>
      </c>
      <c r="G50" s="3" t="str">
        <f t="shared" si="6"/>
        <v>OK</v>
      </c>
      <c r="I50" s="10" t="str">
        <f t="shared" si="1"/>
        <v>operacao_conjunta-forca_componente</v>
      </c>
      <c r="J50" s="10"/>
      <c r="K50" s="10"/>
      <c r="L50" s="3" t="e">
        <f>IF(INDEX(GRAFO!$L$2:'GRAFO'!$L$41,MATCH(I50,GRAFO!$L$2:'GRAFO'!$L$41,0),1)&lt;&gt;0,1,0)</f>
        <v>#N/A</v>
      </c>
      <c r="M50" s="3">
        <f t="shared" si="7"/>
        <v>0</v>
      </c>
      <c r="O50" s="10" t="str">
        <f t="shared" si="2"/>
        <v>operacao_conjunta-c2rm:responsible_for-forca_componente</v>
      </c>
      <c r="P50" s="10"/>
      <c r="Q50" s="10"/>
      <c r="R50" s="10"/>
      <c r="S50" s="10"/>
      <c r="T50" s="10" t="e">
        <f>IF(INDEX(GRAFO!$M$2:'GRAFO'!$M$41,MATCH(O50,GRAFO!$M$2:'GRAFO'!$M$41,0),1)&lt;&gt;0,1,0)</f>
        <v>#N/A</v>
      </c>
      <c r="U50" s="10">
        <f t="shared" si="8"/>
        <v>0</v>
      </c>
    </row>
    <row r="51" spans="1:21">
      <c r="A51" s="46" t="s">
        <v>109</v>
      </c>
      <c r="B51" s="10" t="s">
        <v>4</v>
      </c>
      <c r="C51" s="9" t="str">
        <f t="shared" si="9"/>
        <v>OK</v>
      </c>
      <c r="D51" s="10" t="str">
        <f t="shared" si="3"/>
        <v>operacao_conjunta</v>
      </c>
      <c r="E51" s="10" t="str">
        <f t="shared" si="4"/>
        <v>rdfs:seeAlso</v>
      </c>
      <c r="F51" s="10" t="str">
        <f t="shared" si="5"/>
        <v>nivel</v>
      </c>
      <c r="G51" s="3" t="str">
        <f t="shared" si="6"/>
        <v>OK</v>
      </c>
      <c r="I51" s="10" t="str">
        <f t="shared" si="1"/>
        <v>operacao_conjunta-nivel</v>
      </c>
      <c r="J51" s="10"/>
      <c r="K51" s="10"/>
      <c r="L51" s="3" t="e">
        <f>IF(INDEX(GRAFO!$L$2:'GRAFO'!$L$41,MATCH(I51,GRAFO!$L$2:'GRAFO'!$L$41,0),1)&lt;&gt;0,1,0)</f>
        <v>#N/A</v>
      </c>
      <c r="M51" s="3">
        <f t="shared" si="7"/>
        <v>0</v>
      </c>
      <c r="O51" s="10" t="str">
        <f t="shared" si="2"/>
        <v>operacao_conjunta-rdfs:seeAlso-nivel</v>
      </c>
      <c r="P51" s="10"/>
      <c r="Q51" s="10"/>
      <c r="R51" s="10"/>
      <c r="S51" s="10"/>
      <c r="T51" s="10" t="e">
        <f>IF(INDEX(GRAFO!$M$2:'GRAFO'!$M$41,MATCH(O51,GRAFO!$M$2:'GRAFO'!$M$41,0),1)&lt;&gt;0,1,0)</f>
        <v>#N/A</v>
      </c>
      <c r="U51" s="10">
        <f t="shared" si="8"/>
        <v>0</v>
      </c>
    </row>
    <row r="52" spans="1:21">
      <c r="A52" s="46" t="s">
        <v>329</v>
      </c>
      <c r="B52" s="10" t="s">
        <v>7</v>
      </c>
      <c r="C52" s="9" t="e">
        <f t="shared" si="9"/>
        <v>#N/A</v>
      </c>
      <c r="D52" s="10" t="str">
        <f t="shared" si="3"/>
        <v>ministerio_da_defesa</v>
      </c>
      <c r="E52" s="10" t="str">
        <f t="shared" si="4"/>
        <v>rdfs:seeAlso</v>
      </c>
      <c r="F52" s="10" t="str">
        <f t="shared" si="5"/>
        <v>estrategico</v>
      </c>
      <c r="G52" s="3" t="str">
        <f t="shared" si="6"/>
        <v>OK</v>
      </c>
      <c r="I52" s="10" t="str">
        <f t="shared" si="1"/>
        <v>ministerio_da_defesa-estrategico</v>
      </c>
      <c r="J52" s="10"/>
      <c r="K52" s="10"/>
      <c r="L52" s="3" t="e">
        <f>IF(INDEX(GRAFO!$L$2:'GRAFO'!$L$41,MATCH(I52,GRAFO!$L$2:'GRAFO'!$L$41,0),1)&lt;&gt;0,1,0)</f>
        <v>#N/A</v>
      </c>
      <c r="M52" s="3">
        <f t="shared" si="7"/>
        <v>0</v>
      </c>
      <c r="O52" s="10" t="str">
        <f t="shared" si="2"/>
        <v>ministerio_da_defesa-rdfs:seeAlso-estrategico</v>
      </c>
      <c r="P52" s="10"/>
      <c r="Q52" s="10"/>
      <c r="R52" s="10"/>
      <c r="S52" s="10"/>
      <c r="T52" s="10" t="e">
        <f>IF(INDEX(GRAFO!$M$2:'GRAFO'!$M$41,MATCH(O52,GRAFO!$M$2:'GRAFO'!$M$41,0),1)&lt;&gt;0,1,0)</f>
        <v>#N/A</v>
      </c>
      <c r="U52" s="10">
        <f t="shared" si="8"/>
        <v>0</v>
      </c>
    </row>
    <row r="53" spans="1:21">
      <c r="A53" s="10" t="s">
        <v>330</v>
      </c>
      <c r="B53" s="10" t="s">
        <v>4</v>
      </c>
      <c r="C53" s="9" t="e">
        <f t="shared" si="9"/>
        <v>#N/A</v>
      </c>
      <c r="D53" s="10" t="str">
        <f t="shared" si="3"/>
        <v>comando_supremo</v>
      </c>
      <c r="E53" s="10" t="str">
        <f t="shared" si="4"/>
        <v>rdfs:seeAlso</v>
      </c>
      <c r="F53" s="10" t="str">
        <f t="shared" si="5"/>
        <v>politico</v>
      </c>
      <c r="G53" s="3" t="str">
        <f t="shared" si="6"/>
        <v>OK</v>
      </c>
      <c r="I53" s="10" t="str">
        <f t="shared" si="1"/>
        <v>comando_supremo-politico</v>
      </c>
      <c r="J53" s="10"/>
      <c r="K53" s="10"/>
      <c r="L53" s="3" t="e">
        <f>IF(INDEX(GRAFO!$L$2:'GRAFO'!$L$41,MATCH(I53,GRAFO!$L$2:'GRAFO'!$L$41,0),1)&lt;&gt;0,1,0)</f>
        <v>#N/A</v>
      </c>
      <c r="M53" s="3">
        <f t="shared" si="7"/>
        <v>0</v>
      </c>
      <c r="O53" s="10" t="str">
        <f t="shared" si="2"/>
        <v>comando_supremo-rdfs:seeAlso-politico</v>
      </c>
      <c r="P53" s="10"/>
      <c r="Q53" s="10"/>
      <c r="R53" s="10"/>
      <c r="S53" s="10"/>
      <c r="T53" s="10" t="e">
        <f>IF(INDEX(GRAFO!$M$2:'GRAFO'!$M$41,MATCH(O53,GRAFO!$M$2:'GRAFO'!$M$41,0),1)&lt;&gt;0,1,0)</f>
        <v>#N/A</v>
      </c>
      <c r="U53" s="10">
        <f t="shared" si="8"/>
        <v>0</v>
      </c>
    </row>
    <row r="54" spans="1:21">
      <c r="A54" s="10" t="s">
        <v>215</v>
      </c>
      <c r="B54" s="10" t="s">
        <v>7</v>
      </c>
      <c r="C54" s="9" t="e">
        <f t="shared" si="9"/>
        <v>#N/A</v>
      </c>
      <c r="D54" s="10" t="str">
        <f t="shared" si="3"/>
        <v>presidente_da_republica</v>
      </c>
      <c r="E54" s="10" t="str">
        <f t="shared" si="4"/>
        <v>rdfs:subClassOf</v>
      </c>
      <c r="F54" s="10" t="str">
        <f t="shared" si="5"/>
        <v>comando_supremo</v>
      </c>
      <c r="G54" s="3" t="str">
        <f t="shared" si="6"/>
        <v>OK</v>
      </c>
      <c r="I54" s="10" t="str">
        <f t="shared" si="1"/>
        <v>presidente_da_republica-comando_supremo</v>
      </c>
      <c r="J54" s="10"/>
      <c r="K54" s="10"/>
      <c r="L54" s="3">
        <f>IF(INDEX(GRAFO!$L$2:'GRAFO'!$L$41,MATCH(I54,GRAFO!$L$2:'GRAFO'!$L$41,0),1)&lt;&gt;0,1,0)</f>
        <v>1</v>
      </c>
      <c r="M54" s="3">
        <f t="shared" si="7"/>
        <v>1</v>
      </c>
      <c r="O54" s="10" t="str">
        <f t="shared" si="2"/>
        <v>presidente_da_republica-rdfs:subClassOf-comando_supremo</v>
      </c>
      <c r="P54" s="10"/>
      <c r="Q54" s="10"/>
      <c r="R54" s="10"/>
      <c r="S54" s="10"/>
      <c r="T54" s="10" t="e">
        <f>IF(INDEX(GRAFO!$M$2:'GRAFO'!$M$41,MATCH(O54,GRAFO!$M$2:'GRAFO'!$M$41,0),1)&lt;&gt;0,1,0)</f>
        <v>#N/A</v>
      </c>
      <c r="U54" s="10">
        <f t="shared" si="8"/>
        <v>0</v>
      </c>
    </row>
    <row r="55" spans="1:21">
      <c r="A55" s="10"/>
      <c r="B55" s="10"/>
      <c r="C55" s="9" t="e">
        <f t="shared" si="9"/>
        <v>#N/A</v>
      </c>
      <c r="D55" s="10" t="str">
        <f t="shared" si="3"/>
        <v>presidente_da_republica</v>
      </c>
      <c r="E55" s="10" t="str">
        <f t="shared" si="4"/>
        <v>c2rm:responsible_for</v>
      </c>
      <c r="F55" s="10" t="str">
        <f t="shared" si="5"/>
        <v>dped</v>
      </c>
      <c r="G55" s="3" t="str">
        <f t="shared" si="6"/>
        <v>NOK</v>
      </c>
      <c r="I55" s="10" t="str">
        <f t="shared" si="1"/>
        <v>presidente_da_republica-dped</v>
      </c>
      <c r="J55" s="10"/>
      <c r="K55" s="10"/>
      <c r="L55" s="3" t="e">
        <f>IF(INDEX(GRAFO!$L$2:'GRAFO'!$L$41,MATCH(I55,GRAFO!$L$2:'GRAFO'!$L$41,0),1)&lt;&gt;0,1,0)</f>
        <v>#N/A</v>
      </c>
      <c r="M55" s="3">
        <f t="shared" si="7"/>
        <v>0</v>
      </c>
      <c r="O55" s="10" t="str">
        <f t="shared" si="2"/>
        <v>presidente_da_republica-c2rm:responsible_for-dped</v>
      </c>
      <c r="P55" s="10"/>
      <c r="Q55" s="10"/>
      <c r="R55" s="10"/>
      <c r="S55" s="10"/>
      <c r="T55" s="10" t="e">
        <f>IF(INDEX(GRAFO!$M$2:'GRAFO'!$M$41,MATCH(O55,GRAFO!$M$2:'GRAFO'!$M$41,0),1)&lt;&gt;0,1,0)</f>
        <v>#N/A</v>
      </c>
      <c r="U55" s="10">
        <f t="shared" si="8"/>
        <v>0</v>
      </c>
    </row>
    <row r="56" spans="1:21">
      <c r="A56" s="10"/>
      <c r="B56" s="10"/>
      <c r="C56" s="9" t="e">
        <f t="shared" si="9"/>
        <v>#N/A</v>
      </c>
      <c r="D56" s="10" t="str">
        <f t="shared" si="3"/>
        <v>dped</v>
      </c>
      <c r="E56" s="10" t="str">
        <f t="shared" si="4"/>
        <v>rdfs:seeAlso</v>
      </c>
      <c r="F56" s="10" t="str">
        <f t="shared" si="5"/>
        <v>planos_estrategicos</v>
      </c>
      <c r="G56" s="3" t="str">
        <f t="shared" si="6"/>
        <v>NOK</v>
      </c>
      <c r="I56" s="10" t="str">
        <f t="shared" si="1"/>
        <v>dped-planos_estrategicos</v>
      </c>
      <c r="J56" s="10"/>
      <c r="K56" s="10"/>
      <c r="L56" s="3" t="e">
        <f>IF(INDEX(GRAFO!$L$2:'GRAFO'!$L$41,MATCH(I56,GRAFO!$L$2:'GRAFO'!$L$41,0),1)&lt;&gt;0,1,0)</f>
        <v>#N/A</v>
      </c>
      <c r="M56" s="3">
        <f t="shared" si="7"/>
        <v>0</v>
      </c>
      <c r="O56" s="10" t="str">
        <f t="shared" si="2"/>
        <v>dped-rdfs:seeAlso-planos_estrategicos</v>
      </c>
      <c r="P56" s="10"/>
      <c r="Q56" s="10"/>
      <c r="R56" s="10"/>
      <c r="S56" s="10"/>
      <c r="T56" s="10" t="e">
        <f>IF(INDEX(GRAFO!$M$2:'GRAFO'!$M$41,MATCH(O56,GRAFO!$M$2:'GRAFO'!$M$41,0),1)&lt;&gt;0,1,0)</f>
        <v>#N/A</v>
      </c>
      <c r="U56" s="10">
        <f t="shared" si="8"/>
        <v>0</v>
      </c>
    </row>
    <row r="57" spans="1:21">
      <c r="C57" s="9" t="str">
        <f t="shared" si="9"/>
        <v>OK</v>
      </c>
      <c r="D57" s="10" t="str">
        <f t="shared" si="3"/>
        <v>area_de_operacoes</v>
      </c>
      <c r="E57" s="10" t="str">
        <f t="shared" si="4"/>
        <v>rdfs:subClassOf</v>
      </c>
      <c r="F57" s="10" t="str">
        <f t="shared" si="5"/>
        <v>area_de_responsabilidade</v>
      </c>
      <c r="G57" s="3" t="str">
        <f t="shared" si="6"/>
        <v>NOK</v>
      </c>
      <c r="I57" s="10" t="str">
        <f t="shared" si="1"/>
        <v>area_de_operacoes-area_de_responsabilidade</v>
      </c>
      <c r="J57" s="10"/>
      <c r="K57" s="10"/>
      <c r="L57" s="3" t="e">
        <f>IF(INDEX(GRAFO!$L$2:'GRAFO'!$L$41,MATCH(I57,GRAFO!$L$2:'GRAFO'!$L$41,0),1)&lt;&gt;0,1,0)</f>
        <v>#N/A</v>
      </c>
      <c r="M57" s="3">
        <f t="shared" si="7"/>
        <v>0</v>
      </c>
      <c r="O57" s="10" t="str">
        <f t="shared" si="2"/>
        <v>area_de_operacoes-rdfs:subClassOf-area_de_responsabilidade</v>
      </c>
      <c r="P57" s="10"/>
      <c r="Q57" s="10"/>
      <c r="R57" s="10"/>
      <c r="S57" s="10"/>
      <c r="T57" s="10" t="e">
        <f>IF(INDEX(GRAFO!$M$2:'GRAFO'!$M$41,MATCH(O57,GRAFO!$M$2:'GRAFO'!$M$41,0),1)&lt;&gt;0,1,0)</f>
        <v>#N/A</v>
      </c>
      <c r="U57" s="10">
        <f t="shared" si="8"/>
        <v>0</v>
      </c>
    </row>
    <row r="58" spans="1:21">
      <c r="C58" s="9" t="str">
        <f t="shared" si="9"/>
        <v>OK</v>
      </c>
      <c r="D58" s="10" t="str">
        <f t="shared" si="3"/>
        <v>area_de_operacoes</v>
      </c>
      <c r="E58" s="10" t="str">
        <f t="shared" si="4"/>
        <v>c2rm:applied_to</v>
      </c>
      <c r="F58" s="10" t="str">
        <f t="shared" si="5"/>
        <v>defesa_aeroespacial</v>
      </c>
      <c r="G58" s="3" t="str">
        <f t="shared" si="6"/>
        <v>NOK</v>
      </c>
      <c r="I58" s="10" t="str">
        <f t="shared" si="1"/>
        <v>area_de_operacoes-defesa_aeroespacial</v>
      </c>
      <c r="J58" s="10"/>
      <c r="K58" s="10"/>
      <c r="L58" s="3" t="e">
        <f>IF(INDEX(GRAFO!$L$2:'GRAFO'!$L$41,MATCH(I58,GRAFO!$L$2:'GRAFO'!$L$41,0),1)&lt;&gt;0,1,0)</f>
        <v>#N/A</v>
      </c>
      <c r="M58" s="3">
        <f t="shared" si="7"/>
        <v>0</v>
      </c>
      <c r="O58" s="10" t="str">
        <f t="shared" si="2"/>
        <v>area_de_operacoes-c2rm:applied_to-defesa_aeroespacial</v>
      </c>
      <c r="P58" s="10"/>
      <c r="Q58" s="10"/>
      <c r="R58" s="10"/>
      <c r="S58" s="10"/>
      <c r="T58" s="10" t="e">
        <f>IF(INDEX(GRAFO!$M$2:'GRAFO'!$M$41,MATCH(O58,GRAFO!$M$2:'GRAFO'!$M$41,0),1)&lt;&gt;0,1,0)</f>
        <v>#N/A</v>
      </c>
      <c r="U58" s="10">
        <f t="shared" si="8"/>
        <v>0</v>
      </c>
    </row>
    <row r="59" spans="1:21">
      <c r="C59" s="9" t="str">
        <f t="shared" si="9"/>
        <v>OK</v>
      </c>
      <c r="D59" s="10" t="str">
        <f t="shared" si="3"/>
        <v>comando_logistico</v>
      </c>
      <c r="E59" s="10" t="str">
        <f t="shared" si="4"/>
        <v>rdfs:subClassOf</v>
      </c>
      <c r="F59" s="10" t="str">
        <f t="shared" si="5"/>
        <v>area_de_responsabilidade</v>
      </c>
      <c r="G59" s="3" t="str">
        <f t="shared" si="6"/>
        <v>NOK</v>
      </c>
      <c r="I59" s="10" t="str">
        <f t="shared" si="1"/>
        <v>comando_logistico-area_de_responsabilidade</v>
      </c>
      <c r="J59" s="10"/>
      <c r="K59" s="10"/>
      <c r="L59" s="3" t="e">
        <f>IF(INDEX(GRAFO!$L$2:'GRAFO'!$L$41,MATCH(I59,GRAFO!$L$2:'GRAFO'!$L$41,0),1)&lt;&gt;0,1,0)</f>
        <v>#N/A</v>
      </c>
      <c r="M59" s="3">
        <f t="shared" si="7"/>
        <v>0</v>
      </c>
      <c r="O59" s="10" t="str">
        <f t="shared" si="2"/>
        <v>comando_logistico-rdfs:subClassOf-area_de_responsabilidade</v>
      </c>
      <c r="P59" s="10"/>
      <c r="Q59" s="10"/>
      <c r="R59" s="10"/>
      <c r="S59" s="10"/>
      <c r="T59" s="10" t="e">
        <f>IF(INDEX(GRAFO!$M$2:'GRAFO'!$M$41,MATCH(O59,GRAFO!$M$2:'GRAFO'!$M$41,0),1)&lt;&gt;0,1,0)</f>
        <v>#N/A</v>
      </c>
      <c r="U59" s="10">
        <f t="shared" si="8"/>
        <v>0</v>
      </c>
    </row>
    <row r="60" spans="1:21">
      <c r="C60" s="9" t="str">
        <f t="shared" si="9"/>
        <v>NOK</v>
      </c>
      <c r="D60" s="10" t="str">
        <f t="shared" si="3"/>
        <v>comando_logistico</v>
      </c>
      <c r="E60" s="10" t="str">
        <f t="shared" si="4"/>
        <v>rdfs:seeAlso</v>
      </c>
      <c r="F60" s="10" t="str">
        <f t="shared" si="5"/>
        <v>forcas_armadas</v>
      </c>
      <c r="G60" s="3" t="str">
        <f t="shared" si="6"/>
        <v>OK</v>
      </c>
      <c r="I60" s="10" t="str">
        <f t="shared" si="1"/>
        <v>comando_logistico-forcas_armadas</v>
      </c>
      <c r="J60" s="10"/>
      <c r="K60" s="10"/>
      <c r="L60" s="3" t="e">
        <f>IF(INDEX(GRAFO!$L$2:'GRAFO'!$L$41,MATCH(I60,GRAFO!$L$2:'GRAFO'!$L$41,0),1)&lt;&gt;0,1,0)</f>
        <v>#N/A</v>
      </c>
      <c r="M60" s="3">
        <f t="shared" si="7"/>
        <v>0</v>
      </c>
      <c r="O60" s="10" t="str">
        <f t="shared" si="2"/>
        <v>comando_logistico-rdfs:seeAlso-forcas_armadas</v>
      </c>
      <c r="P60" s="10"/>
      <c r="Q60" s="10"/>
      <c r="R60" s="10"/>
      <c r="S60" s="10"/>
      <c r="T60" s="10" t="e">
        <f>IF(INDEX(GRAFO!$M$2:'GRAFO'!$M$41,MATCH(O60,GRAFO!$M$2:'GRAFO'!$M$41,0),1)&lt;&gt;0,1,0)</f>
        <v>#N/A</v>
      </c>
      <c r="U60" s="10">
        <f t="shared" si="8"/>
        <v>0</v>
      </c>
    </row>
    <row r="61" spans="1:21">
      <c r="C61" s="9" t="str">
        <f t="shared" si="9"/>
        <v>OK</v>
      </c>
      <c r="D61" s="10" t="str">
        <f t="shared" si="3"/>
        <v>forca_componente</v>
      </c>
      <c r="E61" s="10" t="str">
        <f t="shared" si="4"/>
        <v>rdfs:seeAlso</v>
      </c>
      <c r="F61" s="10" t="str">
        <f t="shared" si="5"/>
        <v>tatico</v>
      </c>
      <c r="G61" s="3" t="str">
        <f t="shared" si="6"/>
        <v>OK</v>
      </c>
      <c r="I61" s="10" t="str">
        <f t="shared" si="1"/>
        <v>forca_componente-tatico</v>
      </c>
      <c r="J61" s="10"/>
      <c r="K61" s="10"/>
      <c r="L61" s="3">
        <f>IF(INDEX(GRAFO!$L$2:'GRAFO'!$L$41,MATCH(I61,GRAFO!$L$2:'GRAFO'!$L$41,0),1)&lt;&gt;0,1,0)</f>
        <v>1</v>
      </c>
      <c r="M61" s="3">
        <f t="shared" si="7"/>
        <v>1</v>
      </c>
      <c r="O61" s="10" t="str">
        <f t="shared" si="2"/>
        <v>forca_componente-rdfs:seeAlso-tatico</v>
      </c>
      <c r="P61" s="10"/>
      <c r="Q61" s="10"/>
      <c r="R61" s="10"/>
      <c r="S61" s="10"/>
      <c r="T61" s="10" t="e">
        <f>IF(INDEX(GRAFO!$M$2:'GRAFO'!$M$41,MATCH(O61,GRAFO!$M$2:'GRAFO'!$M$41,0),1)&lt;&gt;0,1,0)</f>
        <v>#N/A</v>
      </c>
      <c r="U61" s="10">
        <f t="shared" si="8"/>
        <v>0</v>
      </c>
    </row>
    <row r="62" spans="1:21">
      <c r="C62" s="9" t="e">
        <f t="shared" si="9"/>
        <v>#N/A</v>
      </c>
      <c r="D62" s="10" t="str">
        <f t="shared" si="3"/>
        <v>comandos_operacionais</v>
      </c>
      <c r="E62" s="10" t="str">
        <f t="shared" si="4"/>
        <v>rdfs:seeAlso</v>
      </c>
      <c r="F62" s="10" t="str">
        <f t="shared" si="5"/>
        <v>operacional</v>
      </c>
      <c r="G62" s="3" t="str">
        <f t="shared" si="6"/>
        <v>OK</v>
      </c>
      <c r="I62" s="10" t="str">
        <f t="shared" si="1"/>
        <v>comandos_operacionais-operacional</v>
      </c>
      <c r="J62" s="10"/>
      <c r="K62" s="10"/>
      <c r="L62" s="3">
        <f>IF(INDEX(GRAFO!$L$2:'GRAFO'!$L$41,MATCH(I62,GRAFO!$L$2:'GRAFO'!$L$41,0),1)&lt;&gt;0,1,0)</f>
        <v>1</v>
      </c>
      <c r="M62" s="3">
        <f t="shared" si="7"/>
        <v>1</v>
      </c>
      <c r="O62" s="10" t="str">
        <f t="shared" si="2"/>
        <v>comandos_operacionais-rdfs:seeAlso-operacional</v>
      </c>
      <c r="P62" s="10"/>
      <c r="Q62" s="10"/>
      <c r="R62" s="10"/>
      <c r="S62" s="10"/>
      <c r="T62" s="10" t="e">
        <f>IF(INDEX(GRAFO!$M$2:'GRAFO'!$M$41,MATCH(O62,GRAFO!$M$2:'GRAFO'!$M$41,0),1)&lt;&gt;0,1,0)</f>
        <v>#N/A</v>
      </c>
      <c r="U62" s="10">
        <f t="shared" si="8"/>
        <v>0</v>
      </c>
    </row>
    <row r="63" spans="1:21">
      <c r="C63" s="9" t="e">
        <f t="shared" si="9"/>
        <v>#N/A</v>
      </c>
      <c r="D63" s="10" t="str">
        <f t="shared" si="3"/>
        <v>comandos_operacionais</v>
      </c>
      <c r="E63" s="10" t="str">
        <f t="shared" si="4"/>
        <v>c2rm:responsible_for</v>
      </c>
      <c r="F63" s="10" t="str">
        <f t="shared" si="5"/>
        <v>comandos_operacionais</v>
      </c>
      <c r="G63" s="3" t="str">
        <f t="shared" si="6"/>
        <v>OK</v>
      </c>
      <c r="I63" s="10" t="str">
        <f t="shared" si="1"/>
        <v>comandos_operacionais-comandos_operacionais</v>
      </c>
      <c r="J63" s="10"/>
      <c r="K63" s="10"/>
      <c r="L63" s="3" t="e">
        <f>IF(INDEX(GRAFO!$L$2:'GRAFO'!$L$41,MATCH(I63,GRAFO!$L$2:'GRAFO'!$L$41,0),1)&lt;&gt;0,1,0)</f>
        <v>#N/A</v>
      </c>
      <c r="M63" s="3">
        <f t="shared" si="7"/>
        <v>0</v>
      </c>
      <c r="O63" s="10" t="str">
        <f t="shared" si="2"/>
        <v>comandos_operacionais-c2rm:responsible_for-comandos_operacionais</v>
      </c>
      <c r="P63" s="10"/>
      <c r="Q63" s="10"/>
      <c r="R63" s="10"/>
      <c r="S63" s="10"/>
      <c r="T63" s="10" t="e">
        <f>IF(INDEX(GRAFO!$M$2:'GRAFO'!$M$41,MATCH(O63,GRAFO!$M$2:'GRAFO'!$M$41,0),1)&lt;&gt;0,1,0)</f>
        <v>#N/A</v>
      </c>
      <c r="U63" s="10">
        <f t="shared" si="8"/>
        <v>0</v>
      </c>
    </row>
    <row r="64" spans="1:21">
      <c r="D64" s="10" t="str">
        <f t="shared" si="3"/>
        <v>comandos_operacionais</v>
      </c>
      <c r="E64" s="10" t="str">
        <f t="shared" si="4"/>
        <v>rdfs:seeAlso</v>
      </c>
      <c r="F64" s="10" t="str">
        <f t="shared" si="5"/>
        <v>area_de_responsabilidade</v>
      </c>
      <c r="G64" s="3" t="str">
        <f t="shared" si="6"/>
        <v>NOK</v>
      </c>
      <c r="I64" s="10" t="str">
        <f t="shared" ref="I64:I69" si="10">D64 &amp;"-"&amp;F64</f>
        <v>comandos_operacionais-area_de_responsabilidade</v>
      </c>
      <c r="J64" s="10"/>
      <c r="K64" s="10"/>
      <c r="L64" s="3" t="e">
        <f>IF(INDEX(GRAFO!$L$2:'GRAFO'!$L$41,MATCH(I64,GRAFO!$L$2:'GRAFO'!$L$41,0),1)&lt;&gt;0,1,0)</f>
        <v>#N/A</v>
      </c>
      <c r="M64" s="3">
        <f t="shared" ref="M64:M69" si="11">IFERROR(L64,0)</f>
        <v>0</v>
      </c>
      <c r="O64" s="10" t="str">
        <f t="shared" ref="O64:O69" si="12">D64 &amp; "-" &amp; E64 &amp; "-" &amp; F64</f>
        <v>comandos_operacionais-rdfs:seeAlso-area_de_responsabilidade</v>
      </c>
      <c r="P64" s="10"/>
      <c r="Q64" s="10"/>
      <c r="R64" s="10"/>
      <c r="S64" s="10"/>
      <c r="T64" s="10" t="e">
        <f>IF(INDEX(GRAFO!$M$2:'GRAFO'!$M$41,MATCH(O64,GRAFO!$M$2:'GRAFO'!$M$41,0),1)&lt;&gt;0,1,0)</f>
        <v>#N/A</v>
      </c>
      <c r="U64" s="10">
        <f t="shared" ref="U64:U69" si="13">IFERROR(T64,0)</f>
        <v>0</v>
      </c>
    </row>
    <row r="65" spans="4:21">
      <c r="D65" s="10" t="str">
        <f t="shared" si="3"/>
        <v>comandos_operacionais</v>
      </c>
      <c r="E65" s="10" t="str">
        <f t="shared" si="4"/>
        <v>c2rm:responsible_for</v>
      </c>
      <c r="F65" s="10" t="str">
        <f t="shared" si="5"/>
        <v>planos_operacionais</v>
      </c>
      <c r="G65" s="3" t="str">
        <f t="shared" si="6"/>
        <v>NOK</v>
      </c>
      <c r="I65" s="10" t="str">
        <f t="shared" si="10"/>
        <v>comandos_operacionais-planos_operacionais</v>
      </c>
      <c r="J65" s="10"/>
      <c r="K65" s="10"/>
      <c r="L65" s="3" t="e">
        <f>IF(INDEX(GRAFO!$L$2:'GRAFO'!$L$41,MATCH(I65,GRAFO!$L$2:'GRAFO'!$L$41,0),1)&lt;&gt;0,1,0)</f>
        <v>#N/A</v>
      </c>
      <c r="M65" s="3">
        <f t="shared" si="11"/>
        <v>0</v>
      </c>
      <c r="O65" s="10" t="str">
        <f t="shared" si="12"/>
        <v>comandos_operacionais-c2rm:responsible_for-planos_operacionais</v>
      </c>
      <c r="P65" s="10"/>
      <c r="Q65" s="10"/>
      <c r="R65" s="10"/>
      <c r="S65" s="10"/>
      <c r="T65" s="10" t="e">
        <f>IF(INDEX(GRAFO!$M$2:'GRAFO'!$M$41,MATCH(O65,GRAFO!$M$2:'GRAFO'!$M$41,0),1)&lt;&gt;0,1,0)</f>
        <v>#N/A</v>
      </c>
      <c r="U65" s="10">
        <f t="shared" si="13"/>
        <v>0</v>
      </c>
    </row>
    <row r="66" spans="4:21">
      <c r="D66" s="10" t="str">
        <f t="shared" si="3"/>
        <v>planos_operacionais</v>
      </c>
      <c r="E66" s="10" t="str">
        <f t="shared" si="4"/>
        <v>rdfs:seeAlso</v>
      </c>
      <c r="F66" s="10" t="str">
        <f t="shared" si="5"/>
        <v>planos_taticos</v>
      </c>
      <c r="G66" s="3" t="str">
        <f t="shared" si="6"/>
        <v>NOK</v>
      </c>
      <c r="I66" s="10" t="str">
        <f t="shared" si="10"/>
        <v>planos_operacionais-planos_taticos</v>
      </c>
      <c r="J66" s="10"/>
      <c r="K66" s="10"/>
      <c r="L66" s="3" t="e">
        <f>IF(INDEX(GRAFO!$L$2:'GRAFO'!$L$41,MATCH(I66,GRAFO!$L$2:'GRAFO'!$L$41,0),1)&lt;&gt;0,1,0)</f>
        <v>#N/A</v>
      </c>
      <c r="M66" s="3">
        <f t="shared" si="11"/>
        <v>0</v>
      </c>
      <c r="O66" s="10" t="str">
        <f t="shared" si="12"/>
        <v>planos_operacionais-rdfs:seeAlso-planos_taticos</v>
      </c>
      <c r="P66" s="10"/>
      <c r="Q66" s="10"/>
      <c r="R66" s="10"/>
      <c r="S66" s="10"/>
      <c r="T66" s="10" t="e">
        <f>IF(INDEX(GRAFO!$M$2:'GRAFO'!$M$41,MATCH(O66,GRAFO!$M$2:'GRAFO'!$M$41,0),1)&lt;&gt;0,1,0)</f>
        <v>#N/A</v>
      </c>
      <c r="U66" s="10">
        <f t="shared" si="13"/>
        <v>0</v>
      </c>
    </row>
    <row r="67" spans="4:21">
      <c r="D67" s="10" t="str">
        <f t="shared" si="3"/>
        <v>forca_componente</v>
      </c>
      <c r="E67" s="10" t="str">
        <f t="shared" si="4"/>
        <v>c2rm:responsible_for</v>
      </c>
      <c r="F67" s="10" t="str">
        <f t="shared" si="5"/>
        <v>planos_taticos</v>
      </c>
      <c r="G67" s="3" t="str">
        <f t="shared" si="6"/>
        <v>NOK</v>
      </c>
      <c r="I67" s="10" t="str">
        <f t="shared" si="10"/>
        <v>forca_componente-planos_taticos</v>
      </c>
      <c r="J67" s="10"/>
      <c r="K67" s="10"/>
      <c r="L67" s="3" t="e">
        <f>IF(INDEX(GRAFO!$L$2:'GRAFO'!$L$41,MATCH(I67,GRAFO!$L$2:'GRAFO'!$L$41,0),1)&lt;&gt;0,1,0)</f>
        <v>#N/A</v>
      </c>
      <c r="M67" s="3">
        <f t="shared" si="11"/>
        <v>0</v>
      </c>
      <c r="O67" s="10" t="str">
        <f t="shared" si="12"/>
        <v>forca_componente-c2rm:responsible_for-planos_taticos</v>
      </c>
      <c r="P67" s="10"/>
      <c r="Q67" s="10"/>
      <c r="R67" s="10"/>
      <c r="S67" s="10"/>
      <c r="T67" s="10" t="e">
        <f>IF(INDEX(GRAFO!$M$2:'GRAFO'!$M$41,MATCH(O67,GRAFO!$M$2:'GRAFO'!$M$41,0),1)&lt;&gt;0,1,0)</f>
        <v>#N/A</v>
      </c>
      <c r="U67" s="10">
        <f t="shared" si="13"/>
        <v>0</v>
      </c>
    </row>
    <row r="68" spans="4:21">
      <c r="D68" s="10" t="str">
        <f t="shared" si="3"/>
        <v>planos_estrategicos</v>
      </c>
      <c r="E68" s="10" t="str">
        <f t="shared" si="4"/>
        <v>c2rm:responsible_for</v>
      </c>
      <c r="F68" s="10" t="str">
        <f t="shared" si="5"/>
        <v>dmed</v>
      </c>
      <c r="G68" s="3" t="str">
        <f t="shared" si="6"/>
        <v>NOK</v>
      </c>
      <c r="I68" s="10" t="str">
        <f t="shared" si="10"/>
        <v>planos_estrategicos-dmed</v>
      </c>
      <c r="J68" s="10"/>
      <c r="K68" s="10"/>
      <c r="L68" s="3" t="e">
        <f>IF(INDEX(GRAFO!$L$2:'GRAFO'!$L$41,MATCH(I68,GRAFO!$L$2:'GRAFO'!$L$41,0),1)&lt;&gt;0,1,0)</f>
        <v>#N/A</v>
      </c>
      <c r="M68" s="3">
        <f t="shared" si="11"/>
        <v>0</v>
      </c>
      <c r="O68" s="10" t="str">
        <f t="shared" si="12"/>
        <v>planos_estrategicos-c2rm:responsible_for-dmed</v>
      </c>
      <c r="P68" s="10"/>
      <c r="Q68" s="10"/>
      <c r="R68" s="10"/>
      <c r="S68" s="10"/>
      <c r="T68" s="10" t="e">
        <f>IF(INDEX(GRAFO!$M$2:'GRAFO'!$M$41,MATCH(O68,GRAFO!$M$2:'GRAFO'!$M$41,0),1)&lt;&gt;0,1,0)</f>
        <v>#N/A</v>
      </c>
      <c r="U68" s="10">
        <f t="shared" si="13"/>
        <v>0</v>
      </c>
    </row>
    <row r="69" spans="4:21">
      <c r="D69" s="10" t="str">
        <f t="shared" si="3"/>
        <v>ministerio_da_defesa</v>
      </c>
      <c r="E69" s="10" t="str">
        <f t="shared" si="4"/>
        <v>c2rm:responsible_for</v>
      </c>
      <c r="F69" s="10" t="str">
        <f t="shared" si="5"/>
        <v>dmed</v>
      </c>
      <c r="G69" s="3" t="str">
        <f t="shared" si="6"/>
        <v>NOK</v>
      </c>
      <c r="I69" s="10" t="str">
        <f t="shared" si="10"/>
        <v>ministerio_da_defesa-dmed</v>
      </c>
      <c r="J69" s="10"/>
      <c r="K69" s="10"/>
      <c r="L69" s="3" t="e">
        <f>IF(INDEX(GRAFO!$L$2:'GRAFO'!$L$41,MATCH(I69,GRAFO!$L$2:'GRAFO'!$L$41,0),1)&lt;&gt;0,1,0)</f>
        <v>#N/A</v>
      </c>
      <c r="M69" s="3">
        <f t="shared" si="11"/>
        <v>0</v>
      </c>
      <c r="O69" s="10" t="str">
        <f t="shared" si="12"/>
        <v>ministerio_da_defesa-c2rm:responsible_for-dmed</v>
      </c>
      <c r="P69" s="10"/>
      <c r="Q69" s="10"/>
      <c r="R69" s="10"/>
      <c r="S69" s="10"/>
      <c r="T69" s="10" t="e">
        <f>IF(INDEX(GRAFO!$M$2:'GRAFO'!$M$41,MATCH(O69,GRAFO!$M$2:'GRAFO'!$M$41,0),1)&lt;&gt;0,1,0)</f>
        <v>#N/A</v>
      </c>
      <c r="U69" s="10">
        <f t="shared" si="13"/>
        <v>0</v>
      </c>
    </row>
    <row r="70" spans="4:21">
      <c r="D70" s="10"/>
      <c r="E70" s="10"/>
      <c r="F70" s="10"/>
      <c r="G70" s="3"/>
      <c r="I70" s="10"/>
      <c r="J70" s="10"/>
      <c r="K70" s="10"/>
      <c r="L70" s="3"/>
      <c r="M70" s="3"/>
      <c r="O70" s="10"/>
      <c r="P70" s="10"/>
      <c r="Q70" s="10"/>
      <c r="R70" s="10"/>
      <c r="S70" s="10"/>
      <c r="T70" s="10"/>
      <c r="U70" s="10"/>
    </row>
    <row r="71" spans="4:21">
      <c r="D71" s="10"/>
      <c r="E71" s="10"/>
      <c r="F71" s="10"/>
      <c r="G71" s="3"/>
      <c r="I71" s="10"/>
      <c r="J71" s="10"/>
      <c r="K71" s="10"/>
      <c r="L71" s="3"/>
      <c r="M71" s="3"/>
      <c r="O71" s="10"/>
      <c r="P71" s="10"/>
      <c r="Q71" s="10"/>
      <c r="R71" s="10"/>
      <c r="S71" s="10"/>
      <c r="T71" s="10"/>
      <c r="U71" s="10"/>
    </row>
    <row r="72" spans="4:21">
      <c r="D72" s="10"/>
      <c r="E72" s="10"/>
      <c r="F72" s="10"/>
      <c r="G72" s="3"/>
      <c r="I72" s="10"/>
      <c r="J72" s="10"/>
      <c r="K72" s="10"/>
      <c r="L72" s="3"/>
      <c r="M72" s="3"/>
      <c r="O72" s="10"/>
      <c r="P72" s="10"/>
      <c r="Q72" s="10"/>
      <c r="R72" s="10"/>
      <c r="S72" s="10"/>
      <c r="T72" s="10"/>
      <c r="U72" s="10"/>
    </row>
    <row r="73" spans="4:21">
      <c r="D73" s="10"/>
      <c r="E73" s="10"/>
      <c r="F73" s="10"/>
      <c r="G73" s="3"/>
      <c r="I73" s="10"/>
      <c r="J73" s="10"/>
      <c r="K73" s="10"/>
      <c r="L73" s="3"/>
      <c r="M73" s="3"/>
      <c r="O73" s="10"/>
      <c r="P73" s="10"/>
      <c r="Q73" s="10"/>
      <c r="R73" s="10"/>
      <c r="S73" s="10"/>
      <c r="T73" s="10"/>
      <c r="U73" s="10"/>
    </row>
  </sheetData>
  <mergeCells count="10">
    <mergeCell ref="I39:K39"/>
    <mergeCell ref="L39:M39"/>
    <mergeCell ref="O39:S39"/>
    <mergeCell ref="T39:U39"/>
    <mergeCell ref="A1:B1"/>
    <mergeCell ref="D1:F1"/>
    <mergeCell ref="K4:K5"/>
    <mergeCell ref="D38:G38"/>
    <mergeCell ref="I38:M38"/>
    <mergeCell ref="O38:U38"/>
  </mergeCells>
  <dataValidations count="11">
    <dataValidation type="list" allowBlank="1" showInputMessage="1" showErrorMessage="1" sqref="B3">
      <formula1>$Y$3:$Y$31</formula1>
    </dataValidation>
    <dataValidation type="list" allowBlank="1" showInputMessage="1" showErrorMessage="1" sqref="E37">
      <formula1>$A$40:$A$48</formula1>
    </dataValidation>
    <dataValidation type="list" allowBlank="1" showInputMessage="1" showErrorMessage="1" sqref="F37 D37">
      <formula1>$A$3:$A$28</formula1>
    </dataValidation>
    <dataValidation type="list" allowBlank="1" showInputMessage="1" showErrorMessage="1" sqref="B40:B56">
      <formula1>$AE$2:$AE$12</formula1>
    </dataValidation>
    <dataValidation type="list" allowBlank="1" showInputMessage="1" showErrorMessage="1" sqref="H3:H44 G3:G37">
      <formula1>$A$3:$A$22</formula1>
    </dataValidation>
    <dataValidation type="list" allowBlank="1" showInputMessage="1" showErrorMessage="1" sqref="C3:C37 B4:B37">
      <formula1>$Y$3:$Y$39</formula1>
    </dataValidation>
    <dataValidation type="list" allowBlank="1" showInputMessage="1" showErrorMessage="1" sqref="F38:G38">
      <formula1>$A$3:$A$27</formula1>
    </dataValidation>
    <dataValidation type="list" allowBlank="1" showInputMessage="1" showErrorMessage="1" sqref="E3:E13 E15:E25 E27:E36">
      <formula1>$A$40:$A$52</formula1>
    </dataValidation>
    <dataValidation type="list" allowBlank="1" showInputMessage="1" showErrorMessage="1" sqref="D3:D36 F3:F36">
      <formula1>$A$3:$A$29</formula1>
    </dataValidation>
    <dataValidation type="list" allowBlank="1" showInputMessage="1" showErrorMessage="1" sqref="E14">
      <formula1>$A$40:$A$53</formula1>
    </dataValidation>
    <dataValidation type="list" allowBlank="1" showInputMessage="1" showErrorMessage="1" sqref="E26">
      <formula1>$A$40:$A$54</formula1>
    </dataValidation>
  </dataValidation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E73"/>
  <sheetViews>
    <sheetView topLeftCell="M1" zoomScaleNormal="100" workbookViewId="0">
      <selection activeCell="X4" sqref="X4:X7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9" t="s">
        <v>184</v>
      </c>
      <c r="AD2" s="9" t="s">
        <v>195</v>
      </c>
      <c r="AE2" s="9" t="s">
        <v>35</v>
      </c>
    </row>
    <row r="3" spans="1:31" ht="16.75">
      <c r="A3" s="46" t="s">
        <v>319</v>
      </c>
      <c r="B3" s="10" t="s">
        <v>9</v>
      </c>
      <c r="D3" s="10" t="s">
        <v>8</v>
      </c>
      <c r="E3" s="10" t="s">
        <v>101</v>
      </c>
      <c r="F3" s="10" t="s">
        <v>319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s="16" t="s">
        <v>33</v>
      </c>
      <c r="AC3" s="9" t="s">
        <v>185</v>
      </c>
      <c r="AD3" s="9" t="s">
        <v>196</v>
      </c>
      <c r="AE3" s="9" t="s">
        <v>4</v>
      </c>
    </row>
    <row r="4" spans="1:31" ht="16.75">
      <c r="A4" s="46" t="s">
        <v>8</v>
      </c>
      <c r="B4" s="10" t="s">
        <v>8</v>
      </c>
      <c r="D4" s="10" t="s">
        <v>10</v>
      </c>
      <c r="E4" s="10" t="s">
        <v>101</v>
      </c>
      <c r="F4" s="10" t="s">
        <v>319</v>
      </c>
      <c r="K4" s="85" t="s">
        <v>80</v>
      </c>
      <c r="L4" s="8" t="s">
        <v>0</v>
      </c>
      <c r="M4" s="4">
        <f>GRAFO!J2</f>
        <v>29</v>
      </c>
      <c r="N4" s="11">
        <f>COUNTA(A3:A25)</f>
        <v>23</v>
      </c>
      <c r="O4" s="11">
        <f>COUNTIF(B3:B25,"&lt;&gt;"&amp;"")</f>
        <v>13</v>
      </c>
      <c r="P4" s="2">
        <f>N4-R4</f>
        <v>13</v>
      </c>
      <c r="Q4" s="2">
        <f>M4-O4</f>
        <v>16</v>
      </c>
      <c r="R4" s="2">
        <f>N4-O4</f>
        <v>10</v>
      </c>
      <c r="S4" s="2">
        <f>O4+P4</f>
        <v>26</v>
      </c>
      <c r="T4" s="2">
        <f>Q4+R4</f>
        <v>26</v>
      </c>
      <c r="U4" s="6">
        <f>O4/(O4+R4)</f>
        <v>0.56521739130434778</v>
      </c>
      <c r="V4" s="6">
        <f>O4/(O4+Q4)</f>
        <v>0.44827586206896552</v>
      </c>
      <c r="W4" s="6">
        <f>(O4+P4)/(O4+P4+Q4+R4)</f>
        <v>0.5</v>
      </c>
      <c r="X4" s="62">
        <f>AVERAGE(U4:W4)</f>
        <v>0.50449775112443784</v>
      </c>
      <c r="Y4" s="16" t="s">
        <v>21</v>
      </c>
      <c r="AC4" s="9" t="s">
        <v>186</v>
      </c>
      <c r="AD4" s="9" t="s">
        <v>197</v>
      </c>
      <c r="AE4" s="9" t="s">
        <v>205</v>
      </c>
    </row>
    <row r="5" spans="1:31" ht="16.75">
      <c r="A5" s="46" t="s">
        <v>10</v>
      </c>
      <c r="B5" s="10" t="s">
        <v>10</v>
      </c>
      <c r="D5" s="10" t="s">
        <v>12</v>
      </c>
      <c r="E5" s="10" t="s">
        <v>101</v>
      </c>
      <c r="F5" s="10" t="s">
        <v>319</v>
      </c>
      <c r="K5" s="85"/>
      <c r="L5" s="8" t="s">
        <v>100</v>
      </c>
      <c r="M5" s="5">
        <f>GRAFO!J3</f>
        <v>41</v>
      </c>
      <c r="N5" s="12">
        <f>COUNTA(D40:D65)</f>
        <v>26</v>
      </c>
      <c r="O5" s="12">
        <f>COUNTIF(M40:M65,"=1")</f>
        <v>10</v>
      </c>
      <c r="P5" s="2">
        <f>N5-R5</f>
        <v>10</v>
      </c>
      <c r="Q5" s="2">
        <f>M5-O5</f>
        <v>31</v>
      </c>
      <c r="R5" s="2">
        <f>N5-O5</f>
        <v>16</v>
      </c>
      <c r="S5" s="2">
        <f>O5+P5</f>
        <v>20</v>
      </c>
      <c r="T5" s="2">
        <f>Q5+R5</f>
        <v>47</v>
      </c>
      <c r="U5" s="6">
        <f>O5/(O5+R5)</f>
        <v>0.38461538461538464</v>
      </c>
      <c r="V5" s="6">
        <f>O5/(O5+Q5)</f>
        <v>0.24390243902439024</v>
      </c>
      <c r="W5" s="6">
        <f>(O5+P5)/(O5+P5+Q5+R5)</f>
        <v>0.29850746268656714</v>
      </c>
      <c r="X5" s="62">
        <f t="shared" ref="X5:X6" si="0">AVERAGE(U5:W5)</f>
        <v>0.30900842877544732</v>
      </c>
      <c r="Y5" s="16" t="s">
        <v>17</v>
      </c>
      <c r="AC5" s="9" t="s">
        <v>187</v>
      </c>
      <c r="AD5" s="9" t="s">
        <v>198</v>
      </c>
      <c r="AE5" s="9" t="s">
        <v>3</v>
      </c>
    </row>
    <row r="6" spans="1:31" ht="16.75">
      <c r="A6" s="46" t="s">
        <v>12</v>
      </c>
      <c r="B6" s="10" t="s">
        <v>12</v>
      </c>
      <c r="D6" s="10" t="s">
        <v>11</v>
      </c>
      <c r="E6" s="10" t="s">
        <v>101</v>
      </c>
      <c r="F6" s="10" t="s">
        <v>319</v>
      </c>
      <c r="L6" s="8" t="s">
        <v>99</v>
      </c>
      <c r="M6" s="5">
        <v>41</v>
      </c>
      <c r="N6" s="12">
        <f>COUNTA(D40:D65)</f>
        <v>26</v>
      </c>
      <c r="O6" s="12">
        <f>COUNTIF(U40:U65,"=1")</f>
        <v>10</v>
      </c>
      <c r="P6" s="2">
        <f>N6-R6</f>
        <v>10</v>
      </c>
      <c r="Q6" s="2">
        <f>M6-O6</f>
        <v>31</v>
      </c>
      <c r="R6" s="2">
        <f>N6-O6</f>
        <v>16</v>
      </c>
      <c r="S6" s="2">
        <f>O6+P6</f>
        <v>20</v>
      </c>
      <c r="T6" s="2">
        <f>Q6+R6</f>
        <v>47</v>
      </c>
      <c r="U6" s="6">
        <f>O6/(O6+R6)</f>
        <v>0.38461538461538464</v>
      </c>
      <c r="V6" s="6">
        <f>O6/(O6+Q6)</f>
        <v>0.24390243902439024</v>
      </c>
      <c r="W6" s="6">
        <f>(O6+P6)/(O6+P6+Q6+R6)</f>
        <v>0.29850746268656714</v>
      </c>
      <c r="X6" s="62">
        <f t="shared" si="0"/>
        <v>0.30900842877544732</v>
      </c>
      <c r="Y6" s="16" t="s">
        <v>40</v>
      </c>
      <c r="AC6" s="9" t="s">
        <v>188</v>
      </c>
      <c r="AD6" s="9" t="s">
        <v>199</v>
      </c>
      <c r="AE6" s="9" t="s">
        <v>6</v>
      </c>
    </row>
    <row r="7" spans="1:31" ht="16.75">
      <c r="A7" s="46" t="s">
        <v>11</v>
      </c>
      <c r="B7" s="10" t="s">
        <v>11</v>
      </c>
      <c r="D7" s="10" t="s">
        <v>55</v>
      </c>
      <c r="E7" s="10" t="s">
        <v>101</v>
      </c>
      <c r="F7" s="10" t="s">
        <v>54</v>
      </c>
      <c r="X7" s="62">
        <f>AVERAGE(X4:X6)</f>
        <v>0.37417153622511085</v>
      </c>
      <c r="Y7" s="16" t="s">
        <v>13</v>
      </c>
      <c r="AC7" s="9" t="s">
        <v>189</v>
      </c>
      <c r="AD7" s="9" t="s">
        <v>200</v>
      </c>
      <c r="AE7" s="9" t="s">
        <v>206</v>
      </c>
    </row>
    <row r="8" spans="1:31" ht="16.75">
      <c r="A8" s="46" t="s">
        <v>333</v>
      </c>
      <c r="B8" s="10"/>
      <c r="D8" s="10" t="s">
        <v>56</v>
      </c>
      <c r="E8" s="10" t="s">
        <v>101</v>
      </c>
      <c r="F8" s="10" t="s">
        <v>54</v>
      </c>
      <c r="Y8" s="16" t="s">
        <v>39</v>
      </c>
      <c r="AC8" s="9" t="s">
        <v>190</v>
      </c>
      <c r="AD8" s="9" t="s">
        <v>148</v>
      </c>
      <c r="AE8" s="9" t="s">
        <v>36</v>
      </c>
    </row>
    <row r="9" spans="1:31" ht="16.75">
      <c r="A9" s="46" t="s">
        <v>53</v>
      </c>
      <c r="B9" s="10"/>
      <c r="D9" s="10" t="s">
        <v>57</v>
      </c>
      <c r="E9" s="10" t="s">
        <v>101</v>
      </c>
      <c r="F9" s="10" t="s">
        <v>54</v>
      </c>
      <c r="K9" t="s">
        <v>74</v>
      </c>
      <c r="L9" t="s">
        <v>75</v>
      </c>
      <c r="N9">
        <f>GRAFO!J2</f>
        <v>29</v>
      </c>
      <c r="Y9" s="16" t="s">
        <v>19</v>
      </c>
      <c r="AC9" s="9" t="s">
        <v>191</v>
      </c>
      <c r="AD9" s="9" t="s">
        <v>201</v>
      </c>
      <c r="AE9" s="9" t="s">
        <v>7</v>
      </c>
    </row>
    <row r="10" spans="1:31" ht="16.75">
      <c r="A10" s="46" t="s">
        <v>123</v>
      </c>
      <c r="B10" s="10"/>
      <c r="D10" s="10" t="s">
        <v>22</v>
      </c>
      <c r="E10" s="10" t="s">
        <v>246</v>
      </c>
      <c r="F10" s="10" t="s">
        <v>319</v>
      </c>
      <c r="K10" t="s">
        <v>80</v>
      </c>
      <c r="L10" t="s">
        <v>76</v>
      </c>
      <c r="N10">
        <f>N4</f>
        <v>23</v>
      </c>
      <c r="Y10" s="16" t="s">
        <v>37</v>
      </c>
      <c r="AC10" s="9" t="s">
        <v>192</v>
      </c>
      <c r="AD10" s="9" t="s">
        <v>202</v>
      </c>
      <c r="AE10" s="9" t="s">
        <v>207</v>
      </c>
    </row>
    <row r="11" spans="1:31" ht="16.75">
      <c r="A11" s="46" t="s">
        <v>124</v>
      </c>
      <c r="B11" s="10"/>
      <c r="D11" s="10" t="s">
        <v>320</v>
      </c>
      <c r="E11" s="10" t="s">
        <v>280</v>
      </c>
      <c r="F11" s="10" t="s">
        <v>12</v>
      </c>
      <c r="K11" t="s">
        <v>68</v>
      </c>
      <c r="L11" t="s">
        <v>77</v>
      </c>
      <c r="N11">
        <v>16</v>
      </c>
      <c r="Y11" s="16" t="s">
        <v>10</v>
      </c>
      <c r="AC11" s="9" t="s">
        <v>193</v>
      </c>
      <c r="AD11" s="9" t="s">
        <v>203</v>
      </c>
      <c r="AE11" s="9" t="s">
        <v>208</v>
      </c>
    </row>
    <row r="12" spans="1:31" ht="16.75">
      <c r="A12" s="46" t="s">
        <v>22</v>
      </c>
      <c r="B12" s="10" t="s">
        <v>22</v>
      </c>
      <c r="D12" s="10" t="s">
        <v>332</v>
      </c>
      <c r="E12" s="10" t="s">
        <v>280</v>
      </c>
      <c r="F12" s="10" t="s">
        <v>11</v>
      </c>
      <c r="K12" t="s">
        <v>70</v>
      </c>
      <c r="L12" t="s">
        <v>78</v>
      </c>
      <c r="M12" t="s">
        <v>86</v>
      </c>
      <c r="N12">
        <f>N9-N11</f>
        <v>13</v>
      </c>
      <c r="Y12" s="16" t="s">
        <v>14</v>
      </c>
      <c r="AC12" s="9" t="s">
        <v>194</v>
      </c>
      <c r="AD12" s="9" t="s">
        <v>204</v>
      </c>
      <c r="AE12" s="9" t="s">
        <v>5</v>
      </c>
    </row>
    <row r="13" spans="1:31" ht="16.75">
      <c r="A13" s="46" t="s">
        <v>335</v>
      </c>
      <c r="B13" s="10"/>
      <c r="D13" s="10" t="s">
        <v>53</v>
      </c>
      <c r="E13" s="10" t="s">
        <v>280</v>
      </c>
      <c r="F13" s="10" t="s">
        <v>10</v>
      </c>
      <c r="K13" t="s">
        <v>69</v>
      </c>
      <c r="L13" t="s">
        <v>79</v>
      </c>
      <c r="M13" t="s">
        <v>87</v>
      </c>
      <c r="Y13" s="16" t="s">
        <v>34</v>
      </c>
    </row>
    <row r="14" spans="1:31" ht="16.75">
      <c r="A14" s="46" t="s">
        <v>334</v>
      </c>
      <c r="B14" s="10"/>
      <c r="D14" s="10" t="s">
        <v>52</v>
      </c>
      <c r="E14" s="10" t="s">
        <v>280</v>
      </c>
      <c r="F14" s="10" t="s">
        <v>8</v>
      </c>
      <c r="K14" t="s">
        <v>83</v>
      </c>
      <c r="M14" t="s">
        <v>88</v>
      </c>
      <c r="Y14" s="16" t="s">
        <v>27</v>
      </c>
    </row>
    <row r="15" spans="1:31" ht="16.75">
      <c r="A15" s="46" t="s">
        <v>336</v>
      </c>
      <c r="B15" s="10"/>
      <c r="D15" s="10" t="s">
        <v>22</v>
      </c>
      <c r="E15" s="10" t="s">
        <v>105</v>
      </c>
      <c r="F15" s="10" t="s">
        <v>54</v>
      </c>
      <c r="K15" t="s">
        <v>89</v>
      </c>
      <c r="M15" t="s">
        <v>92</v>
      </c>
      <c r="Y15" s="16" t="s">
        <v>28</v>
      </c>
    </row>
    <row r="16" spans="1:31" ht="16.75">
      <c r="A16" s="46" t="s">
        <v>337</v>
      </c>
      <c r="B16" s="10"/>
      <c r="D16" s="10" t="s">
        <v>332</v>
      </c>
      <c r="E16" s="10" t="s">
        <v>298</v>
      </c>
      <c r="F16" s="10" t="s">
        <v>337</v>
      </c>
      <c r="K16" t="s">
        <v>90</v>
      </c>
      <c r="M16" t="s">
        <v>93</v>
      </c>
      <c r="Y16" s="16" t="s">
        <v>30</v>
      </c>
    </row>
    <row r="17" spans="1:25" ht="16.75">
      <c r="A17" s="46" t="s">
        <v>320</v>
      </c>
      <c r="B17" s="10"/>
      <c r="D17" s="10" t="s">
        <v>332</v>
      </c>
      <c r="E17" s="10" t="s">
        <v>142</v>
      </c>
      <c r="F17" s="10" t="s">
        <v>334</v>
      </c>
      <c r="K17" t="s">
        <v>91</v>
      </c>
      <c r="M17" t="s">
        <v>94</v>
      </c>
      <c r="Y17" s="16" t="s">
        <v>29</v>
      </c>
    </row>
    <row r="18" spans="1:25" ht="16.75">
      <c r="A18" s="46" t="s">
        <v>332</v>
      </c>
      <c r="B18" s="10" t="s">
        <v>28</v>
      </c>
      <c r="D18" s="10" t="s">
        <v>53</v>
      </c>
      <c r="E18" s="10" t="s">
        <v>142</v>
      </c>
      <c r="F18" s="10" t="s">
        <v>335</v>
      </c>
      <c r="K18" t="s">
        <v>84</v>
      </c>
      <c r="M18" t="s">
        <v>95</v>
      </c>
      <c r="Y18" s="16" t="s">
        <v>31</v>
      </c>
    </row>
    <row r="19" spans="1:25" ht="16.75">
      <c r="A19" s="46" t="s">
        <v>55</v>
      </c>
      <c r="B19" s="10" t="s">
        <v>32</v>
      </c>
      <c r="D19" s="10" t="s">
        <v>52</v>
      </c>
      <c r="E19" s="10" t="s">
        <v>142</v>
      </c>
      <c r="F19" s="10" t="s">
        <v>336</v>
      </c>
      <c r="K19" t="s">
        <v>85</v>
      </c>
      <c r="M19" t="s">
        <v>96</v>
      </c>
      <c r="Y19" s="16" t="s">
        <v>171</v>
      </c>
    </row>
    <row r="20" spans="1:25" ht="16.75">
      <c r="A20" s="46" t="s">
        <v>56</v>
      </c>
      <c r="B20" s="10" t="s">
        <v>34</v>
      </c>
      <c r="D20" s="10" t="s">
        <v>52</v>
      </c>
      <c r="E20" s="10" t="s">
        <v>142</v>
      </c>
      <c r="F20" s="10" t="s">
        <v>18</v>
      </c>
      <c r="K20" t="s">
        <v>97</v>
      </c>
      <c r="M20" t="s">
        <v>98</v>
      </c>
      <c r="Y20" s="16" t="s">
        <v>15</v>
      </c>
    </row>
    <row r="21" spans="1:25" ht="16.75">
      <c r="A21" s="46" t="s">
        <v>57</v>
      </c>
      <c r="B21" s="10" t="s">
        <v>33</v>
      </c>
      <c r="D21" s="10" t="s">
        <v>335</v>
      </c>
      <c r="E21" s="10" t="s">
        <v>340</v>
      </c>
      <c r="F21" s="10" t="s">
        <v>124</v>
      </c>
      <c r="Y21" s="16" t="s">
        <v>16</v>
      </c>
    </row>
    <row r="22" spans="1:25" ht="16.75">
      <c r="A22" s="46" t="s">
        <v>54</v>
      </c>
      <c r="B22" s="10" t="s">
        <v>31</v>
      </c>
      <c r="D22" s="10" t="s">
        <v>336</v>
      </c>
      <c r="E22" s="10" t="s">
        <v>340</v>
      </c>
      <c r="F22" s="10" t="s">
        <v>123</v>
      </c>
      <c r="Y22" s="16" t="s">
        <v>32</v>
      </c>
    </row>
    <row r="23" spans="1:25" ht="16.75">
      <c r="A23" s="46" t="s">
        <v>18</v>
      </c>
      <c r="B23" s="10" t="s">
        <v>18</v>
      </c>
      <c r="D23" s="10" t="s">
        <v>334</v>
      </c>
      <c r="E23" s="10" t="s">
        <v>109</v>
      </c>
      <c r="F23" s="10" t="s">
        <v>62</v>
      </c>
      <c r="Y23" s="16" t="s">
        <v>9</v>
      </c>
    </row>
    <row r="24" spans="1:25" ht="16.75">
      <c r="A24" s="46" t="s">
        <v>62</v>
      </c>
      <c r="B24" s="10"/>
      <c r="D24" s="10" t="s">
        <v>334</v>
      </c>
      <c r="E24" s="10" t="s">
        <v>339</v>
      </c>
      <c r="F24" s="10" t="s">
        <v>335</v>
      </c>
      <c r="Y24" s="16" t="s">
        <v>18</v>
      </c>
    </row>
    <row r="25" spans="1:25" ht="16.75">
      <c r="A25" s="46" t="s">
        <v>52</v>
      </c>
      <c r="B25" s="10" t="s">
        <v>20</v>
      </c>
      <c r="D25" s="10" t="s">
        <v>320</v>
      </c>
      <c r="E25" s="10" t="s">
        <v>142</v>
      </c>
      <c r="F25" s="10" t="s">
        <v>337</v>
      </c>
      <c r="Y25" s="16" t="s">
        <v>23</v>
      </c>
    </row>
    <row r="26" spans="1:25" ht="16.75">
      <c r="A26" s="10"/>
      <c r="B26" s="10"/>
      <c r="D26" s="10" t="s">
        <v>320</v>
      </c>
      <c r="E26" s="10" t="s">
        <v>142</v>
      </c>
      <c r="F26" s="10" t="s">
        <v>333</v>
      </c>
      <c r="Y26" s="16" t="s">
        <v>22</v>
      </c>
    </row>
    <row r="27" spans="1:25" ht="16.75">
      <c r="A27" s="10"/>
      <c r="B27" s="10"/>
      <c r="D27" s="10" t="s">
        <v>333</v>
      </c>
      <c r="E27" s="10" t="s">
        <v>338</v>
      </c>
      <c r="F27" s="10" t="s">
        <v>335</v>
      </c>
      <c r="Y27" s="16" t="s">
        <v>12</v>
      </c>
    </row>
    <row r="28" spans="1:25" ht="16.75">
      <c r="A28" s="10"/>
      <c r="B28" s="10"/>
      <c r="D28" s="10" t="s">
        <v>333</v>
      </c>
      <c r="E28" s="10" t="s">
        <v>338</v>
      </c>
      <c r="F28" s="10" t="s">
        <v>336</v>
      </c>
      <c r="Y28" s="16" t="s">
        <v>24</v>
      </c>
    </row>
    <row r="29" spans="1:25" ht="16.75">
      <c r="A29" s="10"/>
      <c r="B29" s="10"/>
      <c r="D29" s="10"/>
      <c r="E29" s="10"/>
      <c r="F29" s="10"/>
      <c r="Y29" s="16" t="s">
        <v>8</v>
      </c>
    </row>
    <row r="30" spans="1:25" ht="16.75">
      <c r="A30" s="10"/>
      <c r="B30" s="10"/>
      <c r="D30" s="10"/>
      <c r="E30" s="10"/>
      <c r="F30" s="10"/>
      <c r="Y30" s="16" t="s">
        <v>20</v>
      </c>
    </row>
    <row r="31" spans="1:25" ht="16.75">
      <c r="A31" s="10"/>
      <c r="B31" s="10"/>
      <c r="D31" s="10"/>
      <c r="E31" s="10"/>
      <c r="F31" s="10"/>
      <c r="Y31" s="16" t="s">
        <v>11</v>
      </c>
    </row>
    <row r="32" spans="1:25">
      <c r="A32" s="46"/>
      <c r="B32" s="10"/>
      <c r="D32" s="10"/>
      <c r="E32" s="10"/>
      <c r="F32" s="10"/>
    </row>
    <row r="33" spans="1:21">
      <c r="A33" s="10"/>
      <c r="B33" s="10"/>
      <c r="D33" s="10"/>
      <c r="E33" s="10"/>
      <c r="F33" s="10"/>
    </row>
    <row r="34" spans="1:21">
      <c r="A34" s="10"/>
      <c r="B34" s="10"/>
      <c r="D34" s="10"/>
      <c r="E34" s="10"/>
      <c r="F34" s="10"/>
    </row>
    <row r="35" spans="1:21">
      <c r="A35" s="10"/>
      <c r="B35" s="10"/>
      <c r="D35" s="10"/>
      <c r="E35" s="10"/>
      <c r="F35" s="10"/>
    </row>
    <row r="36" spans="1:21">
      <c r="A36" s="10"/>
      <c r="B36" s="10"/>
      <c r="D36" s="10"/>
      <c r="E36" s="10"/>
      <c r="F36" s="10"/>
    </row>
    <row r="37" spans="1:21">
      <c r="A37" s="10"/>
      <c r="B37" s="10"/>
    </row>
    <row r="38" spans="1:21">
      <c r="A38" s="30" t="s">
        <v>182</v>
      </c>
      <c r="B38" s="30"/>
      <c r="D38" s="104" t="s">
        <v>222</v>
      </c>
      <c r="E38" s="105"/>
      <c r="F38" s="105"/>
      <c r="G38" s="106"/>
      <c r="I38" s="98" t="s">
        <v>224</v>
      </c>
      <c r="J38" s="99"/>
      <c r="K38" s="99"/>
      <c r="L38" s="99"/>
      <c r="M38" s="100"/>
      <c r="O38" s="94" t="s">
        <v>229</v>
      </c>
      <c r="P38" s="94"/>
      <c r="Q38" s="94"/>
      <c r="R38" s="94"/>
      <c r="S38" s="94"/>
      <c r="T38" s="94"/>
      <c r="U38" s="94"/>
    </row>
    <row r="39" spans="1:21">
      <c r="A39" s="32" t="s">
        <v>251</v>
      </c>
      <c r="B39" s="33" t="s">
        <v>252</v>
      </c>
      <c r="D39" s="34" t="s">
        <v>220</v>
      </c>
      <c r="E39" s="34" t="s">
        <v>219</v>
      </c>
      <c r="F39" s="34" t="s">
        <v>221</v>
      </c>
      <c r="G39" s="34" t="s">
        <v>223</v>
      </c>
      <c r="I39" s="101" t="s">
        <v>225</v>
      </c>
      <c r="J39" s="102"/>
      <c r="K39" s="103"/>
      <c r="L39" s="101" t="s">
        <v>226</v>
      </c>
      <c r="M39" s="103"/>
      <c r="O39" s="95" t="s">
        <v>227</v>
      </c>
      <c r="P39" s="96"/>
      <c r="Q39" s="96"/>
      <c r="R39" s="96"/>
      <c r="S39" s="97"/>
      <c r="T39" s="95" t="s">
        <v>228</v>
      </c>
      <c r="U39" s="97"/>
    </row>
    <row r="40" spans="1:21">
      <c r="A40" s="46" t="s">
        <v>101</v>
      </c>
      <c r="B40" s="10" t="s">
        <v>3</v>
      </c>
      <c r="D40" s="10" t="str">
        <f>IF(INDEX($A$3:$B$25,MATCH(D3,$A$3:$A$25,0),2)&lt;&gt;0,INDEX($A$3:$B$25,MATCH(D3,$A$3:$A$25,0),2),D3)</f>
        <v>politico</v>
      </c>
      <c r="E40" s="10" t="str">
        <f>IF(INDEX($A$40:$B$56,MATCH(E3,$A$40:$A$56,0),2)&lt;&gt;0,INDEX($A$40:$B$56,MATCH(E3,$A$40:$A$56,0),2),E3)</f>
        <v>rdfs:subClassOf</v>
      </c>
      <c r="F40" s="10" t="str">
        <f>IF(INDEX($A$3:$B$31,MATCH(F3,$A$3:$A$31,0),2)&lt;&gt;0,INDEX($A$3:$B$31,MATCH(F3,$A$3:$A$31,0),2),F3)</f>
        <v>nivel</v>
      </c>
      <c r="G40" s="3" t="str">
        <f>IF(INDEX($A$3:$B$25,MATCH(F3,$A$3:$A$25,0),2)&lt;&gt;0,"OK","NOK")</f>
        <v>OK</v>
      </c>
      <c r="I40" s="10" t="str">
        <f t="shared" ref="I40:I65" si="1">D40 &amp;"-"&amp;F40</f>
        <v>politico-nivel</v>
      </c>
      <c r="J40" s="10"/>
      <c r="K40" s="10"/>
      <c r="L40" s="3">
        <f>IF(INDEX(GRAFO!$L$2:'GRAFO'!$L$41,MATCH(I40,GRAFO!$L$2:'GRAFO'!$L$41,0),1)&lt;&gt;0,1,0)</f>
        <v>1</v>
      </c>
      <c r="M40" s="3">
        <f>IFERROR(L40,0)</f>
        <v>1</v>
      </c>
      <c r="O40" s="10" t="str">
        <f t="shared" ref="O40:O65" si="2">D40 &amp; "-" &amp; E40 &amp; "-" &amp; F40</f>
        <v>politico-rdfs:subClassOf-nivel</v>
      </c>
      <c r="P40" s="10"/>
      <c r="Q40" s="10"/>
      <c r="R40" s="10"/>
      <c r="S40" s="10"/>
      <c r="T40" s="10">
        <f>IF(INDEX(GRAFO!$M$2:'GRAFO'!$M$41,MATCH(O40,GRAFO!$M$2:'GRAFO'!$M$41,0),1)&lt;&gt;0,1,0)</f>
        <v>1</v>
      </c>
      <c r="U40" s="10">
        <f>IFERROR(T40,0)</f>
        <v>1</v>
      </c>
    </row>
    <row r="41" spans="1:21">
      <c r="A41" s="46" t="s">
        <v>246</v>
      </c>
      <c r="B41" s="10" t="s">
        <v>4</v>
      </c>
      <c r="D41" s="10" t="str">
        <f t="shared" ref="D41:D65" si="3">IF(INDEX($A$3:$B$25,MATCH(D4,$A$3:$A$25,0),2)&lt;&gt;0,INDEX($A$3:$B$25,MATCH(D4,$A$3:$A$25,0),2),D4)</f>
        <v>estrategico</v>
      </c>
      <c r="E41" s="10" t="str">
        <f t="shared" ref="E41:E65" si="4">IF(INDEX($A$40:$B$56,MATCH(E4,$A$40:$A$56,0),2)&lt;&gt;0,INDEX($A$40:$B$56,MATCH(E4,$A$40:$A$56,0),2),E4)</f>
        <v>rdfs:subClassOf</v>
      </c>
      <c r="F41" s="10" t="str">
        <f t="shared" ref="F41:F65" si="5">IF(INDEX($A$3:$B$31,MATCH(F4,$A$3:$A$31,0),2)&lt;&gt;0,INDEX($A$3:$B$31,MATCH(F4,$A$3:$A$31,0),2),F4)</f>
        <v>nivel</v>
      </c>
      <c r="G41" s="3" t="str">
        <f t="shared" ref="G41:G65" si="6">IF(INDEX($A$3:$B$25,MATCH(F4,$A$3:$A$25,0),2)&lt;&gt;0,"OK","NOK")</f>
        <v>OK</v>
      </c>
      <c r="I41" s="10" t="str">
        <f t="shared" si="1"/>
        <v>estrategico-nivel</v>
      </c>
      <c r="J41" s="10"/>
      <c r="K41" s="10"/>
      <c r="L41" s="3">
        <f>IF(INDEX(GRAFO!$L$2:'GRAFO'!$L$41,MATCH(I41,GRAFO!$L$2:'GRAFO'!$L$41,0),1)&lt;&gt;0,1,0)</f>
        <v>1</v>
      </c>
      <c r="M41" s="3">
        <f t="shared" ref="M41:M65" si="7">IFERROR(L41,0)</f>
        <v>1</v>
      </c>
      <c r="O41" s="10" t="str">
        <f t="shared" si="2"/>
        <v>estrategico-rdfs:subClassOf-nivel</v>
      </c>
      <c r="P41" s="10"/>
      <c r="Q41" s="10"/>
      <c r="R41" s="10"/>
      <c r="S41" s="10"/>
      <c r="T41" s="10">
        <f>IF(INDEX(GRAFO!$M$2:'GRAFO'!$M$41,MATCH(O41,GRAFO!$M$2:'GRAFO'!$M$41,0),1)&lt;&gt;0,1,0)</f>
        <v>1</v>
      </c>
      <c r="U41" s="10">
        <f t="shared" ref="U41:U65" si="8">IFERROR(T41,0)</f>
        <v>1</v>
      </c>
    </row>
    <row r="42" spans="1:21">
      <c r="A42" s="46" t="s">
        <v>298</v>
      </c>
      <c r="B42" s="10" t="s">
        <v>5</v>
      </c>
      <c r="D42" s="10" t="str">
        <f t="shared" si="3"/>
        <v>operacional</v>
      </c>
      <c r="E42" s="10" t="str">
        <f t="shared" si="4"/>
        <v>rdfs:subClassOf</v>
      </c>
      <c r="F42" s="10" t="str">
        <f t="shared" si="5"/>
        <v>nivel</v>
      </c>
      <c r="G42" s="3" t="str">
        <f t="shared" si="6"/>
        <v>OK</v>
      </c>
      <c r="I42" s="10" t="str">
        <f t="shared" si="1"/>
        <v>operacional-nivel</v>
      </c>
      <c r="J42" s="10"/>
      <c r="K42" s="10"/>
      <c r="L42" s="3">
        <f>IF(INDEX(GRAFO!$L$2:'GRAFO'!$L$41,MATCH(I42,GRAFO!$L$2:'GRAFO'!$L$41,0),1)&lt;&gt;0,1,0)</f>
        <v>1</v>
      </c>
      <c r="M42" s="3">
        <f t="shared" si="7"/>
        <v>1</v>
      </c>
      <c r="O42" s="10" t="str">
        <f t="shared" si="2"/>
        <v>operacional-rdfs:subClassOf-nivel</v>
      </c>
      <c r="P42" s="10"/>
      <c r="Q42" s="10"/>
      <c r="R42" s="10"/>
      <c r="S42" s="10"/>
      <c r="T42" s="10">
        <f>IF(INDEX(GRAFO!$M$2:'GRAFO'!$M$41,MATCH(O42,GRAFO!$M$2:'GRAFO'!$M$41,0),1)&lt;&gt;0,1,0)</f>
        <v>1</v>
      </c>
      <c r="U42" s="10">
        <f t="shared" si="8"/>
        <v>1</v>
      </c>
    </row>
    <row r="43" spans="1:21">
      <c r="A43" s="46" t="s">
        <v>280</v>
      </c>
      <c r="B43" s="10" t="s">
        <v>7</v>
      </c>
      <c r="D43" s="10" t="str">
        <f t="shared" si="3"/>
        <v>tatico</v>
      </c>
      <c r="E43" s="10" t="str">
        <f t="shared" si="4"/>
        <v>rdfs:subClassOf</v>
      </c>
      <c r="F43" s="10" t="str">
        <f t="shared" si="5"/>
        <v>nivel</v>
      </c>
      <c r="G43" s="3" t="str">
        <f t="shared" si="6"/>
        <v>OK</v>
      </c>
      <c r="I43" s="10" t="str">
        <f t="shared" si="1"/>
        <v>tatico-nivel</v>
      </c>
      <c r="J43" s="10"/>
      <c r="K43" s="10"/>
      <c r="L43" s="3">
        <f>IF(INDEX(GRAFO!$L$2:'GRAFO'!$L$41,MATCH(I43,GRAFO!$L$2:'GRAFO'!$L$41,0),1)&lt;&gt;0,1,0)</f>
        <v>1</v>
      </c>
      <c r="M43" s="3">
        <f t="shared" si="7"/>
        <v>1</v>
      </c>
      <c r="O43" s="10" t="str">
        <f t="shared" si="2"/>
        <v>tatico-rdfs:subClassOf-nivel</v>
      </c>
      <c r="P43" s="10"/>
      <c r="Q43" s="10"/>
      <c r="R43" s="10"/>
      <c r="S43" s="10"/>
      <c r="T43" s="10">
        <f>IF(INDEX(GRAFO!$M$2:'GRAFO'!$M$41,MATCH(O43,GRAFO!$M$2:'GRAFO'!$M$41,0),1)&lt;&gt;0,1,0)</f>
        <v>1</v>
      </c>
      <c r="U43" s="10">
        <f t="shared" si="8"/>
        <v>1</v>
      </c>
    </row>
    <row r="44" spans="1:21">
      <c r="A44" s="46" t="s">
        <v>105</v>
      </c>
      <c r="B44" s="10" t="s">
        <v>5</v>
      </c>
      <c r="D44" s="10" t="str">
        <f t="shared" si="3"/>
        <v>marinha</v>
      </c>
      <c r="E44" s="10" t="str">
        <f t="shared" si="4"/>
        <v>rdfs:subClassOf</v>
      </c>
      <c r="F44" s="10" t="str">
        <f t="shared" si="5"/>
        <v>forcas_armadas</v>
      </c>
      <c r="G44" s="3" t="str">
        <f t="shared" si="6"/>
        <v>OK</v>
      </c>
      <c r="I44" s="10" t="str">
        <f t="shared" si="1"/>
        <v>marinha-forcas_armadas</v>
      </c>
      <c r="J44" s="10"/>
      <c r="K44" s="10"/>
      <c r="L44" s="3">
        <f>IF(INDEX(GRAFO!$L$2:'GRAFO'!$L$41,MATCH(I44,GRAFO!$L$2:'GRAFO'!$L$41,0),1)&lt;&gt;0,1,0)</f>
        <v>1</v>
      </c>
      <c r="M44" s="3">
        <f t="shared" si="7"/>
        <v>1</v>
      </c>
      <c r="O44" s="10" t="str">
        <f t="shared" si="2"/>
        <v>marinha-rdfs:subClassOf-forcas_armadas</v>
      </c>
      <c r="P44" s="10"/>
      <c r="Q44" s="10"/>
      <c r="R44" s="10"/>
      <c r="S44" s="10"/>
      <c r="T44" s="10">
        <f>IF(INDEX(GRAFO!$M$2:'GRAFO'!$M$41,MATCH(O44,GRAFO!$M$2:'GRAFO'!$M$41,0),1)&lt;&gt;0,1,0)</f>
        <v>1</v>
      </c>
      <c r="U44" s="10">
        <f t="shared" si="8"/>
        <v>1</v>
      </c>
    </row>
    <row r="45" spans="1:21">
      <c r="A45" s="46" t="s">
        <v>109</v>
      </c>
      <c r="B45" s="10" t="s">
        <v>4</v>
      </c>
      <c r="D45" s="10" t="str">
        <f t="shared" si="3"/>
        <v>exercito</v>
      </c>
      <c r="E45" s="10" t="str">
        <f t="shared" si="4"/>
        <v>rdfs:subClassOf</v>
      </c>
      <c r="F45" s="10" t="str">
        <f t="shared" si="5"/>
        <v>forcas_armadas</v>
      </c>
      <c r="G45" s="3" t="str">
        <f t="shared" si="6"/>
        <v>OK</v>
      </c>
      <c r="H45">
        <f>COUNTIFS(GRAFO!C2:C42,"=D34",GRAFO!E2:E42,"=F34")</f>
        <v>0</v>
      </c>
      <c r="I45" s="10" t="str">
        <f t="shared" si="1"/>
        <v>exercito-forcas_armadas</v>
      </c>
      <c r="J45" s="10"/>
      <c r="K45" s="10"/>
      <c r="L45" s="3">
        <f>IF(INDEX(GRAFO!$L$2:'GRAFO'!$L$41,MATCH(I45,GRAFO!$L$2:'GRAFO'!$L$41,0),1)&lt;&gt;0,1,0)</f>
        <v>1</v>
      </c>
      <c r="M45" s="3">
        <f t="shared" si="7"/>
        <v>1</v>
      </c>
      <c r="O45" s="10" t="str">
        <f t="shared" si="2"/>
        <v>exercito-rdfs:subClassOf-forcas_armadas</v>
      </c>
      <c r="P45" s="10"/>
      <c r="Q45" s="10"/>
      <c r="R45" s="10"/>
      <c r="S45" s="10"/>
      <c r="T45" s="10">
        <f>IF(INDEX(GRAFO!$M$2:'GRAFO'!$M$41,MATCH(O45,GRAFO!$M$2:'GRAFO'!$M$41,0),1)&lt;&gt;0,1,0)</f>
        <v>1</v>
      </c>
      <c r="U45" s="10">
        <f t="shared" si="8"/>
        <v>1</v>
      </c>
    </row>
    <row r="46" spans="1:21">
      <c r="A46" s="10" t="s">
        <v>339</v>
      </c>
      <c r="B46" s="10" t="s">
        <v>4</v>
      </c>
      <c r="D46" s="10" t="str">
        <f t="shared" si="3"/>
        <v>aeronautica</v>
      </c>
      <c r="E46" s="10" t="str">
        <f t="shared" si="4"/>
        <v>rdfs:subClassOf</v>
      </c>
      <c r="F46" s="10" t="str">
        <f t="shared" si="5"/>
        <v>forcas_armadas</v>
      </c>
      <c r="G46" s="3" t="str">
        <f t="shared" si="6"/>
        <v>OK</v>
      </c>
      <c r="I46" s="10" t="str">
        <f t="shared" si="1"/>
        <v>aeronautica-forcas_armadas</v>
      </c>
      <c r="J46" s="10"/>
      <c r="K46" s="10"/>
      <c r="L46" s="3">
        <f>IF(INDEX(GRAFO!$L$2:'GRAFO'!$L$41,MATCH(I46,GRAFO!$L$2:'GRAFO'!$L$41,0),1)&lt;&gt;0,1,0)</f>
        <v>1</v>
      </c>
      <c r="M46" s="3">
        <f t="shared" si="7"/>
        <v>1</v>
      </c>
      <c r="O46" s="10" t="str">
        <f t="shared" si="2"/>
        <v>aeronautica-rdfs:subClassOf-forcas_armadas</v>
      </c>
      <c r="P46" s="10"/>
      <c r="Q46" s="10"/>
      <c r="R46" s="10"/>
      <c r="S46" s="10"/>
      <c r="T46" s="10">
        <f>IF(INDEX(GRAFO!$M$2:'GRAFO'!$M$41,MATCH(O46,GRAFO!$M$2:'GRAFO'!$M$41,0),1)&lt;&gt;0,1,0)</f>
        <v>1</v>
      </c>
      <c r="U46" s="10">
        <f t="shared" si="8"/>
        <v>1</v>
      </c>
    </row>
    <row r="47" spans="1:21">
      <c r="A47" s="10" t="s">
        <v>142</v>
      </c>
      <c r="B47" s="10" t="s">
        <v>7</v>
      </c>
      <c r="C47" s="24"/>
      <c r="D47" s="10" t="str">
        <f t="shared" si="3"/>
        <v>operacao_conjunta</v>
      </c>
      <c r="E47" s="10" t="str">
        <f t="shared" si="4"/>
        <v>rdfs:seeAlso</v>
      </c>
      <c r="F47" s="10" t="str">
        <f t="shared" si="5"/>
        <v>nivel</v>
      </c>
      <c r="G47" s="3" t="str">
        <f t="shared" si="6"/>
        <v>OK</v>
      </c>
      <c r="I47" s="10" t="str">
        <f t="shared" si="1"/>
        <v>operacao_conjunta-nivel</v>
      </c>
      <c r="J47" s="10"/>
      <c r="K47" s="10"/>
      <c r="L47" s="3" t="e">
        <f>IF(INDEX(GRAFO!$L$2:'GRAFO'!$L$41,MATCH(I47,GRAFO!$L$2:'GRAFO'!$L$41,0),1)&lt;&gt;0,1,0)</f>
        <v>#N/A</v>
      </c>
      <c r="M47" s="3">
        <f t="shared" si="7"/>
        <v>0</v>
      </c>
      <c r="O47" s="10" t="str">
        <f t="shared" si="2"/>
        <v>operacao_conjunta-rdfs:seeAlso-nivel</v>
      </c>
      <c r="P47" s="10"/>
      <c r="Q47" s="10"/>
      <c r="R47" s="10"/>
      <c r="S47" s="10"/>
      <c r="T47" s="10" t="e">
        <f>IF(INDEX(GRAFO!$M$2:'GRAFO'!$M$41,MATCH(O47,GRAFO!$M$2:'GRAFO'!$M$41,0),1)&lt;&gt;0,1,0)</f>
        <v>#N/A</v>
      </c>
      <c r="U47" s="10">
        <f t="shared" si="8"/>
        <v>0</v>
      </c>
    </row>
    <row r="48" spans="1:21">
      <c r="A48" s="46" t="s">
        <v>340</v>
      </c>
      <c r="B48" s="10" t="s">
        <v>4</v>
      </c>
      <c r="C48" s="9" t="str">
        <f t="shared" ref="C48:C63" si="9">IF(INDEX($A$3:$B$18,MATCH(D3,$A$3:$A$17,0),2)&lt;&gt;0,"OK","NOK")</f>
        <v>OK</v>
      </c>
      <c r="D48" s="10" t="str">
        <f t="shared" si="3"/>
        <v>comandante_operacional</v>
      </c>
      <c r="E48" s="10" t="str">
        <f t="shared" si="4"/>
        <v>c2rm:responsible_for</v>
      </c>
      <c r="F48" s="10" t="str">
        <f t="shared" si="5"/>
        <v>operacional</v>
      </c>
      <c r="G48" s="3" t="str">
        <f t="shared" si="6"/>
        <v>OK</v>
      </c>
      <c r="I48" s="10" t="str">
        <f t="shared" si="1"/>
        <v>comandante_operacional-operacional</v>
      </c>
      <c r="J48" s="10"/>
      <c r="K48" s="10"/>
      <c r="L48" s="3" t="e">
        <f>IF(INDEX(GRAFO!$L$2:'GRAFO'!$L$41,MATCH(I48,GRAFO!$L$2:'GRAFO'!$L$41,0),1)&lt;&gt;0,1,0)</f>
        <v>#N/A</v>
      </c>
      <c r="M48" s="3">
        <f t="shared" si="7"/>
        <v>0</v>
      </c>
      <c r="O48" s="10" t="str">
        <f t="shared" si="2"/>
        <v>comandante_operacional-c2rm:responsible_for-operacional</v>
      </c>
      <c r="P48" s="10"/>
      <c r="Q48" s="10"/>
      <c r="R48" s="10"/>
      <c r="S48" s="10"/>
      <c r="T48" s="10" t="e">
        <f>IF(INDEX(GRAFO!$M$2:'GRAFO'!$M$41,MATCH(O48,GRAFO!$M$2:'GRAFO'!$M$41,0),1)&lt;&gt;0,1,0)</f>
        <v>#N/A</v>
      </c>
      <c r="U48" s="10">
        <f t="shared" si="8"/>
        <v>0</v>
      </c>
    </row>
    <row r="49" spans="1:21">
      <c r="A49" s="10" t="s">
        <v>338</v>
      </c>
      <c r="B49" s="10" t="s">
        <v>4</v>
      </c>
      <c r="C49" s="9" t="str">
        <f t="shared" si="9"/>
        <v>OK</v>
      </c>
      <c r="D49" s="10" t="str">
        <f t="shared" si="3"/>
        <v>forca_componente</v>
      </c>
      <c r="E49" s="10" t="str">
        <f t="shared" si="4"/>
        <v>c2rm:responsible_for</v>
      </c>
      <c r="F49" s="10" t="str">
        <f t="shared" si="5"/>
        <v>tatico</v>
      </c>
      <c r="G49" s="3" t="str">
        <f t="shared" si="6"/>
        <v>OK</v>
      </c>
      <c r="I49" s="10" t="str">
        <f t="shared" si="1"/>
        <v>forca_componente-tatico</v>
      </c>
      <c r="J49" s="10"/>
      <c r="K49" s="10"/>
      <c r="L49" s="3">
        <f>IF(INDEX(GRAFO!$L$2:'GRAFO'!$L$41,MATCH(I49,GRAFO!$L$2:'GRAFO'!$L$41,0),1)&lt;&gt;0,1,0)</f>
        <v>1</v>
      </c>
      <c r="M49" s="3">
        <f t="shared" si="7"/>
        <v>1</v>
      </c>
      <c r="O49" s="10" t="str">
        <f t="shared" si="2"/>
        <v>forca_componente-c2rm:responsible_for-tatico</v>
      </c>
      <c r="P49" s="10"/>
      <c r="Q49" s="10"/>
      <c r="R49" s="10"/>
      <c r="S49" s="10"/>
      <c r="T49" s="10">
        <f>IF(INDEX(GRAFO!$M$2:'GRAFO'!$M$41,MATCH(O49,GRAFO!$M$2:'GRAFO'!$M$41,0),1)&lt;&gt;0,1,0)</f>
        <v>1</v>
      </c>
      <c r="U49" s="10">
        <f t="shared" si="8"/>
        <v>1</v>
      </c>
    </row>
    <row r="50" spans="1:21">
      <c r="A50" s="46"/>
      <c r="B50" s="10"/>
      <c r="C50" s="9" t="str">
        <f t="shared" si="9"/>
        <v>OK</v>
      </c>
      <c r="D50" s="10" t="str">
        <f t="shared" si="3"/>
        <v>md</v>
      </c>
      <c r="E50" s="10" t="str">
        <f t="shared" si="4"/>
        <v>c2rm:responsible_for</v>
      </c>
      <c r="F50" s="10" t="str">
        <f t="shared" si="5"/>
        <v>estrategico</v>
      </c>
      <c r="G50" s="3" t="str">
        <f t="shared" si="6"/>
        <v>OK</v>
      </c>
      <c r="I50" s="10" t="str">
        <f t="shared" si="1"/>
        <v>md-estrategico</v>
      </c>
      <c r="J50" s="10"/>
      <c r="K50" s="10"/>
      <c r="L50" s="3" t="e">
        <f>IF(INDEX(GRAFO!$L$2:'GRAFO'!$L$41,MATCH(I50,GRAFO!$L$2:'GRAFO'!$L$41,0),1)&lt;&gt;0,1,0)</f>
        <v>#N/A</v>
      </c>
      <c r="M50" s="3">
        <f t="shared" si="7"/>
        <v>0</v>
      </c>
      <c r="O50" s="10" t="str">
        <f t="shared" si="2"/>
        <v>md-c2rm:responsible_for-estrategico</v>
      </c>
      <c r="P50" s="10"/>
      <c r="Q50" s="10"/>
      <c r="R50" s="10"/>
      <c r="S50" s="10"/>
      <c r="T50" s="10" t="e">
        <f>IF(INDEX(GRAFO!$M$2:'GRAFO'!$M$41,MATCH(O50,GRAFO!$M$2:'GRAFO'!$M$41,0),1)&lt;&gt;0,1,0)</f>
        <v>#N/A</v>
      </c>
      <c r="U50" s="10">
        <f t="shared" si="8"/>
        <v>0</v>
      </c>
    </row>
    <row r="51" spans="1:21">
      <c r="A51" s="10"/>
      <c r="B51" s="10"/>
      <c r="C51" s="9" t="str">
        <f t="shared" si="9"/>
        <v>OK</v>
      </c>
      <c r="D51" s="10" t="str">
        <f t="shared" si="3"/>
        <v>presidente_da_republica</v>
      </c>
      <c r="E51" s="10" t="str">
        <f t="shared" si="4"/>
        <v>c2rm:responsible_for</v>
      </c>
      <c r="F51" s="10" t="str">
        <f t="shared" si="5"/>
        <v>politico</v>
      </c>
      <c r="G51" s="3" t="str">
        <f t="shared" si="6"/>
        <v>OK</v>
      </c>
      <c r="I51" s="10" t="str">
        <f t="shared" si="1"/>
        <v>presidente_da_republica-politico</v>
      </c>
      <c r="J51" s="10"/>
      <c r="K51" s="10"/>
      <c r="L51" s="3">
        <f>IF(INDEX(GRAFO!$L$2:'GRAFO'!$L$41,MATCH(I51,GRAFO!$L$2:'GRAFO'!$L$41,0),1)&lt;&gt;0,1,0)</f>
        <v>1</v>
      </c>
      <c r="M51" s="3">
        <f t="shared" si="7"/>
        <v>1</v>
      </c>
      <c r="O51" s="10" t="str">
        <f t="shared" si="2"/>
        <v>presidente_da_republica-c2rm:responsible_for-politico</v>
      </c>
      <c r="P51" s="10"/>
      <c r="Q51" s="10"/>
      <c r="R51" s="10"/>
      <c r="S51" s="10"/>
      <c r="T51" s="10">
        <f>IF(INDEX(GRAFO!$M$2:'GRAFO'!$M$41,MATCH(O51,GRAFO!$M$2:'GRAFO'!$M$41,0),1)&lt;&gt;0,1,0)</f>
        <v>1</v>
      </c>
      <c r="U51" s="10">
        <f t="shared" si="8"/>
        <v>1</v>
      </c>
    </row>
    <row r="52" spans="1:21">
      <c r="A52" s="10"/>
      <c r="B52" s="10"/>
      <c r="C52" s="9" t="e">
        <f t="shared" si="9"/>
        <v>#N/A</v>
      </c>
      <c r="D52" s="10" t="str">
        <f t="shared" si="3"/>
        <v>operacao_conjunta</v>
      </c>
      <c r="E52" s="10" t="str">
        <f t="shared" si="4"/>
        <v>c2rm:applied_to</v>
      </c>
      <c r="F52" s="10" t="str">
        <f t="shared" si="5"/>
        <v>forcas_armadas</v>
      </c>
      <c r="G52" s="3" t="str">
        <f t="shared" si="6"/>
        <v>OK</v>
      </c>
      <c r="I52" s="10" t="str">
        <f t="shared" si="1"/>
        <v>operacao_conjunta-forcas_armadas</v>
      </c>
      <c r="J52" s="10"/>
      <c r="K52" s="10"/>
      <c r="L52" s="3" t="e">
        <f>IF(INDEX(GRAFO!$L$2:'GRAFO'!$L$41,MATCH(I52,GRAFO!$L$2:'GRAFO'!$L$41,0),1)&lt;&gt;0,1,0)</f>
        <v>#N/A</v>
      </c>
      <c r="M52" s="3">
        <f t="shared" si="7"/>
        <v>0</v>
      </c>
      <c r="O52" s="10" t="str">
        <f t="shared" si="2"/>
        <v>operacao_conjunta-c2rm:applied_to-forcas_armadas</v>
      </c>
      <c r="P52" s="10"/>
      <c r="Q52" s="10"/>
      <c r="R52" s="10"/>
      <c r="S52" s="10"/>
      <c r="T52" s="10" t="e">
        <f>IF(INDEX(GRAFO!$M$2:'GRAFO'!$M$41,MATCH(O52,GRAFO!$M$2:'GRAFO'!$M$41,0),1)&lt;&gt;0,1,0)</f>
        <v>#N/A</v>
      </c>
      <c r="U52" s="10">
        <f t="shared" si="8"/>
        <v>0</v>
      </c>
    </row>
    <row r="53" spans="1:21">
      <c r="A53" s="10"/>
      <c r="B53" s="10"/>
      <c r="C53" s="9" t="e">
        <f t="shared" si="9"/>
        <v>#N/A</v>
      </c>
      <c r="D53" s="10" t="str">
        <f t="shared" si="3"/>
        <v>forca_componente</v>
      </c>
      <c r="E53" s="10" t="str">
        <f t="shared" si="4"/>
        <v>c2rm:applied_to</v>
      </c>
      <c r="F53" s="10" t="str">
        <f t="shared" si="5"/>
        <v>objetivos_e_missoes_taticas</v>
      </c>
      <c r="G53" s="3" t="str">
        <f t="shared" si="6"/>
        <v>NOK</v>
      </c>
      <c r="I53" s="10" t="str">
        <f t="shared" si="1"/>
        <v>forca_componente-objetivos_e_missoes_taticas</v>
      </c>
      <c r="J53" s="10"/>
      <c r="K53" s="10"/>
      <c r="L53" s="3" t="e">
        <f>IF(INDEX(GRAFO!$L$2:'GRAFO'!$L$41,MATCH(I53,GRAFO!$L$2:'GRAFO'!$L$41,0),1)&lt;&gt;0,1,0)</f>
        <v>#N/A</v>
      </c>
      <c r="M53" s="3">
        <f t="shared" si="7"/>
        <v>0</v>
      </c>
      <c r="O53" s="10" t="str">
        <f t="shared" si="2"/>
        <v>forca_componente-c2rm:applied_to-objetivos_e_missoes_taticas</v>
      </c>
      <c r="P53" s="10"/>
      <c r="Q53" s="10"/>
      <c r="R53" s="10"/>
      <c r="S53" s="10"/>
      <c r="T53" s="10" t="e">
        <f>IF(INDEX(GRAFO!$M$2:'GRAFO'!$M$41,MATCH(O53,GRAFO!$M$2:'GRAFO'!$M$41,0),1)&lt;&gt;0,1,0)</f>
        <v>#N/A</v>
      </c>
      <c r="U53" s="10">
        <f t="shared" si="8"/>
        <v>0</v>
      </c>
    </row>
    <row r="54" spans="1:21">
      <c r="A54" s="10"/>
      <c r="B54" s="10"/>
      <c r="C54" s="9" t="e">
        <f t="shared" si="9"/>
        <v>#N/A</v>
      </c>
      <c r="D54" s="10" t="str">
        <f t="shared" si="3"/>
        <v>forca_componente</v>
      </c>
      <c r="E54" s="10" t="str">
        <f t="shared" si="4"/>
        <v>c2rm:responsible_for</v>
      </c>
      <c r="F54" s="10" t="str">
        <f t="shared" si="5"/>
        <v>planos_taticos_operacionais</v>
      </c>
      <c r="G54" s="3" t="str">
        <f t="shared" si="6"/>
        <v>NOK</v>
      </c>
      <c r="I54" s="10" t="str">
        <f t="shared" si="1"/>
        <v>forca_componente-planos_taticos_operacionais</v>
      </c>
      <c r="J54" s="10"/>
      <c r="K54" s="10"/>
      <c r="L54" s="3" t="e">
        <f>IF(INDEX(GRAFO!$L$2:'GRAFO'!$L$41,MATCH(I54,GRAFO!$L$2:'GRAFO'!$L$41,0),1)&lt;&gt;0,1,0)</f>
        <v>#N/A</v>
      </c>
      <c r="M54" s="3">
        <f t="shared" si="7"/>
        <v>0</v>
      </c>
      <c r="O54" s="10" t="str">
        <f t="shared" si="2"/>
        <v>forca_componente-c2rm:responsible_for-planos_taticos_operacionais</v>
      </c>
      <c r="P54" s="10"/>
      <c r="Q54" s="10"/>
      <c r="R54" s="10"/>
      <c r="S54" s="10"/>
      <c r="T54" s="10" t="e">
        <f>IF(INDEX(GRAFO!$M$2:'GRAFO'!$M$41,MATCH(O54,GRAFO!$M$2:'GRAFO'!$M$41,0),1)&lt;&gt;0,1,0)</f>
        <v>#N/A</v>
      </c>
      <c r="U54" s="10">
        <f t="shared" si="8"/>
        <v>0</v>
      </c>
    </row>
    <row r="55" spans="1:21">
      <c r="A55" s="10"/>
      <c r="B55" s="10"/>
      <c r="C55" s="9" t="str">
        <f t="shared" si="9"/>
        <v>OK</v>
      </c>
      <c r="D55" s="10" t="str">
        <f t="shared" si="3"/>
        <v>md</v>
      </c>
      <c r="E55" s="10" t="str">
        <f t="shared" si="4"/>
        <v>c2rm:responsible_for</v>
      </c>
      <c r="F55" s="10" t="str">
        <f t="shared" si="5"/>
        <v>diretrizes_e_planos</v>
      </c>
      <c r="G55" s="3" t="str">
        <f t="shared" si="6"/>
        <v>NOK</v>
      </c>
      <c r="I55" s="10" t="str">
        <f t="shared" si="1"/>
        <v>md-diretrizes_e_planos</v>
      </c>
      <c r="J55" s="10"/>
      <c r="K55" s="10"/>
      <c r="L55" s="3" t="e">
        <f>IF(INDEX(GRAFO!$L$2:'GRAFO'!$L$41,MATCH(I55,GRAFO!$L$2:'GRAFO'!$L$41,0),1)&lt;&gt;0,1,0)</f>
        <v>#N/A</v>
      </c>
      <c r="M55" s="3">
        <f t="shared" si="7"/>
        <v>0</v>
      </c>
      <c r="O55" s="10" t="str">
        <f t="shared" si="2"/>
        <v>md-c2rm:responsible_for-diretrizes_e_planos</v>
      </c>
      <c r="P55" s="10"/>
      <c r="Q55" s="10"/>
      <c r="R55" s="10"/>
      <c r="S55" s="10"/>
      <c r="T55" s="10" t="e">
        <f>IF(INDEX(GRAFO!$M$2:'GRAFO'!$M$41,MATCH(O55,GRAFO!$M$2:'GRAFO'!$M$41,0),1)&lt;&gt;0,1,0)</f>
        <v>#N/A</v>
      </c>
      <c r="U55" s="10">
        <f t="shared" si="8"/>
        <v>0</v>
      </c>
    </row>
    <row r="56" spans="1:21">
      <c r="A56" s="10"/>
      <c r="B56" s="10"/>
      <c r="C56" s="9" t="str">
        <f t="shared" si="9"/>
        <v>NOK</v>
      </c>
      <c r="D56" s="10" t="str">
        <f t="shared" si="3"/>
        <v>presidente_da_republica</v>
      </c>
      <c r="E56" s="10" t="str">
        <f t="shared" si="4"/>
        <v>c2rm:responsible_for</v>
      </c>
      <c r="F56" s="10" t="str">
        <f t="shared" si="5"/>
        <v>diretrizes_estrategicas</v>
      </c>
      <c r="G56" s="3" t="str">
        <f t="shared" si="6"/>
        <v>NOK</v>
      </c>
      <c r="I56" s="10" t="str">
        <f t="shared" si="1"/>
        <v>presidente_da_republica-diretrizes_estrategicas</v>
      </c>
      <c r="J56" s="10"/>
      <c r="K56" s="10"/>
      <c r="L56" s="3" t="e">
        <f>IF(INDEX(GRAFO!$L$2:'GRAFO'!$L$41,MATCH(I56,GRAFO!$L$2:'GRAFO'!$L$41,0),1)&lt;&gt;0,1,0)</f>
        <v>#N/A</v>
      </c>
      <c r="M56" s="3">
        <f t="shared" si="7"/>
        <v>0</v>
      </c>
      <c r="O56" s="10" t="str">
        <f t="shared" si="2"/>
        <v>presidente_da_republica-c2rm:responsible_for-diretrizes_estrategicas</v>
      </c>
      <c r="P56" s="10"/>
      <c r="Q56" s="10"/>
      <c r="R56" s="10"/>
      <c r="S56" s="10"/>
      <c r="T56" s="10" t="e">
        <f>IF(INDEX(GRAFO!$M$2:'GRAFO'!$M$41,MATCH(O56,GRAFO!$M$2:'GRAFO'!$M$41,0),1)&lt;&gt;0,1,0)</f>
        <v>#N/A</v>
      </c>
      <c r="U56" s="10">
        <f t="shared" si="8"/>
        <v>0</v>
      </c>
    </row>
    <row r="57" spans="1:21">
      <c r="C57" s="9" t="e">
        <f t="shared" si="9"/>
        <v>#N/A</v>
      </c>
      <c r="D57" s="10" t="str">
        <f t="shared" si="3"/>
        <v>presidente_da_republica</v>
      </c>
      <c r="E57" s="10" t="str">
        <f t="shared" si="4"/>
        <v>c2rm:responsible_for</v>
      </c>
      <c r="F57" s="10" t="str">
        <f t="shared" si="5"/>
        <v>objetivos_politicos</v>
      </c>
      <c r="G57" s="3" t="str">
        <f t="shared" si="6"/>
        <v>OK</v>
      </c>
      <c r="I57" s="10" t="str">
        <f t="shared" si="1"/>
        <v>presidente_da_republica-objetivos_politicos</v>
      </c>
      <c r="J57" s="10"/>
      <c r="K57" s="10"/>
      <c r="L57" s="3">
        <f>IF(INDEX(GRAFO!$L$2:'GRAFO'!$L$41,MATCH(I57,GRAFO!$L$2:'GRAFO'!$L$41,0),1)&lt;&gt;0,1,0)</f>
        <v>1</v>
      </c>
      <c r="M57" s="3">
        <f t="shared" si="7"/>
        <v>1</v>
      </c>
      <c r="O57" s="10" t="str">
        <f t="shared" si="2"/>
        <v>presidente_da_republica-c2rm:responsible_for-objetivos_politicos</v>
      </c>
      <c r="P57" s="10"/>
      <c r="Q57" s="10"/>
      <c r="R57" s="10"/>
      <c r="S57" s="10"/>
      <c r="T57" s="10">
        <f>IF(INDEX(GRAFO!$M$2:'GRAFO'!$M$41,MATCH(O57,GRAFO!$M$2:'GRAFO'!$M$41,0),1)&lt;&gt;0,1,0)</f>
        <v>1</v>
      </c>
      <c r="U57" s="10">
        <f t="shared" si="8"/>
        <v>1</v>
      </c>
    </row>
    <row r="58" spans="1:21">
      <c r="C58" s="9" t="str">
        <f t="shared" si="9"/>
        <v>NOK</v>
      </c>
      <c r="D58" s="10" t="str">
        <f t="shared" si="3"/>
        <v>diretrizes_e_planos</v>
      </c>
      <c r="E58" s="10" t="str">
        <f t="shared" si="4"/>
        <v>rdfs:seeAlso</v>
      </c>
      <c r="F58" s="10" t="str">
        <f t="shared" si="5"/>
        <v>dmed</v>
      </c>
      <c r="G58" s="3" t="str">
        <f t="shared" si="6"/>
        <v>NOK</v>
      </c>
      <c r="I58" s="10" t="str">
        <f t="shared" si="1"/>
        <v>diretrizes_e_planos-dmed</v>
      </c>
      <c r="J58" s="10"/>
      <c r="K58" s="10"/>
      <c r="L58" s="3" t="e">
        <f>IF(INDEX(GRAFO!$L$2:'GRAFO'!$L$41,MATCH(I58,GRAFO!$L$2:'GRAFO'!$L$41,0),1)&lt;&gt;0,1,0)</f>
        <v>#N/A</v>
      </c>
      <c r="M58" s="3">
        <f t="shared" si="7"/>
        <v>0</v>
      </c>
      <c r="O58" s="10" t="str">
        <f t="shared" si="2"/>
        <v>diretrizes_e_planos-rdfs:seeAlso-dmed</v>
      </c>
      <c r="P58" s="10"/>
      <c r="Q58" s="10"/>
      <c r="R58" s="10"/>
      <c r="S58" s="10"/>
      <c r="T58" s="10" t="e">
        <f>IF(INDEX(GRAFO!$M$2:'GRAFO'!$M$41,MATCH(O58,GRAFO!$M$2:'GRAFO'!$M$41,0),1)&lt;&gt;0,1,0)</f>
        <v>#N/A</v>
      </c>
      <c r="U58" s="10">
        <f t="shared" si="8"/>
        <v>0</v>
      </c>
    </row>
    <row r="59" spans="1:21">
      <c r="C59" s="9" t="e">
        <f t="shared" si="9"/>
        <v>#N/A</v>
      </c>
      <c r="D59" s="10" t="str">
        <f t="shared" si="3"/>
        <v>diretrizes_estrategicas</v>
      </c>
      <c r="E59" s="10" t="str">
        <f t="shared" si="4"/>
        <v>rdfs:seeAlso</v>
      </c>
      <c r="F59" s="10" t="str">
        <f t="shared" si="5"/>
        <v>dped</v>
      </c>
      <c r="G59" s="3" t="str">
        <f t="shared" si="6"/>
        <v>NOK</v>
      </c>
      <c r="I59" s="10" t="str">
        <f t="shared" si="1"/>
        <v>diretrizes_estrategicas-dped</v>
      </c>
      <c r="J59" s="10"/>
      <c r="K59" s="10"/>
      <c r="L59" s="3" t="e">
        <f>IF(INDEX(GRAFO!$L$2:'GRAFO'!$L$41,MATCH(I59,GRAFO!$L$2:'GRAFO'!$L$41,0),1)&lt;&gt;0,1,0)</f>
        <v>#N/A</v>
      </c>
      <c r="M59" s="3">
        <f t="shared" si="7"/>
        <v>0</v>
      </c>
      <c r="O59" s="10" t="str">
        <f t="shared" si="2"/>
        <v>diretrizes_estrategicas-rdfs:seeAlso-dped</v>
      </c>
      <c r="P59" s="10"/>
      <c r="Q59" s="10"/>
      <c r="R59" s="10"/>
      <c r="S59" s="10"/>
      <c r="T59" s="10" t="e">
        <f>IF(INDEX(GRAFO!$M$2:'GRAFO'!$M$41,MATCH(O59,GRAFO!$M$2:'GRAFO'!$M$41,0),1)&lt;&gt;0,1,0)</f>
        <v>#N/A</v>
      </c>
      <c r="U59" s="10">
        <f t="shared" si="8"/>
        <v>0</v>
      </c>
    </row>
    <row r="60" spans="1:21">
      <c r="C60" s="9" t="str">
        <f t="shared" si="9"/>
        <v>OK</v>
      </c>
      <c r="D60" s="10" t="str">
        <f t="shared" si="3"/>
        <v>planos_taticos_operacionais</v>
      </c>
      <c r="E60" s="10" t="str">
        <f t="shared" si="4"/>
        <v>rdfs:seeAlso</v>
      </c>
      <c r="F60" s="10" t="str">
        <f t="shared" si="5"/>
        <v>ar</v>
      </c>
      <c r="G60" s="3" t="str">
        <f t="shared" si="6"/>
        <v>NOK</v>
      </c>
      <c r="I60" s="10" t="str">
        <f t="shared" si="1"/>
        <v>planos_taticos_operacionais-ar</v>
      </c>
      <c r="J60" s="10"/>
      <c r="K60" s="10"/>
      <c r="L60" s="3" t="e">
        <f>IF(INDEX(GRAFO!$L$2:'GRAFO'!$L$41,MATCH(I60,GRAFO!$L$2:'GRAFO'!$L$41,0),1)&lt;&gt;0,1,0)</f>
        <v>#N/A</v>
      </c>
      <c r="M60" s="3">
        <f t="shared" si="7"/>
        <v>0</v>
      </c>
      <c r="O60" s="10" t="str">
        <f t="shared" si="2"/>
        <v>planos_taticos_operacionais-rdfs:seeAlso-ar</v>
      </c>
      <c r="P60" s="10"/>
      <c r="Q60" s="10"/>
      <c r="R60" s="10"/>
      <c r="S60" s="10"/>
      <c r="T60" s="10" t="e">
        <f>IF(INDEX(GRAFO!$M$2:'GRAFO'!$M$41,MATCH(O60,GRAFO!$M$2:'GRAFO'!$M$41,0),1)&lt;&gt;0,1,0)</f>
        <v>#N/A</v>
      </c>
      <c r="U60" s="10">
        <f t="shared" si="8"/>
        <v>0</v>
      </c>
    </row>
    <row r="61" spans="1:21">
      <c r="C61" s="9" t="e">
        <f t="shared" si="9"/>
        <v>#N/A</v>
      </c>
      <c r="D61" s="10" t="str">
        <f t="shared" si="3"/>
        <v>planos_taticos_operacionais</v>
      </c>
      <c r="E61" s="10" t="str">
        <f t="shared" si="4"/>
        <v>rdfs:seeAlso</v>
      </c>
      <c r="F61" s="10" t="str">
        <f t="shared" si="5"/>
        <v>diretrizes_e_planos</v>
      </c>
      <c r="G61" s="3" t="str">
        <f t="shared" si="6"/>
        <v>NOK</v>
      </c>
      <c r="I61" s="10" t="str">
        <f t="shared" si="1"/>
        <v>planos_taticos_operacionais-diretrizes_e_planos</v>
      </c>
      <c r="J61" s="10"/>
      <c r="K61" s="10"/>
      <c r="L61" s="3" t="e">
        <f>IF(INDEX(GRAFO!$L$2:'GRAFO'!$L$41,MATCH(I61,GRAFO!$L$2:'GRAFO'!$L$41,0),1)&lt;&gt;0,1,0)</f>
        <v>#N/A</v>
      </c>
      <c r="M61" s="3">
        <f t="shared" si="7"/>
        <v>0</v>
      </c>
      <c r="O61" s="10" t="str">
        <f t="shared" si="2"/>
        <v>planos_taticos_operacionais-rdfs:seeAlso-diretrizes_e_planos</v>
      </c>
      <c r="P61" s="10"/>
      <c r="Q61" s="10"/>
      <c r="R61" s="10"/>
      <c r="S61" s="10"/>
      <c r="T61" s="10" t="e">
        <f>IF(INDEX(GRAFO!$M$2:'GRAFO'!$M$41,MATCH(O61,GRAFO!$M$2:'GRAFO'!$M$41,0),1)&lt;&gt;0,1,0)</f>
        <v>#N/A</v>
      </c>
      <c r="U61" s="10">
        <f t="shared" si="8"/>
        <v>0</v>
      </c>
    </row>
    <row r="62" spans="1:21">
      <c r="C62" s="9" t="e">
        <f t="shared" si="9"/>
        <v>#N/A</v>
      </c>
      <c r="D62" s="10" t="str">
        <f t="shared" si="3"/>
        <v>comandante_operacional</v>
      </c>
      <c r="E62" s="10" t="str">
        <f t="shared" si="4"/>
        <v>c2rm:responsible_for</v>
      </c>
      <c r="F62" s="10" t="str">
        <f t="shared" si="5"/>
        <v>objetivos_e_missoes_taticas</v>
      </c>
      <c r="G62" s="3" t="str">
        <f t="shared" si="6"/>
        <v>NOK</v>
      </c>
      <c r="I62" s="10" t="str">
        <f t="shared" si="1"/>
        <v>comandante_operacional-objetivos_e_missoes_taticas</v>
      </c>
      <c r="J62" s="10"/>
      <c r="K62" s="10"/>
      <c r="L62" s="3" t="e">
        <f>IF(INDEX(GRAFO!$L$2:'GRAFO'!$L$41,MATCH(I62,GRAFO!$L$2:'GRAFO'!$L$41,0),1)&lt;&gt;0,1,0)</f>
        <v>#N/A</v>
      </c>
      <c r="M62" s="3">
        <f t="shared" si="7"/>
        <v>0</v>
      </c>
      <c r="O62" s="10" t="str">
        <f t="shared" si="2"/>
        <v>comandante_operacional-c2rm:responsible_for-objetivos_e_missoes_taticas</v>
      </c>
      <c r="P62" s="10"/>
      <c r="Q62" s="10"/>
      <c r="R62" s="10"/>
      <c r="S62" s="10"/>
      <c r="T62" s="10" t="e">
        <f>IF(INDEX(GRAFO!$M$2:'GRAFO'!$M$41,MATCH(O62,GRAFO!$M$2:'GRAFO'!$M$41,0),1)&lt;&gt;0,1,0)</f>
        <v>#N/A</v>
      </c>
      <c r="U62" s="10">
        <f t="shared" si="8"/>
        <v>0</v>
      </c>
    </row>
    <row r="63" spans="1:21">
      <c r="C63" s="9" t="str">
        <f t="shared" si="9"/>
        <v>NOK</v>
      </c>
      <c r="D63" s="10" t="str">
        <f t="shared" si="3"/>
        <v>comandante_operacional</v>
      </c>
      <c r="E63" s="10" t="str">
        <f t="shared" si="4"/>
        <v>c2rm:responsible_for</v>
      </c>
      <c r="F63" s="10" t="str">
        <f t="shared" si="5"/>
        <v>planejamento_da_campanha</v>
      </c>
      <c r="G63" s="3" t="str">
        <f t="shared" si="6"/>
        <v>NOK</v>
      </c>
      <c r="I63" s="10" t="str">
        <f t="shared" si="1"/>
        <v>comandante_operacional-planejamento_da_campanha</v>
      </c>
      <c r="J63" s="10"/>
      <c r="K63" s="10"/>
      <c r="L63" s="3" t="e">
        <f>IF(INDEX(GRAFO!$L$2:'GRAFO'!$L$41,MATCH(I63,GRAFO!$L$2:'GRAFO'!$L$41,0),1)&lt;&gt;0,1,0)</f>
        <v>#N/A</v>
      </c>
      <c r="M63" s="3">
        <f t="shared" si="7"/>
        <v>0</v>
      </c>
      <c r="O63" s="10" t="str">
        <f t="shared" si="2"/>
        <v>comandante_operacional-c2rm:responsible_for-planejamento_da_campanha</v>
      </c>
      <c r="P63" s="10"/>
      <c r="Q63" s="10"/>
      <c r="R63" s="10"/>
      <c r="S63" s="10"/>
      <c r="T63" s="10" t="e">
        <f>IF(INDEX(GRAFO!$M$2:'GRAFO'!$M$41,MATCH(O63,GRAFO!$M$2:'GRAFO'!$M$41,0),1)&lt;&gt;0,1,0)</f>
        <v>#N/A</v>
      </c>
      <c r="U63" s="10">
        <f t="shared" si="8"/>
        <v>0</v>
      </c>
    </row>
    <row r="64" spans="1:21">
      <c r="D64" s="10" t="str">
        <f t="shared" si="3"/>
        <v>planejamento_da_campanha</v>
      </c>
      <c r="E64" s="10" t="str">
        <f t="shared" si="4"/>
        <v>rdfs:seeAlso</v>
      </c>
      <c r="F64" s="10" t="str">
        <f t="shared" si="5"/>
        <v>diretrizes_e_planos</v>
      </c>
      <c r="G64" s="3" t="str">
        <f t="shared" si="6"/>
        <v>NOK</v>
      </c>
      <c r="I64" s="10" t="str">
        <f t="shared" si="1"/>
        <v>planejamento_da_campanha-diretrizes_e_planos</v>
      </c>
      <c r="J64" s="10"/>
      <c r="K64" s="10"/>
      <c r="L64" s="3" t="e">
        <f>IF(INDEX(GRAFO!$L$2:'GRAFO'!$L$41,MATCH(I64,GRAFO!$L$2:'GRAFO'!$L$41,0),1)&lt;&gt;0,1,0)</f>
        <v>#N/A</v>
      </c>
      <c r="M64" s="3">
        <f t="shared" si="7"/>
        <v>0</v>
      </c>
      <c r="O64" s="10" t="str">
        <f t="shared" si="2"/>
        <v>planejamento_da_campanha-rdfs:seeAlso-diretrizes_e_planos</v>
      </c>
      <c r="P64" s="10"/>
      <c r="Q64" s="10"/>
      <c r="R64" s="10"/>
      <c r="S64" s="10"/>
      <c r="T64" s="10" t="e">
        <f>IF(INDEX(GRAFO!$M$2:'GRAFO'!$M$41,MATCH(O64,GRAFO!$M$2:'GRAFO'!$M$41,0),1)&lt;&gt;0,1,0)</f>
        <v>#N/A</v>
      </c>
      <c r="U64" s="10">
        <f t="shared" si="8"/>
        <v>0</v>
      </c>
    </row>
    <row r="65" spans="4:21">
      <c r="D65" s="10" t="str">
        <f t="shared" si="3"/>
        <v>planejamento_da_campanha</v>
      </c>
      <c r="E65" s="10" t="str">
        <f t="shared" si="4"/>
        <v>rdfs:seeAlso</v>
      </c>
      <c r="F65" s="10" t="str">
        <f t="shared" si="5"/>
        <v>diretrizes_estrategicas</v>
      </c>
      <c r="G65" s="3" t="str">
        <f t="shared" si="6"/>
        <v>NOK</v>
      </c>
      <c r="I65" s="10" t="str">
        <f t="shared" si="1"/>
        <v>planejamento_da_campanha-diretrizes_estrategicas</v>
      </c>
      <c r="J65" s="10"/>
      <c r="K65" s="10"/>
      <c r="L65" s="3" t="e">
        <f>IF(INDEX(GRAFO!$L$2:'GRAFO'!$L$41,MATCH(I65,GRAFO!$L$2:'GRAFO'!$L$41,0),1)&lt;&gt;0,1,0)</f>
        <v>#N/A</v>
      </c>
      <c r="M65" s="3">
        <f t="shared" si="7"/>
        <v>0</v>
      </c>
      <c r="O65" s="10" t="str">
        <f t="shared" si="2"/>
        <v>planejamento_da_campanha-rdfs:seeAlso-diretrizes_estrategicas</v>
      </c>
      <c r="P65" s="10"/>
      <c r="Q65" s="10"/>
      <c r="R65" s="10"/>
      <c r="S65" s="10"/>
      <c r="T65" s="10" t="e">
        <f>IF(INDEX(GRAFO!$M$2:'GRAFO'!$M$41,MATCH(O65,GRAFO!$M$2:'GRAFO'!$M$41,0),1)&lt;&gt;0,1,0)</f>
        <v>#N/A</v>
      </c>
      <c r="U65" s="10">
        <f t="shared" si="8"/>
        <v>0</v>
      </c>
    </row>
    <row r="66" spans="4:21">
      <c r="D66" s="10"/>
      <c r="E66" s="10"/>
      <c r="F66" s="10"/>
      <c r="G66" s="3"/>
      <c r="I66" s="10"/>
      <c r="J66" s="10"/>
      <c r="K66" s="10"/>
      <c r="L66" s="3"/>
      <c r="M66" s="3"/>
      <c r="O66" s="10"/>
      <c r="P66" s="10"/>
      <c r="Q66" s="10"/>
      <c r="R66" s="10"/>
      <c r="S66" s="10"/>
      <c r="T66" s="10"/>
      <c r="U66" s="10"/>
    </row>
    <row r="67" spans="4:21">
      <c r="D67" s="10"/>
      <c r="E67" s="10"/>
      <c r="F67" s="10"/>
      <c r="G67" s="3"/>
      <c r="I67" s="10"/>
      <c r="J67" s="10"/>
      <c r="K67" s="10"/>
      <c r="L67" s="3"/>
      <c r="M67" s="3"/>
      <c r="O67" s="10"/>
      <c r="P67" s="10"/>
      <c r="Q67" s="10"/>
      <c r="R67" s="10"/>
      <c r="S67" s="10"/>
      <c r="T67" s="10"/>
      <c r="U67" s="10"/>
    </row>
    <row r="68" spans="4:21">
      <c r="D68" s="10"/>
      <c r="E68" s="10"/>
      <c r="F68" s="10"/>
      <c r="G68" s="3"/>
      <c r="I68" s="10"/>
      <c r="J68" s="10"/>
      <c r="K68" s="10"/>
      <c r="L68" s="3"/>
      <c r="M68" s="3"/>
      <c r="O68" s="10"/>
      <c r="P68" s="10"/>
      <c r="Q68" s="10"/>
      <c r="R68" s="10"/>
      <c r="S68" s="10"/>
      <c r="T68" s="10"/>
      <c r="U68" s="10"/>
    </row>
    <row r="69" spans="4:21">
      <c r="D69" s="10"/>
      <c r="E69" s="10"/>
      <c r="F69" s="10"/>
      <c r="G69" s="3"/>
      <c r="I69" s="10"/>
      <c r="J69" s="10"/>
      <c r="K69" s="10"/>
      <c r="L69" s="3"/>
      <c r="M69" s="3"/>
      <c r="O69" s="10"/>
      <c r="P69" s="10"/>
      <c r="Q69" s="10"/>
      <c r="R69" s="10"/>
      <c r="S69" s="10"/>
      <c r="T69" s="10"/>
      <c r="U69" s="10"/>
    </row>
    <row r="70" spans="4:21">
      <c r="D70" s="10"/>
      <c r="E70" s="10"/>
      <c r="F70" s="10"/>
      <c r="G70" s="3"/>
      <c r="I70" s="10"/>
      <c r="J70" s="10"/>
      <c r="K70" s="10"/>
      <c r="L70" s="3"/>
      <c r="M70" s="3"/>
      <c r="O70" s="10"/>
      <c r="P70" s="10"/>
      <c r="Q70" s="10"/>
      <c r="R70" s="10"/>
      <c r="S70" s="10"/>
      <c r="T70" s="10"/>
      <c r="U70" s="10"/>
    </row>
    <row r="71" spans="4:21">
      <c r="D71" s="10"/>
      <c r="E71" s="10"/>
      <c r="F71" s="10"/>
      <c r="G71" s="3"/>
      <c r="I71" s="10"/>
      <c r="J71" s="10"/>
      <c r="K71" s="10"/>
      <c r="L71" s="3"/>
      <c r="M71" s="3"/>
      <c r="O71" s="10"/>
      <c r="P71" s="10"/>
      <c r="Q71" s="10"/>
      <c r="R71" s="10"/>
      <c r="S71" s="10"/>
      <c r="T71" s="10"/>
      <c r="U71" s="10"/>
    </row>
    <row r="72" spans="4:21">
      <c r="D72" s="10"/>
      <c r="E72" s="10"/>
      <c r="F72" s="10"/>
      <c r="G72" s="3"/>
      <c r="I72" s="10"/>
      <c r="J72" s="10"/>
      <c r="K72" s="10"/>
      <c r="L72" s="3"/>
      <c r="M72" s="3"/>
      <c r="O72" s="10"/>
      <c r="P72" s="10"/>
      <c r="Q72" s="10"/>
      <c r="R72" s="10"/>
      <c r="S72" s="10"/>
      <c r="T72" s="10"/>
      <c r="U72" s="10"/>
    </row>
    <row r="73" spans="4:21">
      <c r="D73" s="10"/>
      <c r="E73" s="10"/>
      <c r="F73" s="10"/>
      <c r="G73" s="3"/>
      <c r="I73" s="10"/>
      <c r="J73" s="10"/>
      <c r="K73" s="10"/>
      <c r="L73" s="3"/>
      <c r="M73" s="3"/>
      <c r="O73" s="10"/>
      <c r="P73" s="10"/>
      <c r="Q73" s="10"/>
      <c r="R73" s="10"/>
      <c r="S73" s="10"/>
      <c r="T73" s="10"/>
      <c r="U73" s="10"/>
    </row>
  </sheetData>
  <mergeCells count="10">
    <mergeCell ref="I39:K39"/>
    <mergeCell ref="L39:M39"/>
    <mergeCell ref="O39:S39"/>
    <mergeCell ref="T39:U39"/>
    <mergeCell ref="A1:B1"/>
    <mergeCell ref="D1:F1"/>
    <mergeCell ref="K4:K5"/>
    <mergeCell ref="D38:G38"/>
    <mergeCell ref="I38:M38"/>
    <mergeCell ref="O38:U38"/>
  </mergeCells>
  <dataValidations count="10">
    <dataValidation type="list" allowBlank="1" showInputMessage="1" showErrorMessage="1" sqref="B3">
      <formula1>$Y$3:$Y$31</formula1>
    </dataValidation>
    <dataValidation type="list" allowBlank="1" showInputMessage="1" showErrorMessage="1" sqref="E37 E17:E22 E25:E26">
      <formula1>$A$40:$A$48</formula1>
    </dataValidation>
    <dataValidation type="list" allowBlank="1" showInputMessage="1" showErrorMessage="1" sqref="F37 D37">
      <formula1>$A$3:$A$28</formula1>
    </dataValidation>
    <dataValidation type="list" allowBlank="1" showInputMessage="1" showErrorMessage="1" sqref="B40:B56">
      <formula1>$AE$2:$AE$12</formula1>
    </dataValidation>
    <dataValidation type="list" allowBlank="1" showInputMessage="1" showErrorMessage="1" sqref="H3:H44 G3:G37">
      <formula1>$A$3:$A$22</formula1>
    </dataValidation>
    <dataValidation type="list" allowBlank="1" showInputMessage="1" showErrorMessage="1" sqref="C3:C37 B4:B37">
      <formula1>$Y$3:$Y$39</formula1>
    </dataValidation>
    <dataValidation type="list" allowBlank="1" showInputMessage="1" showErrorMessage="1" sqref="F38:G38">
      <formula1>$A$3:$A$27</formula1>
    </dataValidation>
    <dataValidation type="list" allowBlank="1" showInputMessage="1" showErrorMessage="1" sqref="D3:D36 F3:F36">
      <formula1>$A$3:$A$25</formula1>
    </dataValidation>
    <dataValidation type="list" allowBlank="1" showInputMessage="1" showErrorMessage="1" sqref="E3:E16 E23:E24 E29:E36">
      <formula1>$A$40:$A$46</formula1>
    </dataValidation>
    <dataValidation type="list" allowBlank="1" showInputMessage="1" showErrorMessage="1" sqref="E27:E28">
      <formula1>$A$40:$A$50</formula1>
    </dataValidation>
  </dataValidation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E73"/>
  <sheetViews>
    <sheetView topLeftCell="O1" zoomScale="130" zoomScaleNormal="130" workbookViewId="0">
      <selection activeCell="X4" sqref="X4:X7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9" t="s">
        <v>184</v>
      </c>
      <c r="AD2" s="9" t="s">
        <v>195</v>
      </c>
      <c r="AE2" s="9" t="s">
        <v>35</v>
      </c>
    </row>
    <row r="3" spans="1:31" ht="16.75">
      <c r="A3" s="46" t="s">
        <v>345</v>
      </c>
      <c r="B3" s="10"/>
      <c r="D3" s="10" t="s">
        <v>34</v>
      </c>
      <c r="E3" s="10" t="s">
        <v>101</v>
      </c>
      <c r="F3" s="10" t="s">
        <v>31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s="16" t="s">
        <v>33</v>
      </c>
      <c r="AC3" s="9" t="s">
        <v>185</v>
      </c>
      <c r="AD3" s="9" t="s">
        <v>196</v>
      </c>
      <c r="AE3" s="9" t="s">
        <v>4</v>
      </c>
    </row>
    <row r="4" spans="1:31" ht="16.75">
      <c r="A4" s="46" t="s">
        <v>256</v>
      </c>
      <c r="B4" s="10"/>
      <c r="D4" s="10" t="s">
        <v>32</v>
      </c>
      <c r="E4" s="10" t="s">
        <v>101</v>
      </c>
      <c r="F4" s="10" t="s">
        <v>31</v>
      </c>
      <c r="K4" s="85" t="s">
        <v>80</v>
      </c>
      <c r="L4" s="8" t="s">
        <v>0</v>
      </c>
      <c r="M4" s="4">
        <f>GRAFO!J2</f>
        <v>29</v>
      </c>
      <c r="N4" s="11">
        <f>COUNTA(A3:A24)</f>
        <v>22</v>
      </c>
      <c r="O4" s="11">
        <f>COUNTIF(B3:B24,"&lt;&gt;"&amp;"")</f>
        <v>11</v>
      </c>
      <c r="P4" s="2">
        <f>N4-R4</f>
        <v>11</v>
      </c>
      <c r="Q4" s="2">
        <f>M4-O4</f>
        <v>18</v>
      </c>
      <c r="R4" s="2">
        <f>N4-O4</f>
        <v>11</v>
      </c>
      <c r="S4" s="2">
        <f>O4+P4</f>
        <v>22</v>
      </c>
      <c r="T4" s="2">
        <f>Q4+R4</f>
        <v>29</v>
      </c>
      <c r="U4" s="6">
        <f>O4/(O4+R4)</f>
        <v>0.5</v>
      </c>
      <c r="V4" s="6">
        <f>O4/(O4+Q4)</f>
        <v>0.37931034482758619</v>
      </c>
      <c r="W4" s="6">
        <f>(O4+P4)/(O4+P4+Q4+R4)</f>
        <v>0.43137254901960786</v>
      </c>
      <c r="X4" s="62">
        <f>AVERAGE(U4:W4)</f>
        <v>0.43689429794906465</v>
      </c>
      <c r="Y4" s="16" t="s">
        <v>21</v>
      </c>
      <c r="AC4" s="9" t="s">
        <v>186</v>
      </c>
      <c r="AD4" s="9" t="s">
        <v>197</v>
      </c>
      <c r="AE4" s="9" t="s">
        <v>205</v>
      </c>
    </row>
    <row r="5" spans="1:31" ht="16.75">
      <c r="A5" s="46" t="s">
        <v>123</v>
      </c>
      <c r="B5" s="10"/>
      <c r="D5" s="10" t="s">
        <v>33</v>
      </c>
      <c r="E5" s="10" t="s">
        <v>101</v>
      </c>
      <c r="F5" s="10" t="s">
        <v>31</v>
      </c>
      <c r="K5" s="85"/>
      <c r="L5" s="8" t="s">
        <v>100</v>
      </c>
      <c r="M5" s="5">
        <f>GRAFO!J3</f>
        <v>41</v>
      </c>
      <c r="N5" s="12">
        <f>COUNTA(D40:D63)</f>
        <v>24</v>
      </c>
      <c r="O5" s="12">
        <f>COUNTIF(M40:M63,"=1")</f>
        <v>6</v>
      </c>
      <c r="P5" s="2">
        <f>N5-R5</f>
        <v>6</v>
      </c>
      <c r="Q5" s="2">
        <f>M5-O5</f>
        <v>35</v>
      </c>
      <c r="R5" s="2">
        <f>N5-O5</f>
        <v>18</v>
      </c>
      <c r="S5" s="2">
        <f>O5+P5</f>
        <v>12</v>
      </c>
      <c r="T5" s="2">
        <f>Q5+R5</f>
        <v>53</v>
      </c>
      <c r="U5" s="6">
        <f>O5/(O5+R5)</f>
        <v>0.25</v>
      </c>
      <c r="V5" s="6">
        <f>O5/(O5+Q5)</f>
        <v>0.14634146341463414</v>
      </c>
      <c r="W5" s="6">
        <f>(O5+P5)/(O5+P5+Q5+R5)</f>
        <v>0.18461538461538463</v>
      </c>
      <c r="X5" s="62">
        <f t="shared" ref="X5:X6" si="0">AVERAGE(U5:W5)</f>
        <v>0.19365228267667292</v>
      </c>
      <c r="Y5" s="16" t="s">
        <v>17</v>
      </c>
      <c r="AC5" s="9" t="s">
        <v>187</v>
      </c>
      <c r="AD5" s="9" t="s">
        <v>198</v>
      </c>
      <c r="AE5" s="9" t="s">
        <v>3</v>
      </c>
    </row>
    <row r="6" spans="1:31" ht="16.75">
      <c r="A6" s="46" t="s">
        <v>124</v>
      </c>
      <c r="B6" s="10"/>
      <c r="D6" s="10" t="s">
        <v>22</v>
      </c>
      <c r="E6" s="10" t="s">
        <v>101</v>
      </c>
      <c r="F6" s="10" t="s">
        <v>341</v>
      </c>
      <c r="L6" s="8" t="s">
        <v>99</v>
      </c>
      <c r="M6" s="5">
        <v>41</v>
      </c>
      <c r="N6" s="12">
        <f>COUNTA(D40:D63)</f>
        <v>24</v>
      </c>
      <c r="O6" s="12">
        <f>COUNTIF(U40:U63,"=1")</f>
        <v>5</v>
      </c>
      <c r="P6" s="2">
        <f>N6-R6</f>
        <v>5</v>
      </c>
      <c r="Q6" s="2">
        <f>M6-O6</f>
        <v>36</v>
      </c>
      <c r="R6" s="2">
        <f>N6-O6</f>
        <v>19</v>
      </c>
      <c r="S6" s="2">
        <f>O6+P6</f>
        <v>10</v>
      </c>
      <c r="T6" s="2">
        <f>Q6+R6</f>
        <v>55</v>
      </c>
      <c r="U6" s="6">
        <f>O6/(O6+R6)</f>
        <v>0.20833333333333334</v>
      </c>
      <c r="V6" s="6">
        <f>O6/(O6+Q6)</f>
        <v>0.12195121951219512</v>
      </c>
      <c r="W6" s="6">
        <f>(O6+P6)/(O6+P6+Q6+R6)</f>
        <v>0.15384615384615385</v>
      </c>
      <c r="X6" s="62">
        <f t="shared" si="0"/>
        <v>0.16137690223056078</v>
      </c>
      <c r="Y6" s="16" t="s">
        <v>40</v>
      </c>
      <c r="AC6" s="9" t="s">
        <v>188</v>
      </c>
      <c r="AD6" s="9" t="s">
        <v>199</v>
      </c>
      <c r="AE6" s="9" t="s">
        <v>6</v>
      </c>
    </row>
    <row r="7" spans="1:31" ht="16.75">
      <c r="A7" s="46" t="s">
        <v>22</v>
      </c>
      <c r="B7" s="10" t="s">
        <v>22</v>
      </c>
      <c r="D7" s="10" t="s">
        <v>22</v>
      </c>
      <c r="E7" s="10" t="s">
        <v>105</v>
      </c>
      <c r="F7" s="10" t="s">
        <v>26</v>
      </c>
      <c r="X7" s="62">
        <f>AVERAGE(X4:X6)</f>
        <v>0.26397449428543279</v>
      </c>
      <c r="Y7" s="16" t="s">
        <v>13</v>
      </c>
      <c r="AC7" s="9" t="s">
        <v>189</v>
      </c>
      <c r="AD7" s="9" t="s">
        <v>200</v>
      </c>
      <c r="AE7" s="9" t="s">
        <v>206</v>
      </c>
    </row>
    <row r="8" spans="1:31" ht="16.75">
      <c r="A8" s="46" t="s">
        <v>347</v>
      </c>
      <c r="B8" s="10"/>
      <c r="D8" s="10" t="s">
        <v>26</v>
      </c>
      <c r="E8" s="10" t="s">
        <v>338</v>
      </c>
      <c r="F8" s="10" t="s">
        <v>31</v>
      </c>
      <c r="Y8" s="16" t="s">
        <v>39</v>
      </c>
      <c r="AC8" s="9" t="s">
        <v>190</v>
      </c>
      <c r="AD8" s="9" t="s">
        <v>148</v>
      </c>
      <c r="AE8" s="9" t="s">
        <v>36</v>
      </c>
    </row>
    <row r="9" spans="1:31" ht="16.75">
      <c r="A9" s="46" t="s">
        <v>349</v>
      </c>
      <c r="B9" s="10"/>
      <c r="D9" s="10" t="s">
        <v>26</v>
      </c>
      <c r="E9" s="10" t="s">
        <v>104</v>
      </c>
      <c r="F9" s="10" t="s">
        <v>348</v>
      </c>
      <c r="K9" t="s">
        <v>74</v>
      </c>
      <c r="L9" t="s">
        <v>75</v>
      </c>
      <c r="N9">
        <f>GRAFO!J2</f>
        <v>29</v>
      </c>
      <c r="Y9" s="16" t="s">
        <v>19</v>
      </c>
      <c r="AC9" s="9" t="s">
        <v>191</v>
      </c>
      <c r="AD9" s="9" t="s">
        <v>201</v>
      </c>
      <c r="AE9" s="9" t="s">
        <v>7</v>
      </c>
    </row>
    <row r="10" spans="1:31" ht="16.75">
      <c r="A10" s="46" t="s">
        <v>348</v>
      </c>
      <c r="B10" s="10"/>
      <c r="D10" s="10" t="s">
        <v>348</v>
      </c>
      <c r="E10" s="10" t="s">
        <v>107</v>
      </c>
      <c r="F10" s="10" t="s">
        <v>347</v>
      </c>
      <c r="K10" t="s">
        <v>80</v>
      </c>
      <c r="L10" t="s">
        <v>76</v>
      </c>
      <c r="N10">
        <f>N4</f>
        <v>22</v>
      </c>
      <c r="Y10" s="16" t="s">
        <v>37</v>
      </c>
      <c r="AC10" s="9" t="s">
        <v>192</v>
      </c>
      <c r="AD10" s="9" t="s">
        <v>202</v>
      </c>
      <c r="AE10" s="9" t="s">
        <v>207</v>
      </c>
    </row>
    <row r="11" spans="1:31" ht="16.75">
      <c r="A11" s="46" t="s">
        <v>320</v>
      </c>
      <c r="B11" s="10" t="s">
        <v>13</v>
      </c>
      <c r="D11" s="10" t="s">
        <v>348</v>
      </c>
      <c r="E11" s="10" t="s">
        <v>266</v>
      </c>
      <c r="F11" s="10" t="s">
        <v>345</v>
      </c>
      <c r="K11" t="s">
        <v>68</v>
      </c>
      <c r="L11" t="s">
        <v>77</v>
      </c>
      <c r="N11">
        <v>16</v>
      </c>
      <c r="Y11" s="16" t="s">
        <v>10</v>
      </c>
      <c r="AC11" s="9" t="s">
        <v>193</v>
      </c>
      <c r="AD11" s="9" t="s">
        <v>203</v>
      </c>
      <c r="AE11" s="9" t="s">
        <v>208</v>
      </c>
    </row>
    <row r="12" spans="1:31" ht="16.75">
      <c r="A12" s="46" t="s">
        <v>26</v>
      </c>
      <c r="B12" s="10" t="s">
        <v>28</v>
      </c>
      <c r="D12" s="10" t="s">
        <v>320</v>
      </c>
      <c r="E12" s="10" t="s">
        <v>107</v>
      </c>
      <c r="F12" s="10" t="s">
        <v>345</v>
      </c>
      <c r="K12" t="s">
        <v>70</v>
      </c>
      <c r="L12" t="s">
        <v>78</v>
      </c>
      <c r="M12" t="s">
        <v>86</v>
      </c>
      <c r="N12">
        <f>N9-N11</f>
        <v>13</v>
      </c>
      <c r="Y12" s="16" t="s">
        <v>14</v>
      </c>
      <c r="AC12" s="9" t="s">
        <v>194</v>
      </c>
      <c r="AD12" s="9" t="s">
        <v>204</v>
      </c>
      <c r="AE12" s="9" t="s">
        <v>5</v>
      </c>
    </row>
    <row r="13" spans="1:31" ht="16.75">
      <c r="A13" s="46" t="s">
        <v>34</v>
      </c>
      <c r="B13" s="10" t="s">
        <v>32</v>
      </c>
      <c r="D13" s="10" t="s">
        <v>320</v>
      </c>
      <c r="E13" s="10" t="s">
        <v>242</v>
      </c>
      <c r="F13" s="10" t="s">
        <v>22</v>
      </c>
      <c r="K13" t="s">
        <v>69</v>
      </c>
      <c r="L13" t="s">
        <v>79</v>
      </c>
      <c r="M13" t="s">
        <v>87</v>
      </c>
      <c r="Y13" s="16" t="s">
        <v>34</v>
      </c>
    </row>
    <row r="14" spans="1:31" ht="16.75">
      <c r="A14" s="46" t="s">
        <v>32</v>
      </c>
      <c r="B14" s="10" t="s">
        <v>34</v>
      </c>
      <c r="D14" s="10" t="s">
        <v>22</v>
      </c>
      <c r="E14" s="10" t="s">
        <v>263</v>
      </c>
      <c r="F14" s="10" t="s">
        <v>346</v>
      </c>
      <c r="K14" t="s">
        <v>83</v>
      </c>
      <c r="M14" t="s">
        <v>88</v>
      </c>
      <c r="Y14" s="16" t="s">
        <v>27</v>
      </c>
    </row>
    <row r="15" spans="1:31" ht="16.75">
      <c r="A15" s="46" t="s">
        <v>33</v>
      </c>
      <c r="B15" s="10" t="s">
        <v>33</v>
      </c>
      <c r="D15" s="10" t="s">
        <v>346</v>
      </c>
      <c r="E15" s="10" t="s">
        <v>338</v>
      </c>
      <c r="F15" s="10" t="s">
        <v>344</v>
      </c>
      <c r="K15" t="s">
        <v>89</v>
      </c>
      <c r="M15" t="s">
        <v>92</v>
      </c>
      <c r="Y15" s="16" t="s">
        <v>28</v>
      </c>
    </row>
    <row r="16" spans="1:31" ht="16.75">
      <c r="A16" s="46" t="s">
        <v>31</v>
      </c>
      <c r="B16" s="10" t="s">
        <v>31</v>
      </c>
      <c r="D16" s="10" t="s">
        <v>320</v>
      </c>
      <c r="E16" s="10" t="s">
        <v>352</v>
      </c>
      <c r="F16" s="10" t="s">
        <v>344</v>
      </c>
      <c r="K16" t="s">
        <v>90</v>
      </c>
      <c r="M16" t="s">
        <v>93</v>
      </c>
      <c r="Y16" s="16" t="s">
        <v>30</v>
      </c>
    </row>
    <row r="17" spans="1:25" ht="16.75">
      <c r="A17" s="46" t="s">
        <v>20</v>
      </c>
      <c r="B17" s="10" t="s">
        <v>20</v>
      </c>
      <c r="D17" s="10" t="s">
        <v>320</v>
      </c>
      <c r="E17" s="10" t="s">
        <v>352</v>
      </c>
      <c r="F17" s="10" t="s">
        <v>309</v>
      </c>
      <c r="K17" t="s">
        <v>91</v>
      </c>
      <c r="M17" t="s">
        <v>94</v>
      </c>
      <c r="Y17" s="16" t="s">
        <v>29</v>
      </c>
    </row>
    <row r="18" spans="1:25" ht="16.75">
      <c r="A18" s="46" t="s">
        <v>341</v>
      </c>
      <c r="B18" s="10" t="s">
        <v>23</v>
      </c>
      <c r="D18" s="10" t="s">
        <v>309</v>
      </c>
      <c r="E18" s="10" t="s">
        <v>353</v>
      </c>
      <c r="F18" s="10" t="s">
        <v>124</v>
      </c>
      <c r="K18" t="s">
        <v>84</v>
      </c>
      <c r="M18" t="s">
        <v>95</v>
      </c>
      <c r="Y18" s="16" t="s">
        <v>31</v>
      </c>
    </row>
    <row r="19" spans="1:25" ht="16.75">
      <c r="A19" s="46" t="s">
        <v>40</v>
      </c>
      <c r="B19" s="10" t="s">
        <v>40</v>
      </c>
      <c r="D19" s="10" t="s">
        <v>256</v>
      </c>
      <c r="E19" s="10" t="s">
        <v>142</v>
      </c>
      <c r="F19" s="10" t="s">
        <v>124</v>
      </c>
      <c r="K19" t="s">
        <v>85</v>
      </c>
      <c r="M19" t="s">
        <v>96</v>
      </c>
      <c r="Y19" s="16" t="s">
        <v>171</v>
      </c>
    </row>
    <row r="20" spans="1:25" ht="16.75">
      <c r="A20" s="46" t="s">
        <v>309</v>
      </c>
      <c r="B20" s="10"/>
      <c r="D20" s="10" t="s">
        <v>20</v>
      </c>
      <c r="E20" s="10" t="s">
        <v>354</v>
      </c>
      <c r="F20" s="10" t="s">
        <v>40</v>
      </c>
      <c r="K20" t="s">
        <v>97</v>
      </c>
      <c r="M20" t="s">
        <v>98</v>
      </c>
      <c r="Y20" s="16" t="s">
        <v>15</v>
      </c>
    </row>
    <row r="21" spans="1:25" ht="16.75">
      <c r="A21" s="46" t="s">
        <v>342</v>
      </c>
      <c r="B21" s="10" t="s">
        <v>18</v>
      </c>
      <c r="D21" s="10" t="s">
        <v>20</v>
      </c>
      <c r="E21" s="10" t="s">
        <v>277</v>
      </c>
      <c r="F21" s="10" t="s">
        <v>123</v>
      </c>
      <c r="Y21" s="16" t="s">
        <v>16</v>
      </c>
    </row>
    <row r="22" spans="1:25" ht="16.75">
      <c r="A22" s="46" t="s">
        <v>343</v>
      </c>
      <c r="B22" s="10"/>
      <c r="D22" s="10" t="s">
        <v>20</v>
      </c>
      <c r="E22" s="10" t="s">
        <v>142</v>
      </c>
      <c r="F22" s="10" t="s">
        <v>342</v>
      </c>
      <c r="Y22" s="16" t="s">
        <v>32</v>
      </c>
    </row>
    <row r="23" spans="1:25" ht="16.75">
      <c r="A23" s="46" t="s">
        <v>344</v>
      </c>
      <c r="B23" s="10"/>
      <c r="D23" s="10" t="s">
        <v>342</v>
      </c>
      <c r="E23" s="10" t="s">
        <v>350</v>
      </c>
      <c r="F23" s="10" t="s">
        <v>346</v>
      </c>
      <c r="Y23" s="16" t="s">
        <v>9</v>
      </c>
    </row>
    <row r="24" spans="1:25" ht="16.75">
      <c r="A24" s="46" t="s">
        <v>346</v>
      </c>
      <c r="B24" s="10"/>
      <c r="D24" s="10" t="s">
        <v>309</v>
      </c>
      <c r="E24" s="10" t="s">
        <v>350</v>
      </c>
      <c r="F24" s="10" t="s">
        <v>346</v>
      </c>
      <c r="Y24" s="16" t="s">
        <v>18</v>
      </c>
    </row>
    <row r="25" spans="1:25" ht="16.75">
      <c r="A25" s="46"/>
      <c r="B25" s="10"/>
      <c r="D25" s="10" t="s">
        <v>343</v>
      </c>
      <c r="E25" s="10" t="s">
        <v>350</v>
      </c>
      <c r="F25" s="10" t="s">
        <v>346</v>
      </c>
      <c r="Y25" s="16" t="s">
        <v>23</v>
      </c>
    </row>
    <row r="26" spans="1:25" ht="16.75">
      <c r="A26" s="46"/>
      <c r="B26" s="10"/>
      <c r="D26" s="10" t="s">
        <v>26</v>
      </c>
      <c r="E26" s="10" t="s">
        <v>351</v>
      </c>
      <c r="F26" s="10" t="s">
        <v>349</v>
      </c>
      <c r="Y26" s="16" t="s">
        <v>22</v>
      </c>
    </row>
    <row r="27" spans="1:25" ht="16.75">
      <c r="A27" s="46"/>
      <c r="B27" s="10"/>
      <c r="D27" s="10"/>
      <c r="E27" s="10"/>
      <c r="F27" s="10"/>
      <c r="Y27" s="16" t="s">
        <v>12</v>
      </c>
    </row>
    <row r="28" spans="1:25" ht="16.75">
      <c r="A28" s="46"/>
      <c r="B28" s="10"/>
      <c r="D28" s="10"/>
      <c r="E28" s="10"/>
      <c r="F28" s="10"/>
      <c r="Y28" s="16" t="s">
        <v>24</v>
      </c>
    </row>
    <row r="29" spans="1:25" ht="16.75">
      <c r="A29" s="46"/>
      <c r="B29" s="10"/>
      <c r="D29" s="10"/>
      <c r="E29" s="10"/>
      <c r="F29" s="10"/>
      <c r="Y29" s="16" t="s">
        <v>8</v>
      </c>
    </row>
    <row r="30" spans="1:25" ht="16.75">
      <c r="A30" s="46"/>
      <c r="B30" s="10"/>
      <c r="D30" s="10"/>
      <c r="E30" s="10"/>
      <c r="F30" s="10"/>
      <c r="Y30" s="16" t="s">
        <v>20</v>
      </c>
    </row>
    <row r="31" spans="1:25" ht="16.75">
      <c r="A31" s="46"/>
      <c r="B31" s="10"/>
      <c r="D31" s="10"/>
      <c r="E31" s="10"/>
      <c r="F31" s="10"/>
      <c r="Y31" s="16" t="s">
        <v>11</v>
      </c>
    </row>
    <row r="32" spans="1:25">
      <c r="A32" s="46"/>
      <c r="B32" s="10"/>
      <c r="D32" s="10"/>
      <c r="E32" s="10"/>
      <c r="F32" s="10"/>
    </row>
    <row r="33" spans="1:21">
      <c r="A33" s="10"/>
      <c r="B33" s="10"/>
      <c r="D33" s="10"/>
      <c r="E33" s="10"/>
      <c r="F33" s="10"/>
    </row>
    <row r="34" spans="1:21">
      <c r="A34" s="10"/>
      <c r="B34" s="10"/>
      <c r="D34" s="10"/>
      <c r="E34" s="10"/>
      <c r="F34" s="10"/>
    </row>
    <row r="35" spans="1:21">
      <c r="A35" s="10"/>
      <c r="B35" s="10"/>
      <c r="D35" s="10"/>
      <c r="E35" s="10"/>
      <c r="F35" s="10"/>
    </row>
    <row r="36" spans="1:21">
      <c r="A36" s="10"/>
      <c r="B36" s="10"/>
      <c r="D36" s="10"/>
      <c r="E36" s="10"/>
      <c r="F36" s="10"/>
    </row>
    <row r="37" spans="1:21">
      <c r="A37" s="10"/>
      <c r="B37" s="10"/>
    </row>
    <row r="38" spans="1:21">
      <c r="A38" s="30" t="s">
        <v>182</v>
      </c>
      <c r="B38" s="30"/>
      <c r="D38" s="104" t="s">
        <v>222</v>
      </c>
      <c r="E38" s="105"/>
      <c r="F38" s="105"/>
      <c r="G38" s="106"/>
      <c r="I38" s="98" t="s">
        <v>224</v>
      </c>
      <c r="J38" s="99"/>
      <c r="K38" s="99"/>
      <c r="L38" s="99"/>
      <c r="M38" s="100"/>
      <c r="O38" s="94" t="s">
        <v>229</v>
      </c>
      <c r="P38" s="94"/>
      <c r="Q38" s="94"/>
      <c r="R38" s="94"/>
      <c r="S38" s="94"/>
      <c r="T38" s="94"/>
      <c r="U38" s="94"/>
    </row>
    <row r="39" spans="1:21">
      <c r="A39" s="32" t="s">
        <v>251</v>
      </c>
      <c r="B39" s="33" t="s">
        <v>252</v>
      </c>
      <c r="D39" s="34" t="s">
        <v>220</v>
      </c>
      <c r="E39" s="34" t="s">
        <v>219</v>
      </c>
      <c r="F39" s="34" t="s">
        <v>221</v>
      </c>
      <c r="G39" s="34" t="s">
        <v>223</v>
      </c>
      <c r="I39" s="101" t="s">
        <v>225</v>
      </c>
      <c r="J39" s="102"/>
      <c r="K39" s="103"/>
      <c r="L39" s="101" t="s">
        <v>226</v>
      </c>
      <c r="M39" s="103"/>
      <c r="O39" s="95" t="s">
        <v>227</v>
      </c>
      <c r="P39" s="96"/>
      <c r="Q39" s="96"/>
      <c r="R39" s="96"/>
      <c r="S39" s="97"/>
      <c r="T39" s="95" t="s">
        <v>228</v>
      </c>
      <c r="U39" s="97"/>
    </row>
    <row r="40" spans="1:21">
      <c r="A40" s="46" t="s">
        <v>101</v>
      </c>
      <c r="B40" s="10" t="s">
        <v>3</v>
      </c>
      <c r="D40" s="10" t="str">
        <f>IF(INDEX($A$3:$B$24,MATCH(D3,$A$3:$A$24,0),2)&lt;&gt;0,INDEX($A$3:$B$24,MATCH(D3,$A$3:$A$24,0),2),D3)</f>
        <v>marinha</v>
      </c>
      <c r="E40" s="10" t="str">
        <f>IF(INDEX($A$40:$B$55,MATCH(E3,$A$40:$A$55,0),2)&lt;&gt;0,INDEX($A$40:$B$55,MATCH(E3,$A$40:$A$55,0),2),E3)</f>
        <v>rdfs:subClassOf</v>
      </c>
      <c r="F40" s="10" t="str">
        <f>IF(INDEX($A$3:$B$24,MATCH(F3,$A$3:$A$24,0),2)&lt;&gt;0,INDEX($A$3:$B$24,MATCH(F3,$A$3:$A$24,0),2),F3)</f>
        <v>forcas_armadas</v>
      </c>
      <c r="G40" s="3" t="str">
        <f>IF(INDEX($A$3:$B$24,MATCH(F3,$A$3:$A$24,0),2)&lt;&gt;0,"OK","NOK")</f>
        <v>OK</v>
      </c>
      <c r="I40" s="10" t="str">
        <f t="shared" ref="I40:I63" si="1">D40 &amp;"-"&amp;F40</f>
        <v>marinha-forcas_armadas</v>
      </c>
      <c r="J40" s="10"/>
      <c r="K40" s="10"/>
      <c r="L40" s="3">
        <f>IF(INDEX(GRAFO!$L$2:'GRAFO'!$L$41,MATCH(I40,GRAFO!$L$2:'GRAFO'!$L$41,0),1)&lt;&gt;0,1,0)</f>
        <v>1</v>
      </c>
      <c r="M40" s="3">
        <f>IFERROR(L40,0)</f>
        <v>1</v>
      </c>
      <c r="O40" s="10" t="str">
        <f t="shared" ref="O40:O63" si="2">D40 &amp; "-" &amp; E40 &amp; "-" &amp; F40</f>
        <v>marinha-rdfs:subClassOf-forcas_armadas</v>
      </c>
      <c r="P40" s="10"/>
      <c r="Q40" s="10"/>
      <c r="R40" s="10"/>
      <c r="S40" s="10"/>
      <c r="T40" s="10">
        <f>IF(INDEX(GRAFO!$M$2:'GRAFO'!$M$41,MATCH(O40,GRAFO!$M$2:'GRAFO'!$M$41,0),1)&lt;&gt;0,1,0)</f>
        <v>1</v>
      </c>
      <c r="U40" s="10">
        <f>IFERROR(T40,0)</f>
        <v>1</v>
      </c>
    </row>
    <row r="41" spans="1:21">
      <c r="A41" s="46" t="s">
        <v>107</v>
      </c>
      <c r="B41" s="10" t="s">
        <v>4</v>
      </c>
      <c r="D41" s="10" t="str">
        <f t="shared" ref="D41:D63" si="3">IF(INDEX($A$3:$B$24,MATCH(D4,$A$3:$A$24,0),2)&lt;&gt;0,INDEX($A$3:$B$24,MATCH(D4,$A$3:$A$24,0),2),D4)</f>
        <v>exercito</v>
      </c>
      <c r="E41" s="10" t="str">
        <f t="shared" ref="E41:E63" si="4">IF(INDEX($A$40:$B$55,MATCH(E4,$A$40:$A$55,0),2)&lt;&gt;0,INDEX($A$40:$B$55,MATCH(E4,$A$40:$A$55,0),2),E4)</f>
        <v>rdfs:subClassOf</v>
      </c>
      <c r="F41" s="10" t="str">
        <f t="shared" ref="F41:F63" si="5">IF(INDEX($A$3:$B$24,MATCH(F4,$A$3:$A$24,0),2)&lt;&gt;0,INDEX($A$3:$B$24,MATCH(F4,$A$3:$A$24,0),2),F4)</f>
        <v>forcas_armadas</v>
      </c>
      <c r="G41" s="3" t="str">
        <f t="shared" ref="G41:G63" si="6">IF(INDEX($A$3:$B$24,MATCH(F4,$A$3:$A$24,0),2)&lt;&gt;0,"OK","NOK")</f>
        <v>OK</v>
      </c>
      <c r="I41" s="10" t="str">
        <f t="shared" si="1"/>
        <v>exercito-forcas_armadas</v>
      </c>
      <c r="J41" s="10"/>
      <c r="K41" s="10"/>
      <c r="L41" s="3">
        <f>IF(INDEX(GRAFO!$L$2:'GRAFO'!$L$41,MATCH(I41,GRAFO!$L$2:'GRAFO'!$L$41,0),1)&lt;&gt;0,1,0)</f>
        <v>1</v>
      </c>
      <c r="M41" s="3">
        <f t="shared" ref="M41:M63" si="7">IFERROR(L41,0)</f>
        <v>1</v>
      </c>
      <c r="O41" s="10" t="str">
        <f t="shared" si="2"/>
        <v>exercito-rdfs:subClassOf-forcas_armadas</v>
      </c>
      <c r="P41" s="10"/>
      <c r="Q41" s="10"/>
      <c r="R41" s="10"/>
      <c r="S41" s="10"/>
      <c r="T41" s="10">
        <f>IF(INDEX(GRAFO!$M$2:'GRAFO'!$M$41,MATCH(O41,GRAFO!$M$2:'GRAFO'!$M$41,0),1)&lt;&gt;0,1,0)</f>
        <v>1</v>
      </c>
      <c r="U41" s="10">
        <f t="shared" ref="U41:U63" si="8">IFERROR(T41,0)</f>
        <v>1</v>
      </c>
    </row>
    <row r="42" spans="1:21">
      <c r="A42" s="46" t="s">
        <v>104</v>
      </c>
      <c r="B42" s="10" t="s">
        <v>5</v>
      </c>
      <c r="D42" s="10" t="str">
        <f t="shared" si="3"/>
        <v>aeronautica</v>
      </c>
      <c r="E42" s="10" t="str">
        <f t="shared" si="4"/>
        <v>rdfs:subClassOf</v>
      </c>
      <c r="F42" s="10" t="str">
        <f t="shared" si="5"/>
        <v>forcas_armadas</v>
      </c>
      <c r="G42" s="3" t="str">
        <f t="shared" si="6"/>
        <v>OK</v>
      </c>
      <c r="I42" s="10" t="str">
        <f t="shared" si="1"/>
        <v>aeronautica-forcas_armadas</v>
      </c>
      <c r="J42" s="10"/>
      <c r="K42" s="10"/>
      <c r="L42" s="3">
        <f>IF(INDEX(GRAFO!$L$2:'GRAFO'!$L$41,MATCH(I42,GRAFO!$L$2:'GRAFO'!$L$41,0),1)&lt;&gt;0,1,0)</f>
        <v>1</v>
      </c>
      <c r="M42" s="3">
        <f t="shared" si="7"/>
        <v>1</v>
      </c>
      <c r="O42" s="10" t="str">
        <f t="shared" si="2"/>
        <v>aeronautica-rdfs:subClassOf-forcas_armadas</v>
      </c>
      <c r="P42" s="10"/>
      <c r="Q42" s="10"/>
      <c r="R42" s="10"/>
      <c r="S42" s="10"/>
      <c r="T42" s="10">
        <f>IF(INDEX(GRAFO!$M$2:'GRAFO'!$M$41,MATCH(O42,GRAFO!$M$2:'GRAFO'!$M$41,0),1)&lt;&gt;0,1,0)</f>
        <v>1</v>
      </c>
      <c r="U42" s="10">
        <f t="shared" si="8"/>
        <v>1</v>
      </c>
    </row>
    <row r="43" spans="1:21">
      <c r="A43" s="46" t="s">
        <v>350</v>
      </c>
      <c r="B43" s="10" t="s">
        <v>205</v>
      </c>
      <c r="D43" s="10" t="str">
        <f t="shared" si="3"/>
        <v>operacao_conjunta</v>
      </c>
      <c r="E43" s="10" t="str">
        <f t="shared" si="4"/>
        <v>rdfs:subClassOf</v>
      </c>
      <c r="F43" s="10" t="str">
        <f t="shared" si="5"/>
        <v>operacao</v>
      </c>
      <c r="G43" s="3" t="str">
        <f t="shared" si="6"/>
        <v>OK</v>
      </c>
      <c r="I43" s="10" t="str">
        <f t="shared" si="1"/>
        <v>operacao_conjunta-operacao</v>
      </c>
      <c r="J43" s="10"/>
      <c r="K43" s="10"/>
      <c r="L43" s="3">
        <f>IF(INDEX(GRAFO!$L$2:'GRAFO'!$L$41,MATCH(I43,GRAFO!$L$2:'GRAFO'!$L$41,0),1)&lt;&gt;0,1,0)</f>
        <v>1</v>
      </c>
      <c r="M43" s="3">
        <f t="shared" si="7"/>
        <v>1</v>
      </c>
      <c r="O43" s="10" t="str">
        <f t="shared" si="2"/>
        <v>operacao_conjunta-rdfs:subClassOf-operacao</v>
      </c>
      <c r="P43" s="10"/>
      <c r="Q43" s="10"/>
      <c r="R43" s="10"/>
      <c r="S43" s="10"/>
      <c r="T43" s="10">
        <f>IF(INDEX(GRAFO!$M$2:'GRAFO'!$M$41,MATCH(O43,GRAFO!$M$2:'GRAFO'!$M$41,0),1)&lt;&gt;0,1,0)</f>
        <v>1</v>
      </c>
      <c r="U43" s="10">
        <f t="shared" si="8"/>
        <v>1</v>
      </c>
    </row>
    <row r="44" spans="1:21">
      <c r="A44" s="46" t="s">
        <v>351</v>
      </c>
      <c r="B44" s="10" t="s">
        <v>7</v>
      </c>
      <c r="D44" s="10" t="str">
        <f t="shared" si="3"/>
        <v>operacao_conjunta</v>
      </c>
      <c r="E44" s="10" t="str">
        <f t="shared" si="4"/>
        <v>c2rm:responsible_for</v>
      </c>
      <c r="F44" s="10" t="str">
        <f t="shared" si="5"/>
        <v>forca_componente</v>
      </c>
      <c r="G44" s="3" t="str">
        <f t="shared" si="6"/>
        <v>OK</v>
      </c>
      <c r="I44" s="10" t="str">
        <f t="shared" si="1"/>
        <v>operacao_conjunta-forca_componente</v>
      </c>
      <c r="J44" s="10"/>
      <c r="K44" s="10"/>
      <c r="L44" s="3" t="e">
        <f>IF(INDEX(GRAFO!$L$2:'GRAFO'!$L$41,MATCH(I44,GRAFO!$L$2:'GRAFO'!$L$41,0),1)&lt;&gt;0,1,0)</f>
        <v>#N/A</v>
      </c>
      <c r="M44" s="3">
        <f t="shared" si="7"/>
        <v>0</v>
      </c>
      <c r="O44" s="10" t="str">
        <f t="shared" si="2"/>
        <v>operacao_conjunta-c2rm:responsible_for-forca_componente</v>
      </c>
      <c r="P44" s="10"/>
      <c r="Q44" s="10"/>
      <c r="R44" s="10"/>
      <c r="S44" s="10"/>
      <c r="T44" s="10" t="e">
        <f>IF(INDEX(GRAFO!$M$2:'GRAFO'!$M$41,MATCH(O44,GRAFO!$M$2:'GRAFO'!$M$41,0),1)&lt;&gt;0,1,0)</f>
        <v>#N/A</v>
      </c>
      <c r="U44" s="10">
        <f t="shared" si="8"/>
        <v>0</v>
      </c>
    </row>
    <row r="45" spans="1:21">
      <c r="A45" s="46" t="s">
        <v>107</v>
      </c>
      <c r="B45" s="10" t="s">
        <v>7</v>
      </c>
      <c r="D45" s="10" t="str">
        <f t="shared" si="3"/>
        <v>forca_componente</v>
      </c>
      <c r="E45" s="10" t="str">
        <f t="shared" si="4"/>
        <v>rdf:Bag</v>
      </c>
      <c r="F45" s="10" t="str">
        <f t="shared" si="5"/>
        <v>forcas_armadas</v>
      </c>
      <c r="G45" s="3" t="str">
        <f t="shared" si="6"/>
        <v>OK</v>
      </c>
      <c r="H45">
        <f>COUNTIFS(GRAFO!C2:C42,"=D34",GRAFO!E2:E42,"=F34")</f>
        <v>0</v>
      </c>
      <c r="I45" s="10" t="str">
        <f t="shared" si="1"/>
        <v>forca_componente-forcas_armadas</v>
      </c>
      <c r="J45" s="10"/>
      <c r="K45" s="10"/>
      <c r="L45" s="3" t="e">
        <f>IF(INDEX(GRAFO!$L$2:'GRAFO'!$L$41,MATCH(I45,GRAFO!$L$2:'GRAFO'!$L$41,0),1)&lt;&gt;0,1,0)</f>
        <v>#N/A</v>
      </c>
      <c r="M45" s="3">
        <f t="shared" si="7"/>
        <v>0</v>
      </c>
      <c r="O45" s="10" t="str">
        <f t="shared" si="2"/>
        <v>forca_componente-rdf:Bag-forcas_armadas</v>
      </c>
      <c r="P45" s="10"/>
      <c r="Q45" s="10"/>
      <c r="R45" s="10"/>
      <c r="S45" s="10"/>
      <c r="T45" s="10" t="e">
        <f>IF(INDEX(GRAFO!$M$2:'GRAFO'!$M$41,MATCH(O45,GRAFO!$M$2:'GRAFO'!$M$41,0),1)&lt;&gt;0,1,0)</f>
        <v>#N/A</v>
      </c>
      <c r="U45" s="10">
        <f t="shared" si="8"/>
        <v>0</v>
      </c>
    </row>
    <row r="46" spans="1:21">
      <c r="A46" s="46" t="s">
        <v>266</v>
      </c>
      <c r="B46" s="10" t="s">
        <v>4</v>
      </c>
      <c r="D46" s="10" t="str">
        <f t="shared" si="3"/>
        <v>forca_componente</v>
      </c>
      <c r="E46" s="10" t="str">
        <f t="shared" si="4"/>
        <v>c2rm:applied_to</v>
      </c>
      <c r="F46" s="10" t="str">
        <f t="shared" si="5"/>
        <v>comando_das_fctes</v>
      </c>
      <c r="G46" s="3" t="str">
        <f t="shared" si="6"/>
        <v>NOK</v>
      </c>
      <c r="I46" s="10" t="str">
        <f t="shared" si="1"/>
        <v>forca_componente-comando_das_fctes</v>
      </c>
      <c r="J46" s="10"/>
      <c r="K46" s="10"/>
      <c r="L46" s="3" t="e">
        <f>IF(INDEX(GRAFO!$L$2:'GRAFO'!$L$41,MATCH(I46,GRAFO!$L$2:'GRAFO'!$L$41,0),1)&lt;&gt;0,1,0)</f>
        <v>#N/A</v>
      </c>
      <c r="M46" s="3">
        <f t="shared" si="7"/>
        <v>0</v>
      </c>
      <c r="O46" s="10" t="str">
        <f t="shared" si="2"/>
        <v>forca_componente-c2rm:applied_to-comando_das_fctes</v>
      </c>
      <c r="P46" s="10"/>
      <c r="Q46" s="10"/>
      <c r="R46" s="10"/>
      <c r="S46" s="10"/>
      <c r="T46" s="10" t="e">
        <f>IF(INDEX(GRAFO!$M$2:'GRAFO'!$M$41,MATCH(O46,GRAFO!$M$2:'GRAFO'!$M$41,0),1)&lt;&gt;0,1,0)</f>
        <v>#N/A</v>
      </c>
      <c r="U46" s="10">
        <f t="shared" si="8"/>
        <v>0</v>
      </c>
    </row>
    <row r="47" spans="1:21">
      <c r="A47" s="46" t="s">
        <v>242</v>
      </c>
      <c r="B47" s="10" t="s">
        <v>7</v>
      </c>
      <c r="C47" s="24"/>
      <c r="D47" s="10" t="str">
        <f t="shared" si="3"/>
        <v>comando_das_fctes</v>
      </c>
      <c r="E47" s="10" t="str">
        <f t="shared" si="4"/>
        <v>rdfs:seeAlso</v>
      </c>
      <c r="F47" s="10" t="str">
        <f t="shared" si="5"/>
        <v>planos_taticos_das_fctes</v>
      </c>
      <c r="G47" s="3" t="str">
        <f t="shared" si="6"/>
        <v>NOK</v>
      </c>
      <c r="I47" s="10" t="str">
        <f t="shared" si="1"/>
        <v>comando_das_fctes-planos_taticos_das_fctes</v>
      </c>
      <c r="J47" s="10"/>
      <c r="K47" s="10"/>
      <c r="L47" s="3" t="e">
        <f>IF(INDEX(GRAFO!$L$2:'GRAFO'!$L$41,MATCH(I47,GRAFO!$L$2:'GRAFO'!$L$41,0),1)&lt;&gt;0,1,0)</f>
        <v>#N/A</v>
      </c>
      <c r="M47" s="3">
        <f t="shared" si="7"/>
        <v>0</v>
      </c>
      <c r="O47" s="10" t="str">
        <f t="shared" si="2"/>
        <v>comando_das_fctes-rdfs:seeAlso-planos_taticos_das_fctes</v>
      </c>
      <c r="P47" s="10"/>
      <c r="Q47" s="10"/>
      <c r="R47" s="10"/>
      <c r="S47" s="10"/>
      <c r="T47" s="10" t="e">
        <f>IF(INDEX(GRAFO!$M$2:'GRAFO'!$M$41,MATCH(O47,GRAFO!$M$2:'GRAFO'!$M$41,0),1)&lt;&gt;0,1,0)</f>
        <v>#N/A</v>
      </c>
      <c r="U47" s="10">
        <f t="shared" si="8"/>
        <v>0</v>
      </c>
    </row>
    <row r="48" spans="1:21">
      <c r="A48" s="46" t="s">
        <v>352</v>
      </c>
      <c r="B48" s="10" t="s">
        <v>4</v>
      </c>
      <c r="C48" s="9" t="str">
        <f t="shared" ref="C48:C63" si="9">IF(INDEX($A$3:$B$18,MATCH(D3,$A$3:$A$17,0),2)&lt;&gt;0,"OK","NOK")</f>
        <v>OK</v>
      </c>
      <c r="D48" s="10" t="str">
        <f t="shared" si="3"/>
        <v>comando_das_fctes</v>
      </c>
      <c r="E48" s="10" t="str">
        <f t="shared" si="4"/>
        <v>rdfs:seeAlso</v>
      </c>
      <c r="F48" s="10" t="str">
        <f t="shared" si="5"/>
        <v>planejamento_operacional_da_campanha</v>
      </c>
      <c r="G48" s="3" t="str">
        <f t="shared" si="6"/>
        <v>NOK</v>
      </c>
      <c r="I48" s="10" t="str">
        <f t="shared" si="1"/>
        <v>comando_das_fctes-planejamento_operacional_da_campanha</v>
      </c>
      <c r="J48" s="10"/>
      <c r="K48" s="10"/>
      <c r="L48" s="3" t="e">
        <f>IF(INDEX(GRAFO!$L$2:'GRAFO'!$L$41,MATCH(I48,GRAFO!$L$2:'GRAFO'!$L$41,0),1)&lt;&gt;0,1,0)</f>
        <v>#N/A</v>
      </c>
      <c r="M48" s="3">
        <f t="shared" si="7"/>
        <v>0</v>
      </c>
      <c r="O48" s="10" t="str">
        <f t="shared" si="2"/>
        <v>comando_das_fctes-rdfs:seeAlso-planejamento_operacional_da_campanha</v>
      </c>
      <c r="P48" s="10"/>
      <c r="Q48" s="10"/>
      <c r="R48" s="10"/>
      <c r="S48" s="10"/>
      <c r="T48" s="10" t="e">
        <f>IF(INDEX(GRAFO!$M$2:'GRAFO'!$M$41,MATCH(O48,GRAFO!$M$2:'GRAFO'!$M$41,0),1)&lt;&gt;0,1,0)</f>
        <v>#N/A</v>
      </c>
      <c r="U48" s="10">
        <f t="shared" si="8"/>
        <v>0</v>
      </c>
    </row>
    <row r="49" spans="1:21">
      <c r="A49" s="46" t="s">
        <v>338</v>
      </c>
      <c r="B49" s="10" t="s">
        <v>205</v>
      </c>
      <c r="C49" s="9" t="str">
        <f t="shared" si="9"/>
        <v>OK</v>
      </c>
      <c r="D49" s="10" t="str">
        <f t="shared" si="3"/>
        <v>comandos_operacionais</v>
      </c>
      <c r="E49" s="10" t="str">
        <f t="shared" si="4"/>
        <v>rdfs:seeAlso</v>
      </c>
      <c r="F49" s="10" t="str">
        <f t="shared" si="5"/>
        <v>planejamento_operacional_da_campanha</v>
      </c>
      <c r="G49" s="3" t="str">
        <f t="shared" si="6"/>
        <v>NOK</v>
      </c>
      <c r="I49" s="10" t="str">
        <f t="shared" si="1"/>
        <v>comandos_operacionais-planejamento_operacional_da_campanha</v>
      </c>
      <c r="J49" s="10"/>
      <c r="K49" s="10"/>
      <c r="L49" s="3" t="e">
        <f>IF(INDEX(GRAFO!$L$2:'GRAFO'!$L$41,MATCH(I49,GRAFO!$L$2:'GRAFO'!$L$41,0),1)&lt;&gt;0,1,0)</f>
        <v>#N/A</v>
      </c>
      <c r="M49" s="3">
        <f t="shared" si="7"/>
        <v>0</v>
      </c>
      <c r="O49" s="10" t="str">
        <f t="shared" si="2"/>
        <v>comandos_operacionais-rdfs:seeAlso-planejamento_operacional_da_campanha</v>
      </c>
      <c r="P49" s="10"/>
      <c r="Q49" s="10"/>
      <c r="R49" s="10"/>
      <c r="S49" s="10"/>
      <c r="T49" s="10" t="e">
        <f>IF(INDEX(GRAFO!$M$2:'GRAFO'!$M$41,MATCH(O49,GRAFO!$M$2:'GRAFO'!$M$41,0),1)&lt;&gt;0,1,0)</f>
        <v>#N/A</v>
      </c>
      <c r="U49" s="10">
        <f t="shared" si="8"/>
        <v>0</v>
      </c>
    </row>
    <row r="50" spans="1:21">
      <c r="A50" s="46" t="s">
        <v>353</v>
      </c>
      <c r="B50" s="10" t="s">
        <v>4</v>
      </c>
      <c r="C50" s="9" t="str">
        <f t="shared" si="9"/>
        <v>OK</v>
      </c>
      <c r="D50" s="10" t="str">
        <f t="shared" si="3"/>
        <v>comandos_operacionais</v>
      </c>
      <c r="E50" s="10" t="str">
        <f t="shared" si="4"/>
        <v>c2rm:responsible_for</v>
      </c>
      <c r="F50" s="10" t="str">
        <f t="shared" si="5"/>
        <v>operacao_conjunta</v>
      </c>
      <c r="G50" s="3" t="str">
        <f t="shared" si="6"/>
        <v>OK</v>
      </c>
      <c r="I50" s="10" t="str">
        <f t="shared" si="1"/>
        <v>comandos_operacionais-operacao_conjunta</v>
      </c>
      <c r="J50" s="10"/>
      <c r="K50" s="10"/>
      <c r="L50" s="3" t="e">
        <f>IF(INDEX(GRAFO!$L$2:'GRAFO'!$L$41,MATCH(I50,GRAFO!$L$2:'GRAFO'!$L$41,0),1)&lt;&gt;0,1,0)</f>
        <v>#N/A</v>
      </c>
      <c r="M50" s="3">
        <f t="shared" si="7"/>
        <v>0</v>
      </c>
      <c r="O50" s="10" t="str">
        <f t="shared" si="2"/>
        <v>comandos_operacionais-c2rm:responsible_for-operacao_conjunta</v>
      </c>
      <c r="P50" s="10"/>
      <c r="Q50" s="10"/>
      <c r="R50" s="10"/>
      <c r="S50" s="10"/>
      <c r="T50" s="10" t="e">
        <f>IF(INDEX(GRAFO!$M$2:'GRAFO'!$M$41,MATCH(O50,GRAFO!$M$2:'GRAFO'!$M$41,0),1)&lt;&gt;0,1,0)</f>
        <v>#N/A</v>
      </c>
      <c r="U50" s="10">
        <f t="shared" si="8"/>
        <v>0</v>
      </c>
    </row>
    <row r="51" spans="1:21">
      <c r="A51" s="46" t="s">
        <v>142</v>
      </c>
      <c r="B51" s="10" t="s">
        <v>7</v>
      </c>
      <c r="C51" s="9" t="str">
        <f t="shared" si="9"/>
        <v>OK</v>
      </c>
      <c r="D51" s="10" t="str">
        <f t="shared" si="3"/>
        <v>operacao_conjunta</v>
      </c>
      <c r="E51" s="10" t="str">
        <f t="shared" si="4"/>
        <v>rdfs:seeAlso</v>
      </c>
      <c r="F51" s="10" t="str">
        <f t="shared" si="5"/>
        <v>objetivos_estrategicos</v>
      </c>
      <c r="G51" s="3" t="str">
        <f t="shared" si="6"/>
        <v>NOK</v>
      </c>
      <c r="I51" s="10" t="str">
        <f t="shared" si="1"/>
        <v>operacao_conjunta-objetivos_estrategicos</v>
      </c>
      <c r="J51" s="10"/>
      <c r="K51" s="10"/>
      <c r="L51" s="3" t="e">
        <f>IF(INDEX(GRAFO!$L$2:'GRAFO'!$L$41,MATCH(I51,GRAFO!$L$2:'GRAFO'!$L$41,0),1)&lt;&gt;0,1,0)</f>
        <v>#N/A</v>
      </c>
      <c r="M51" s="3">
        <f t="shared" si="7"/>
        <v>0</v>
      </c>
      <c r="O51" s="10" t="str">
        <f t="shared" si="2"/>
        <v>operacao_conjunta-rdfs:seeAlso-objetivos_estrategicos</v>
      </c>
      <c r="P51" s="10"/>
      <c r="Q51" s="10"/>
      <c r="R51" s="10"/>
      <c r="S51" s="10"/>
      <c r="T51" s="10" t="e">
        <f>IF(INDEX(GRAFO!$M$2:'GRAFO'!$M$41,MATCH(O51,GRAFO!$M$2:'GRAFO'!$M$41,0),1)&lt;&gt;0,1,0)</f>
        <v>#N/A</v>
      </c>
      <c r="U51" s="10">
        <f t="shared" si="8"/>
        <v>0</v>
      </c>
    </row>
    <row r="52" spans="1:21">
      <c r="A52" s="46" t="s">
        <v>277</v>
      </c>
      <c r="B52" s="10" t="s">
        <v>7</v>
      </c>
      <c r="C52" s="9" t="str">
        <f t="shared" si="9"/>
        <v>OK</v>
      </c>
      <c r="D52" s="10" t="str">
        <f t="shared" si="3"/>
        <v>objetivos_estrategicos</v>
      </c>
      <c r="E52" s="10" t="str">
        <f t="shared" si="4"/>
        <v>rdf:Bag</v>
      </c>
      <c r="F52" s="10" t="str">
        <f t="shared" si="5"/>
        <v>objetivo_operacional</v>
      </c>
      <c r="G52" s="3" t="str">
        <f t="shared" si="6"/>
        <v>NOK</v>
      </c>
      <c r="I52" s="10" t="str">
        <f t="shared" si="1"/>
        <v>objetivos_estrategicos-objetivo_operacional</v>
      </c>
      <c r="J52" s="10"/>
      <c r="K52" s="10"/>
      <c r="L52" s="3" t="e">
        <f>IF(INDEX(GRAFO!$L$2:'GRAFO'!$L$41,MATCH(I52,GRAFO!$L$2:'GRAFO'!$L$41,0),1)&lt;&gt;0,1,0)</f>
        <v>#N/A</v>
      </c>
      <c r="M52" s="3">
        <f t="shared" si="7"/>
        <v>0</v>
      </c>
      <c r="O52" s="10" t="str">
        <f t="shared" si="2"/>
        <v>objetivos_estrategicos-rdf:Bag-objetivo_operacional</v>
      </c>
      <c r="P52" s="10"/>
      <c r="Q52" s="10"/>
      <c r="R52" s="10"/>
      <c r="S52" s="10"/>
      <c r="T52" s="10" t="e">
        <f>IF(INDEX(GRAFO!$M$2:'GRAFO'!$M$41,MATCH(O52,GRAFO!$M$2:'GRAFO'!$M$41,0),1)&lt;&gt;0,1,0)</f>
        <v>#N/A</v>
      </c>
      <c r="U52" s="10">
        <f t="shared" si="8"/>
        <v>0</v>
      </c>
    </row>
    <row r="53" spans="1:21">
      <c r="A53" s="46" t="s">
        <v>354</v>
      </c>
      <c r="B53" s="10" t="s">
        <v>35</v>
      </c>
      <c r="C53" s="9" t="str">
        <f t="shared" si="9"/>
        <v>OK</v>
      </c>
      <c r="D53" s="10" t="str">
        <f t="shared" si="3"/>
        <v>comandos_operacionais</v>
      </c>
      <c r="E53" s="10" t="str">
        <f t="shared" si="4"/>
        <v>rdfs:seeAlso</v>
      </c>
      <c r="F53" s="10" t="str">
        <f t="shared" si="5"/>
        <v>objetivo_operacional</v>
      </c>
      <c r="G53" s="3" t="str">
        <f t="shared" si="6"/>
        <v>NOK</v>
      </c>
      <c r="I53" s="10" t="str">
        <f t="shared" si="1"/>
        <v>comandos_operacionais-objetivo_operacional</v>
      </c>
      <c r="J53" s="10"/>
      <c r="K53" s="10"/>
      <c r="L53" s="3" t="e">
        <f>IF(INDEX(GRAFO!$L$2:'GRAFO'!$L$41,MATCH(I53,GRAFO!$L$2:'GRAFO'!$L$41,0),1)&lt;&gt;0,1,0)</f>
        <v>#N/A</v>
      </c>
      <c r="M53" s="3">
        <f t="shared" si="7"/>
        <v>0</v>
      </c>
      <c r="O53" s="10" t="str">
        <f t="shared" si="2"/>
        <v>comandos_operacionais-rdfs:seeAlso-objetivo_operacional</v>
      </c>
      <c r="P53" s="10"/>
      <c r="Q53" s="10"/>
      <c r="R53" s="10"/>
      <c r="S53" s="10"/>
      <c r="T53" s="10" t="e">
        <f>IF(INDEX(GRAFO!$M$2:'GRAFO'!$M$41,MATCH(O53,GRAFO!$M$2:'GRAFO'!$M$41,0),1)&lt;&gt;0,1,0)</f>
        <v>#N/A</v>
      </c>
      <c r="U53" s="10">
        <f t="shared" si="8"/>
        <v>0</v>
      </c>
    </row>
    <row r="54" spans="1:21">
      <c r="A54" s="46" t="s">
        <v>105</v>
      </c>
      <c r="B54" s="10" t="s">
        <v>7</v>
      </c>
      <c r="C54" s="9" t="str">
        <f t="shared" si="9"/>
        <v>OK</v>
      </c>
      <c r="D54" s="10" t="str">
        <f t="shared" si="3"/>
        <v>comandos_operacionais</v>
      </c>
      <c r="E54" s="10" t="str">
        <f t="shared" si="4"/>
        <v>rdfs:seeAlso</v>
      </c>
      <c r="F54" s="10" t="str">
        <f t="shared" si="5"/>
        <v>objetivo_estrategico</v>
      </c>
      <c r="G54" s="3" t="str">
        <f t="shared" si="6"/>
        <v>NOK</v>
      </c>
      <c r="I54" s="10" t="str">
        <f t="shared" si="1"/>
        <v>comandos_operacionais-objetivo_estrategico</v>
      </c>
      <c r="J54" s="10"/>
      <c r="K54" s="10"/>
      <c r="L54" s="3" t="e">
        <f>IF(INDEX(GRAFO!$L$2:'GRAFO'!$L$41,MATCH(I54,GRAFO!$L$2:'GRAFO'!$L$41,0),1)&lt;&gt;0,1,0)</f>
        <v>#N/A</v>
      </c>
      <c r="M54" s="3">
        <f t="shared" si="7"/>
        <v>0</v>
      </c>
      <c r="O54" s="10" t="str">
        <f t="shared" si="2"/>
        <v>comandos_operacionais-rdfs:seeAlso-objetivo_estrategico</v>
      </c>
      <c r="P54" s="10"/>
      <c r="Q54" s="10"/>
      <c r="R54" s="10"/>
      <c r="S54" s="10"/>
      <c r="T54" s="10" t="e">
        <f>IF(INDEX(GRAFO!$M$2:'GRAFO'!$M$41,MATCH(O54,GRAFO!$M$2:'GRAFO'!$M$41,0),1)&lt;&gt;0,1,0)</f>
        <v>#N/A</v>
      </c>
      <c r="U54" s="10">
        <f t="shared" si="8"/>
        <v>0</v>
      </c>
    </row>
    <row r="55" spans="1:21">
      <c r="A55" s="46" t="s">
        <v>263</v>
      </c>
      <c r="B55" s="10" t="s">
        <v>4</v>
      </c>
      <c r="C55" s="9" t="str">
        <f t="shared" si="9"/>
        <v>NOK</v>
      </c>
      <c r="D55" s="10" t="str">
        <f t="shared" si="3"/>
        <v>objetivo_estrategico</v>
      </c>
      <c r="E55" s="10" t="str">
        <f t="shared" si="4"/>
        <v>rdfs:seeAlso</v>
      </c>
      <c r="F55" s="10" t="str">
        <f t="shared" si="5"/>
        <v>dmed</v>
      </c>
      <c r="G55" s="3" t="str">
        <f t="shared" si="6"/>
        <v>NOK</v>
      </c>
      <c r="I55" s="10" t="str">
        <f t="shared" si="1"/>
        <v>objetivo_estrategico-dmed</v>
      </c>
      <c r="J55" s="10"/>
      <c r="K55" s="10"/>
      <c r="L55" s="3" t="e">
        <f>IF(INDEX(GRAFO!$L$2:'GRAFO'!$L$41,MATCH(I55,GRAFO!$L$2:'GRAFO'!$L$41,0),1)&lt;&gt;0,1,0)</f>
        <v>#N/A</v>
      </c>
      <c r="M55" s="3">
        <f t="shared" si="7"/>
        <v>0</v>
      </c>
      <c r="O55" s="10" t="str">
        <f t="shared" si="2"/>
        <v>objetivo_estrategico-rdfs:seeAlso-dmed</v>
      </c>
      <c r="P55" s="10"/>
      <c r="Q55" s="10"/>
      <c r="R55" s="10"/>
      <c r="S55" s="10"/>
      <c r="T55" s="10" t="e">
        <f>IF(INDEX(GRAFO!$M$2:'GRAFO'!$M$41,MATCH(O55,GRAFO!$M$2:'GRAFO'!$M$41,0),1)&lt;&gt;0,1,0)</f>
        <v>#N/A</v>
      </c>
      <c r="U55" s="10">
        <f t="shared" si="8"/>
        <v>0</v>
      </c>
    </row>
    <row r="56" spans="1:21">
      <c r="A56" s="10"/>
      <c r="B56" s="10"/>
      <c r="C56" s="9" t="str">
        <f t="shared" si="9"/>
        <v>NOK</v>
      </c>
      <c r="D56" s="10" t="str">
        <f t="shared" si="3"/>
        <v>ministerio_da_defesa</v>
      </c>
      <c r="E56" s="10" t="str">
        <f t="shared" si="4"/>
        <v>c2rm:responsible_for</v>
      </c>
      <c r="F56" s="10" t="str">
        <f t="shared" si="5"/>
        <v>dmed</v>
      </c>
      <c r="G56" s="3" t="str">
        <f t="shared" si="6"/>
        <v>NOK</v>
      </c>
      <c r="I56" s="10" t="str">
        <f t="shared" si="1"/>
        <v>ministerio_da_defesa-dmed</v>
      </c>
      <c r="J56" s="10"/>
      <c r="K56" s="10"/>
      <c r="L56" s="3" t="e">
        <f>IF(INDEX(GRAFO!$L$2:'GRAFO'!$L$41,MATCH(I56,GRAFO!$L$2:'GRAFO'!$L$41,0),1)&lt;&gt;0,1,0)</f>
        <v>#N/A</v>
      </c>
      <c r="M56" s="3">
        <f t="shared" si="7"/>
        <v>0</v>
      </c>
      <c r="O56" s="10" t="str">
        <f t="shared" si="2"/>
        <v>ministerio_da_defesa-c2rm:responsible_for-dmed</v>
      </c>
      <c r="P56" s="10"/>
      <c r="Q56" s="10"/>
      <c r="R56" s="10"/>
      <c r="S56" s="10"/>
      <c r="T56" s="10" t="e">
        <f>IF(INDEX(GRAFO!$M$2:'GRAFO'!$M$41,MATCH(O56,GRAFO!$M$2:'GRAFO'!$M$41,0),1)&lt;&gt;0,1,0)</f>
        <v>#N/A</v>
      </c>
      <c r="U56" s="10">
        <f t="shared" si="8"/>
        <v>0</v>
      </c>
    </row>
    <row r="57" spans="1:21">
      <c r="C57" s="9" t="str">
        <f t="shared" si="9"/>
        <v>OK</v>
      </c>
      <c r="D57" s="10" t="str">
        <f t="shared" si="3"/>
        <v>presidente_da_republica</v>
      </c>
      <c r="E57" s="10" t="str">
        <f t="shared" si="4"/>
        <v>owl:equivalentClass</v>
      </c>
      <c r="F57" s="10" t="str">
        <f t="shared" si="5"/>
        <v>comando_supremo</v>
      </c>
      <c r="G57" s="3" t="str">
        <f t="shared" si="6"/>
        <v>OK</v>
      </c>
      <c r="I57" s="10" t="str">
        <f t="shared" si="1"/>
        <v>presidente_da_republica-comando_supremo</v>
      </c>
      <c r="J57" s="10"/>
      <c r="K57" s="10"/>
      <c r="L57" s="3">
        <f>IF(INDEX(GRAFO!$L$2:'GRAFO'!$L$41,MATCH(I57,GRAFO!$L$2:'GRAFO'!$L$41,0),1)&lt;&gt;0,1,0)</f>
        <v>1</v>
      </c>
      <c r="M57" s="3">
        <f t="shared" si="7"/>
        <v>1</v>
      </c>
      <c r="O57" s="10" t="str">
        <f t="shared" si="2"/>
        <v>presidente_da_republica-owl:equivalentClass-comando_supremo</v>
      </c>
      <c r="P57" s="10"/>
      <c r="Q57" s="10"/>
      <c r="R57" s="10"/>
      <c r="S57" s="10"/>
      <c r="T57" s="10" t="e">
        <f>IF(INDEX(GRAFO!$M$2:'GRAFO'!$M$41,MATCH(O57,GRAFO!$M$2:'GRAFO'!$M$41,0),1)&lt;&gt;0,1,0)</f>
        <v>#N/A</v>
      </c>
      <c r="U57" s="10">
        <f t="shared" si="8"/>
        <v>0</v>
      </c>
    </row>
    <row r="58" spans="1:21">
      <c r="C58" s="9" t="str">
        <f t="shared" si="9"/>
        <v>OK</v>
      </c>
      <c r="D58" s="10" t="str">
        <f t="shared" si="3"/>
        <v>presidente_da_republica</v>
      </c>
      <c r="E58" s="10" t="str">
        <f t="shared" si="4"/>
        <v>c2rm:responsible_for</v>
      </c>
      <c r="F58" s="10" t="str">
        <f t="shared" si="5"/>
        <v>dped</v>
      </c>
      <c r="G58" s="3" t="str">
        <f t="shared" si="6"/>
        <v>NOK</v>
      </c>
      <c r="I58" s="10" t="str">
        <f t="shared" si="1"/>
        <v>presidente_da_republica-dped</v>
      </c>
      <c r="J58" s="10"/>
      <c r="K58" s="10"/>
      <c r="L58" s="3" t="e">
        <f>IF(INDEX(GRAFO!$L$2:'GRAFO'!$L$41,MATCH(I58,GRAFO!$L$2:'GRAFO'!$L$41,0),1)&lt;&gt;0,1,0)</f>
        <v>#N/A</v>
      </c>
      <c r="M58" s="3">
        <f t="shared" si="7"/>
        <v>0</v>
      </c>
      <c r="O58" s="10" t="str">
        <f t="shared" si="2"/>
        <v>presidente_da_republica-c2rm:responsible_for-dped</v>
      </c>
      <c r="P58" s="10"/>
      <c r="Q58" s="10"/>
      <c r="R58" s="10"/>
      <c r="S58" s="10"/>
      <c r="T58" s="10" t="e">
        <f>IF(INDEX(GRAFO!$M$2:'GRAFO'!$M$41,MATCH(O58,GRAFO!$M$2:'GRAFO'!$M$41,0),1)&lt;&gt;0,1,0)</f>
        <v>#N/A</v>
      </c>
      <c r="U58" s="10">
        <f t="shared" si="8"/>
        <v>0</v>
      </c>
    </row>
    <row r="59" spans="1:21">
      <c r="C59" s="9" t="str">
        <f t="shared" si="9"/>
        <v>OK</v>
      </c>
      <c r="D59" s="10" t="str">
        <f t="shared" si="3"/>
        <v>presidente_da_republica</v>
      </c>
      <c r="E59" s="10" t="str">
        <f t="shared" si="4"/>
        <v>c2rm:responsible_for</v>
      </c>
      <c r="F59" s="10" t="str">
        <f t="shared" si="5"/>
        <v>objetivos_politicos</v>
      </c>
      <c r="G59" s="3" t="str">
        <f t="shared" si="6"/>
        <v>OK</v>
      </c>
      <c r="I59" s="10" t="str">
        <f t="shared" si="1"/>
        <v>presidente_da_republica-objetivos_politicos</v>
      </c>
      <c r="J59" s="10"/>
      <c r="K59" s="10"/>
      <c r="L59" s="3">
        <f>IF(INDEX(GRAFO!$L$2:'GRAFO'!$L$41,MATCH(I59,GRAFO!$L$2:'GRAFO'!$L$41,0),1)&lt;&gt;0,1,0)</f>
        <v>1</v>
      </c>
      <c r="M59" s="3">
        <f t="shared" si="7"/>
        <v>1</v>
      </c>
      <c r="O59" s="10" t="str">
        <f t="shared" si="2"/>
        <v>presidente_da_republica-c2rm:responsible_for-objetivos_politicos</v>
      </c>
      <c r="P59" s="10"/>
      <c r="Q59" s="10"/>
      <c r="R59" s="10"/>
      <c r="S59" s="10"/>
      <c r="T59" s="10">
        <f>IF(INDEX(GRAFO!$M$2:'GRAFO'!$M$41,MATCH(O59,GRAFO!$M$2:'GRAFO'!$M$41,0),1)&lt;&gt;0,1,0)</f>
        <v>1</v>
      </c>
      <c r="U59" s="10">
        <f t="shared" si="8"/>
        <v>1</v>
      </c>
    </row>
    <row r="60" spans="1:21">
      <c r="C60" s="9" t="e">
        <f t="shared" si="9"/>
        <v>#N/A</v>
      </c>
      <c r="D60" s="10" t="str">
        <f t="shared" si="3"/>
        <v>objetivos_politicos</v>
      </c>
      <c r="E60" s="10" t="str">
        <f t="shared" si="4"/>
        <v>rdf:Bag</v>
      </c>
      <c r="F60" s="10" t="str">
        <f t="shared" si="5"/>
        <v>objetivos_estrategicos</v>
      </c>
      <c r="G60" s="3" t="str">
        <f t="shared" si="6"/>
        <v>NOK</v>
      </c>
      <c r="I60" s="10" t="str">
        <f t="shared" si="1"/>
        <v>objetivos_politicos-objetivos_estrategicos</v>
      </c>
      <c r="J60" s="10"/>
      <c r="K60" s="10"/>
      <c r="L60" s="3" t="e">
        <f>IF(INDEX(GRAFO!$L$2:'GRAFO'!$L$41,MATCH(I60,GRAFO!$L$2:'GRAFO'!$L$41,0),1)&lt;&gt;0,1,0)</f>
        <v>#N/A</v>
      </c>
      <c r="M60" s="3">
        <f t="shared" si="7"/>
        <v>0</v>
      </c>
      <c r="O60" s="10" t="str">
        <f t="shared" si="2"/>
        <v>objetivos_politicos-rdf:Bag-objetivos_estrategicos</v>
      </c>
      <c r="P60" s="10"/>
      <c r="Q60" s="10"/>
      <c r="R60" s="10"/>
      <c r="S60" s="10"/>
      <c r="T60" s="10" t="e">
        <f>IF(INDEX(GRAFO!$M$2:'GRAFO'!$M$41,MATCH(O60,GRAFO!$M$2:'GRAFO'!$M$41,0),1)&lt;&gt;0,1,0)</f>
        <v>#N/A</v>
      </c>
      <c r="U60" s="10">
        <f t="shared" si="8"/>
        <v>0</v>
      </c>
    </row>
    <row r="61" spans="1:21">
      <c r="C61" s="9" t="str">
        <f t="shared" si="9"/>
        <v>OK</v>
      </c>
      <c r="D61" s="10" t="str">
        <f t="shared" si="3"/>
        <v>objetivo_estrategico</v>
      </c>
      <c r="E61" s="10" t="str">
        <f t="shared" si="4"/>
        <v>rdf:Bag</v>
      </c>
      <c r="F61" s="10" t="str">
        <f t="shared" si="5"/>
        <v>objetivos_estrategicos</v>
      </c>
      <c r="G61" s="3" t="str">
        <f t="shared" si="6"/>
        <v>NOK</v>
      </c>
      <c r="I61" s="10" t="str">
        <f t="shared" si="1"/>
        <v>objetivo_estrategico-objetivos_estrategicos</v>
      </c>
      <c r="J61" s="10"/>
      <c r="K61" s="10"/>
      <c r="L61" s="3" t="e">
        <f>IF(INDEX(GRAFO!$L$2:'GRAFO'!$L$41,MATCH(I61,GRAFO!$L$2:'GRAFO'!$L$41,0),1)&lt;&gt;0,1,0)</f>
        <v>#N/A</v>
      </c>
      <c r="M61" s="3">
        <f t="shared" si="7"/>
        <v>0</v>
      </c>
      <c r="O61" s="10" t="str">
        <f t="shared" si="2"/>
        <v>objetivo_estrategico-rdf:Bag-objetivos_estrategicos</v>
      </c>
      <c r="P61" s="10"/>
      <c r="Q61" s="10"/>
      <c r="R61" s="10"/>
      <c r="S61" s="10"/>
      <c r="T61" s="10" t="e">
        <f>IF(INDEX(GRAFO!$M$2:'GRAFO'!$M$41,MATCH(O61,GRAFO!$M$2:'GRAFO'!$M$41,0),1)&lt;&gt;0,1,0)</f>
        <v>#N/A</v>
      </c>
      <c r="U61" s="10">
        <f t="shared" si="8"/>
        <v>0</v>
      </c>
    </row>
    <row r="62" spans="1:21">
      <c r="C62" s="9" t="str">
        <f t="shared" si="9"/>
        <v>OK</v>
      </c>
      <c r="D62" s="10" t="str">
        <f t="shared" si="3"/>
        <v>objetivo_tatico</v>
      </c>
      <c r="E62" s="10" t="str">
        <f t="shared" si="4"/>
        <v>rdf:Bag</v>
      </c>
      <c r="F62" s="10" t="str">
        <f t="shared" si="5"/>
        <v>objetivos_estrategicos</v>
      </c>
      <c r="G62" s="3" t="str">
        <f t="shared" si="6"/>
        <v>NOK</v>
      </c>
      <c r="I62" s="10" t="str">
        <f t="shared" si="1"/>
        <v>objetivo_tatico-objetivos_estrategicos</v>
      </c>
      <c r="J62" s="10"/>
      <c r="K62" s="10"/>
      <c r="L62" s="3" t="e">
        <f>IF(INDEX(GRAFO!$L$2:'GRAFO'!$L$41,MATCH(I62,GRAFO!$L$2:'GRAFO'!$L$41,0),1)&lt;&gt;0,1,0)</f>
        <v>#N/A</v>
      </c>
      <c r="M62" s="3">
        <f t="shared" si="7"/>
        <v>0</v>
      </c>
      <c r="O62" s="10" t="str">
        <f t="shared" si="2"/>
        <v>objetivo_tatico-rdf:Bag-objetivos_estrategicos</v>
      </c>
      <c r="P62" s="10"/>
      <c r="Q62" s="10"/>
      <c r="R62" s="10"/>
      <c r="S62" s="10"/>
      <c r="T62" s="10" t="e">
        <f>IF(INDEX(GRAFO!$M$2:'GRAFO'!$M$41,MATCH(O62,GRAFO!$M$2:'GRAFO'!$M$41,0),1)&lt;&gt;0,1,0)</f>
        <v>#N/A</v>
      </c>
      <c r="U62" s="10">
        <f t="shared" si="8"/>
        <v>0</v>
      </c>
    </row>
    <row r="63" spans="1:21">
      <c r="C63" s="9" t="e">
        <f t="shared" si="9"/>
        <v>#N/A</v>
      </c>
      <c r="D63" s="10" t="str">
        <f t="shared" si="3"/>
        <v>forca_componente</v>
      </c>
      <c r="E63" s="10" t="str">
        <f t="shared" si="4"/>
        <v>c2rm:responsible_for</v>
      </c>
      <c r="F63" s="10" t="str">
        <f t="shared" si="5"/>
        <v>ordem_das_operacoes</v>
      </c>
      <c r="G63" s="3" t="str">
        <f t="shared" si="6"/>
        <v>NOK</v>
      </c>
      <c r="I63" s="10" t="str">
        <f t="shared" si="1"/>
        <v>forca_componente-ordem_das_operacoes</v>
      </c>
      <c r="J63" s="10"/>
      <c r="K63" s="10"/>
      <c r="L63" s="3" t="e">
        <f>IF(INDEX(GRAFO!$L$2:'GRAFO'!$L$41,MATCH(I63,GRAFO!$L$2:'GRAFO'!$L$41,0),1)&lt;&gt;0,1,0)</f>
        <v>#N/A</v>
      </c>
      <c r="M63" s="3">
        <f t="shared" si="7"/>
        <v>0</v>
      </c>
      <c r="O63" s="10" t="str">
        <f t="shared" si="2"/>
        <v>forca_componente-c2rm:responsible_for-ordem_das_operacoes</v>
      </c>
      <c r="P63" s="10"/>
      <c r="Q63" s="10"/>
      <c r="R63" s="10"/>
      <c r="S63" s="10"/>
      <c r="T63" s="10" t="e">
        <f>IF(INDEX(GRAFO!$M$2:'GRAFO'!$M$41,MATCH(O63,GRAFO!$M$2:'GRAFO'!$M$41,0),1)&lt;&gt;0,1,0)</f>
        <v>#N/A</v>
      </c>
      <c r="U63" s="10">
        <f t="shared" si="8"/>
        <v>0</v>
      </c>
    </row>
    <row r="64" spans="1:21">
      <c r="D64" s="10"/>
      <c r="E64" s="10"/>
      <c r="F64" s="10"/>
      <c r="G64" s="3"/>
      <c r="I64" s="10"/>
      <c r="J64" s="10"/>
      <c r="K64" s="10"/>
      <c r="L64" s="3"/>
      <c r="M64" s="3"/>
      <c r="O64" s="10"/>
      <c r="P64" s="10"/>
      <c r="Q64" s="10"/>
      <c r="R64" s="10"/>
      <c r="S64" s="10"/>
      <c r="T64" s="10"/>
      <c r="U64" s="10"/>
    </row>
    <row r="65" spans="4:21">
      <c r="D65" s="10"/>
      <c r="E65" s="10"/>
      <c r="F65" s="10"/>
      <c r="G65" s="3"/>
      <c r="I65" s="10"/>
      <c r="J65" s="10"/>
      <c r="K65" s="10"/>
      <c r="L65" s="3"/>
      <c r="M65" s="3"/>
      <c r="O65" s="10"/>
      <c r="P65" s="10"/>
      <c r="Q65" s="10"/>
      <c r="R65" s="10"/>
      <c r="S65" s="10"/>
      <c r="T65" s="10"/>
      <c r="U65" s="10"/>
    </row>
    <row r="66" spans="4:21">
      <c r="D66" s="10"/>
      <c r="E66" s="10"/>
      <c r="F66" s="10"/>
      <c r="G66" s="3"/>
      <c r="I66" s="10"/>
      <c r="J66" s="10"/>
      <c r="K66" s="10"/>
      <c r="L66" s="3"/>
      <c r="M66" s="3"/>
      <c r="O66" s="10"/>
      <c r="P66" s="10"/>
      <c r="Q66" s="10"/>
      <c r="R66" s="10"/>
      <c r="S66" s="10"/>
      <c r="T66" s="10"/>
      <c r="U66" s="10"/>
    </row>
    <row r="67" spans="4:21">
      <c r="D67" s="10"/>
      <c r="E67" s="10"/>
      <c r="F67" s="10"/>
      <c r="G67" s="3"/>
      <c r="I67" s="10"/>
      <c r="J67" s="10"/>
      <c r="K67" s="10"/>
      <c r="L67" s="3"/>
      <c r="M67" s="3"/>
      <c r="O67" s="10"/>
      <c r="P67" s="10"/>
      <c r="Q67" s="10"/>
      <c r="R67" s="10"/>
      <c r="S67" s="10"/>
      <c r="T67" s="10"/>
      <c r="U67" s="10"/>
    </row>
    <row r="68" spans="4:21">
      <c r="D68" s="10"/>
      <c r="E68" s="10"/>
      <c r="F68" s="10"/>
      <c r="G68" s="3"/>
      <c r="I68" s="10"/>
      <c r="J68" s="10"/>
      <c r="K68" s="10"/>
      <c r="L68" s="3"/>
      <c r="M68" s="3"/>
      <c r="O68" s="10"/>
      <c r="P68" s="10"/>
      <c r="Q68" s="10"/>
      <c r="R68" s="10"/>
      <c r="S68" s="10"/>
      <c r="T68" s="10"/>
      <c r="U68" s="10"/>
    </row>
    <row r="69" spans="4:21">
      <c r="D69" s="10"/>
      <c r="E69" s="10"/>
      <c r="F69" s="10"/>
      <c r="G69" s="3"/>
      <c r="I69" s="10"/>
      <c r="J69" s="10"/>
      <c r="K69" s="10"/>
      <c r="L69" s="3"/>
      <c r="M69" s="3"/>
      <c r="O69" s="10"/>
      <c r="P69" s="10"/>
      <c r="Q69" s="10"/>
      <c r="R69" s="10"/>
      <c r="S69" s="10"/>
      <c r="T69" s="10"/>
      <c r="U69" s="10"/>
    </row>
    <row r="70" spans="4:21">
      <c r="D70" s="10"/>
      <c r="E70" s="10"/>
      <c r="F70" s="10"/>
      <c r="G70" s="3"/>
      <c r="I70" s="10"/>
      <c r="J70" s="10"/>
      <c r="K70" s="10"/>
      <c r="L70" s="3"/>
      <c r="M70" s="3"/>
      <c r="O70" s="10"/>
      <c r="P70" s="10"/>
      <c r="Q70" s="10"/>
      <c r="R70" s="10"/>
      <c r="S70" s="10"/>
      <c r="T70" s="10"/>
      <c r="U70" s="10"/>
    </row>
    <row r="71" spans="4:21">
      <c r="D71" s="10"/>
      <c r="E71" s="10"/>
      <c r="F71" s="10"/>
      <c r="G71" s="3"/>
      <c r="I71" s="10"/>
      <c r="J71" s="10"/>
      <c r="K71" s="10"/>
      <c r="L71" s="3"/>
      <c r="M71" s="3"/>
      <c r="O71" s="10"/>
      <c r="P71" s="10"/>
      <c r="Q71" s="10"/>
      <c r="R71" s="10"/>
      <c r="S71" s="10"/>
      <c r="T71" s="10"/>
      <c r="U71" s="10"/>
    </row>
    <row r="72" spans="4:21">
      <c r="D72" s="10"/>
      <c r="E72" s="10"/>
      <c r="F72" s="10"/>
      <c r="G72" s="3"/>
      <c r="I72" s="10"/>
      <c r="J72" s="10"/>
      <c r="K72" s="10"/>
      <c r="L72" s="3"/>
      <c r="M72" s="3"/>
      <c r="O72" s="10"/>
      <c r="P72" s="10"/>
      <c r="Q72" s="10"/>
      <c r="R72" s="10"/>
      <c r="S72" s="10"/>
      <c r="T72" s="10"/>
      <c r="U72" s="10"/>
    </row>
    <row r="73" spans="4:21">
      <c r="D73" s="10"/>
      <c r="E73" s="10"/>
      <c r="F73" s="10"/>
      <c r="G73" s="3"/>
      <c r="I73" s="10"/>
      <c r="J73" s="10"/>
      <c r="K73" s="10"/>
      <c r="L73" s="3"/>
      <c r="M73" s="3"/>
      <c r="O73" s="10"/>
      <c r="P73" s="10"/>
      <c r="Q73" s="10"/>
      <c r="R73" s="10"/>
      <c r="S73" s="10"/>
      <c r="T73" s="10"/>
      <c r="U73" s="10"/>
    </row>
  </sheetData>
  <mergeCells count="10">
    <mergeCell ref="I39:K39"/>
    <mergeCell ref="L39:M39"/>
    <mergeCell ref="O39:S39"/>
    <mergeCell ref="T39:U39"/>
    <mergeCell ref="A1:B1"/>
    <mergeCell ref="D1:F1"/>
    <mergeCell ref="K4:K5"/>
    <mergeCell ref="D38:G38"/>
    <mergeCell ref="I38:M38"/>
    <mergeCell ref="O38:U38"/>
  </mergeCells>
  <dataValidations count="8">
    <dataValidation type="list" allowBlank="1" showInputMessage="1" showErrorMessage="1" sqref="F38:G38">
      <formula1>$A$3:$A$27</formula1>
    </dataValidation>
    <dataValidation type="list" allowBlank="1" showInputMessage="1" showErrorMessage="1" sqref="B3:C37">
      <formula1>$Y$3:$Y$39</formula1>
    </dataValidation>
    <dataValidation type="list" allowBlank="1" showInputMessage="1" showErrorMessage="1" sqref="H3:H44 G3:G37">
      <formula1>$A$3:$A$22</formula1>
    </dataValidation>
    <dataValidation type="list" allowBlank="1" showInputMessage="1" showErrorMessage="1" sqref="B40:B56">
      <formula1>$AE$2:$AE$12</formula1>
    </dataValidation>
    <dataValidation type="list" allowBlank="1" showInputMessage="1" showErrorMessage="1" sqref="F37 D37">
      <formula1>$A$3:$A$28</formula1>
    </dataValidation>
    <dataValidation type="list" allowBlank="1" showInputMessage="1" showErrorMessage="1" sqref="E37">
      <formula1>$A$40:$A$48</formula1>
    </dataValidation>
    <dataValidation type="list" allowBlank="1" showInputMessage="1" showErrorMessage="1" sqref="F3:F36 D3:D36">
      <formula1>$A$3:$A$24</formula1>
    </dataValidation>
    <dataValidation type="list" allowBlank="1" showInputMessage="1" showErrorMessage="1" sqref="E3:E36">
      <formula1>$A$40:$A$55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E73"/>
  <sheetViews>
    <sheetView topLeftCell="M1" workbookViewId="0">
      <selection activeCell="X4" sqref="X4:X7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9" t="s">
        <v>184</v>
      </c>
      <c r="AD2" s="9" t="s">
        <v>195</v>
      </c>
      <c r="AE2" s="9" t="s">
        <v>35</v>
      </c>
    </row>
    <row r="3" spans="1:31" ht="16.75">
      <c r="A3" s="46" t="s">
        <v>355</v>
      </c>
      <c r="B3" s="10" t="s">
        <v>9</v>
      </c>
      <c r="D3" s="10" t="s">
        <v>8</v>
      </c>
      <c r="E3" s="10" t="s">
        <v>101</v>
      </c>
      <c r="F3" s="10" t="s">
        <v>355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s="16" t="s">
        <v>33</v>
      </c>
      <c r="AC3" s="9" t="s">
        <v>185</v>
      </c>
      <c r="AD3" s="9" t="s">
        <v>196</v>
      </c>
      <c r="AE3" s="9" t="s">
        <v>4</v>
      </c>
    </row>
    <row r="4" spans="1:31" ht="16.75">
      <c r="A4" s="46" t="s">
        <v>8</v>
      </c>
      <c r="B4" s="10" t="s">
        <v>8</v>
      </c>
      <c r="D4" s="10" t="s">
        <v>10</v>
      </c>
      <c r="E4" s="10" t="s">
        <v>101</v>
      </c>
      <c r="F4" s="10" t="s">
        <v>355</v>
      </c>
      <c r="K4" s="85" t="s">
        <v>80</v>
      </c>
      <c r="L4" s="8" t="s">
        <v>0</v>
      </c>
      <c r="M4" s="4">
        <f>GRAFO!J2</f>
        <v>29</v>
      </c>
      <c r="N4" s="11">
        <f>COUNTA(A3:A20)</f>
        <v>18</v>
      </c>
      <c r="O4" s="11">
        <f>COUNTIF(B3:B20,"&lt;&gt;"&amp;"")</f>
        <v>13</v>
      </c>
      <c r="P4" s="2">
        <f>N4-R4</f>
        <v>13</v>
      </c>
      <c r="Q4" s="2">
        <f>M4-O4</f>
        <v>16</v>
      </c>
      <c r="R4" s="2">
        <f>N4-O4</f>
        <v>5</v>
      </c>
      <c r="S4" s="2">
        <f>O4+P4</f>
        <v>26</v>
      </c>
      <c r="T4" s="2">
        <f>Q4+R4</f>
        <v>21</v>
      </c>
      <c r="U4" s="6">
        <f>O4/(O4+R4)</f>
        <v>0.72222222222222221</v>
      </c>
      <c r="V4" s="6">
        <f>O4/(O4+Q4)</f>
        <v>0.44827586206896552</v>
      </c>
      <c r="W4" s="6">
        <f>(O4+P4)/(O4+P4+Q4+R4)</f>
        <v>0.55319148936170215</v>
      </c>
      <c r="X4" s="62">
        <f>AVERAGE(U4:W4)</f>
        <v>0.57456319121763</v>
      </c>
      <c r="Y4" s="16" t="s">
        <v>21</v>
      </c>
      <c r="AC4" s="9" t="s">
        <v>186</v>
      </c>
      <c r="AD4" s="9" t="s">
        <v>197</v>
      </c>
      <c r="AE4" s="9" t="s">
        <v>205</v>
      </c>
    </row>
    <row r="5" spans="1:31" ht="16.75">
      <c r="A5" s="46" t="s">
        <v>10</v>
      </c>
      <c r="B5" s="10" t="s">
        <v>10</v>
      </c>
      <c r="D5" s="10" t="s">
        <v>12</v>
      </c>
      <c r="E5" s="10" t="s">
        <v>101</v>
      </c>
      <c r="F5" s="10" t="s">
        <v>355</v>
      </c>
      <c r="K5" s="85"/>
      <c r="L5" s="8" t="s">
        <v>100</v>
      </c>
      <c r="M5" s="5">
        <f>GRAFO!J3</f>
        <v>41</v>
      </c>
      <c r="N5" s="12">
        <f>COUNTA(D40:D57)</f>
        <v>18</v>
      </c>
      <c r="O5" s="12">
        <f>COUNTIF(M40:M57,"=1")</f>
        <v>9</v>
      </c>
      <c r="P5" s="2">
        <f>N5-R5</f>
        <v>9</v>
      </c>
      <c r="Q5" s="2">
        <f>M5-O5</f>
        <v>32</v>
      </c>
      <c r="R5" s="2">
        <f>N5-O5</f>
        <v>9</v>
      </c>
      <c r="S5" s="2">
        <f>O5+P5</f>
        <v>18</v>
      </c>
      <c r="T5" s="2">
        <f>Q5+R5</f>
        <v>41</v>
      </c>
      <c r="U5" s="6">
        <f>O5/(O5+R5)</f>
        <v>0.5</v>
      </c>
      <c r="V5" s="6">
        <f>O5/(O5+Q5)</f>
        <v>0.21951219512195122</v>
      </c>
      <c r="W5" s="6">
        <f>(O5+P5)/(O5+P5+Q5+R5)</f>
        <v>0.30508474576271188</v>
      </c>
      <c r="X5" s="62">
        <f t="shared" ref="X5:X6" si="0">AVERAGE(U5:W5)</f>
        <v>0.34153231362822106</v>
      </c>
      <c r="Y5" s="16" t="s">
        <v>17</v>
      </c>
      <c r="AC5" s="9" t="s">
        <v>187</v>
      </c>
      <c r="AD5" s="9" t="s">
        <v>198</v>
      </c>
      <c r="AE5" s="9" t="s">
        <v>3</v>
      </c>
    </row>
    <row r="6" spans="1:31" ht="16.75">
      <c r="A6" s="46" t="s">
        <v>12</v>
      </c>
      <c r="B6" s="10" t="s">
        <v>12</v>
      </c>
      <c r="D6" s="10" t="s">
        <v>11</v>
      </c>
      <c r="E6" s="10" t="s">
        <v>101</v>
      </c>
      <c r="F6" s="10" t="s">
        <v>355</v>
      </c>
      <c r="L6" s="8" t="s">
        <v>99</v>
      </c>
      <c r="M6" s="5">
        <v>41</v>
      </c>
      <c r="N6" s="12">
        <f>COUNTA(D40:D57)</f>
        <v>18</v>
      </c>
      <c r="O6" s="12">
        <f>COUNTIF(U40:U57,"=1")</f>
        <v>9</v>
      </c>
      <c r="P6" s="2">
        <f>N6-R6</f>
        <v>9</v>
      </c>
      <c r="Q6" s="2">
        <f>M6-O6</f>
        <v>32</v>
      </c>
      <c r="R6" s="2">
        <f>N6-O6</f>
        <v>9</v>
      </c>
      <c r="S6" s="2">
        <f>O6+P6</f>
        <v>18</v>
      </c>
      <c r="T6" s="2">
        <f>Q6+R6</f>
        <v>41</v>
      </c>
      <c r="U6" s="6">
        <f>O6/(O6+R6)</f>
        <v>0.5</v>
      </c>
      <c r="V6" s="6">
        <f>O6/(O6+Q6)</f>
        <v>0.21951219512195122</v>
      </c>
      <c r="W6" s="6">
        <f>(O6+P6)/(O6+P6+Q6+R6)</f>
        <v>0.30508474576271188</v>
      </c>
      <c r="X6" s="62">
        <f t="shared" si="0"/>
        <v>0.34153231362822106</v>
      </c>
      <c r="Y6" s="16" t="s">
        <v>40</v>
      </c>
      <c r="AC6" s="9" t="s">
        <v>188</v>
      </c>
      <c r="AD6" s="9" t="s">
        <v>199</v>
      </c>
      <c r="AE6" s="9" t="s">
        <v>6</v>
      </c>
    </row>
    <row r="7" spans="1:31" ht="16.75">
      <c r="A7" s="46" t="s">
        <v>11</v>
      </c>
      <c r="B7" s="10" t="s">
        <v>11</v>
      </c>
      <c r="D7" s="10" t="s">
        <v>55</v>
      </c>
      <c r="E7" s="10" t="s">
        <v>101</v>
      </c>
      <c r="F7" s="10" t="s">
        <v>54</v>
      </c>
      <c r="X7" s="62">
        <f>AVERAGE(X4:X6)</f>
        <v>0.41920927282469073</v>
      </c>
      <c r="Y7" s="16" t="s">
        <v>13</v>
      </c>
      <c r="AC7" s="9" t="s">
        <v>189</v>
      </c>
      <c r="AD7" s="9" t="s">
        <v>200</v>
      </c>
      <c r="AE7" s="9" t="s">
        <v>206</v>
      </c>
    </row>
    <row r="8" spans="1:31" ht="16.75">
      <c r="A8" s="46" t="s">
        <v>233</v>
      </c>
      <c r="B8" s="10" t="s">
        <v>40</v>
      </c>
      <c r="D8" s="10" t="s">
        <v>57</v>
      </c>
      <c r="E8" s="10" t="s">
        <v>101</v>
      </c>
      <c r="F8" s="10" t="s">
        <v>54</v>
      </c>
      <c r="Y8" s="16" t="s">
        <v>39</v>
      </c>
      <c r="AC8" s="9" t="s">
        <v>190</v>
      </c>
      <c r="AD8" s="9" t="s">
        <v>148</v>
      </c>
      <c r="AE8" s="9" t="s">
        <v>36</v>
      </c>
    </row>
    <row r="9" spans="1:31" ht="16.75">
      <c r="A9" s="46" t="s">
        <v>53</v>
      </c>
      <c r="B9" s="10"/>
      <c r="D9" s="10" t="s">
        <v>56</v>
      </c>
      <c r="E9" s="10" t="s">
        <v>101</v>
      </c>
      <c r="F9" s="10" t="s">
        <v>54</v>
      </c>
      <c r="K9" t="s">
        <v>74</v>
      </c>
      <c r="L9" t="s">
        <v>75</v>
      </c>
      <c r="N9">
        <f>GRAFO!J2</f>
        <v>29</v>
      </c>
      <c r="Y9" s="16" t="s">
        <v>19</v>
      </c>
      <c r="AC9" s="9" t="s">
        <v>191</v>
      </c>
      <c r="AD9" s="9" t="s">
        <v>201</v>
      </c>
      <c r="AE9" s="9" t="s">
        <v>7</v>
      </c>
    </row>
    <row r="10" spans="1:31" ht="16.75">
      <c r="A10" s="46" t="s">
        <v>123</v>
      </c>
      <c r="B10" s="10"/>
      <c r="D10" s="10" t="s">
        <v>355</v>
      </c>
      <c r="E10" s="10" t="s">
        <v>356</v>
      </c>
      <c r="F10" s="10" t="s">
        <v>22</v>
      </c>
      <c r="K10" t="s">
        <v>80</v>
      </c>
      <c r="L10" t="s">
        <v>76</v>
      </c>
      <c r="N10">
        <f>N4</f>
        <v>18</v>
      </c>
      <c r="Y10" s="16" t="s">
        <v>37</v>
      </c>
      <c r="AC10" s="9" t="s">
        <v>192</v>
      </c>
      <c r="AD10" s="9" t="s">
        <v>202</v>
      </c>
      <c r="AE10" s="9" t="s">
        <v>207</v>
      </c>
    </row>
    <row r="11" spans="1:31" ht="16.75">
      <c r="A11" s="46" t="s">
        <v>124</v>
      </c>
      <c r="B11" s="10"/>
      <c r="D11" s="10" t="s">
        <v>58</v>
      </c>
      <c r="E11" s="10" t="s">
        <v>242</v>
      </c>
      <c r="F11" s="10" t="s">
        <v>22</v>
      </c>
      <c r="K11" t="s">
        <v>68</v>
      </c>
      <c r="L11" t="s">
        <v>77</v>
      </c>
      <c r="N11">
        <v>16</v>
      </c>
      <c r="Y11" s="16" t="s">
        <v>10</v>
      </c>
      <c r="AC11" s="9" t="s">
        <v>193</v>
      </c>
      <c r="AD11" s="9" t="s">
        <v>203</v>
      </c>
      <c r="AE11" s="9" t="s">
        <v>208</v>
      </c>
    </row>
    <row r="12" spans="1:31" ht="16.75">
      <c r="A12" s="46" t="s">
        <v>22</v>
      </c>
      <c r="B12" s="10" t="s">
        <v>22</v>
      </c>
      <c r="D12" s="10" t="s">
        <v>58</v>
      </c>
      <c r="E12" s="10" t="s">
        <v>243</v>
      </c>
      <c r="F12" s="10" t="s">
        <v>59</v>
      </c>
      <c r="K12" t="s">
        <v>70</v>
      </c>
      <c r="L12" t="s">
        <v>78</v>
      </c>
      <c r="M12" t="s">
        <v>86</v>
      </c>
      <c r="N12">
        <f>N9-N11</f>
        <v>13</v>
      </c>
      <c r="Y12" s="16" t="s">
        <v>14</v>
      </c>
      <c r="AC12" s="9" t="s">
        <v>194</v>
      </c>
      <c r="AD12" s="9" t="s">
        <v>204</v>
      </c>
      <c r="AE12" s="9" t="s">
        <v>5</v>
      </c>
    </row>
    <row r="13" spans="1:31" ht="16.75">
      <c r="A13" s="46" t="s">
        <v>58</v>
      </c>
      <c r="B13" s="10" t="s">
        <v>13</v>
      </c>
      <c r="D13" s="10" t="s">
        <v>22</v>
      </c>
      <c r="E13" s="10" t="s">
        <v>105</v>
      </c>
      <c r="F13" s="10" t="s">
        <v>54</v>
      </c>
      <c r="K13" t="s">
        <v>69</v>
      </c>
      <c r="L13" t="s">
        <v>79</v>
      </c>
      <c r="M13" t="s">
        <v>87</v>
      </c>
      <c r="Y13" s="16" t="s">
        <v>34</v>
      </c>
    </row>
    <row r="14" spans="1:31" ht="16.75">
      <c r="A14" s="46" t="s">
        <v>59</v>
      </c>
      <c r="B14" s="10"/>
      <c r="D14" s="10" t="s">
        <v>26</v>
      </c>
      <c r="E14" s="10" t="s">
        <v>215</v>
      </c>
      <c r="F14" s="10" t="s">
        <v>22</v>
      </c>
      <c r="K14" t="s">
        <v>83</v>
      </c>
      <c r="M14" t="s">
        <v>88</v>
      </c>
      <c r="Y14" s="16" t="s">
        <v>27</v>
      </c>
    </row>
    <row r="15" spans="1:31" ht="16.75">
      <c r="A15" s="46" t="s">
        <v>62</v>
      </c>
      <c r="B15" s="10"/>
      <c r="D15" s="10" t="s">
        <v>233</v>
      </c>
      <c r="E15" s="10" t="s">
        <v>142</v>
      </c>
      <c r="F15" s="10" t="s">
        <v>123</v>
      </c>
      <c r="K15" t="s">
        <v>89</v>
      </c>
      <c r="M15" t="s">
        <v>92</v>
      </c>
      <c r="Y15" s="16" t="s">
        <v>28</v>
      </c>
    </row>
    <row r="16" spans="1:31" ht="16.75">
      <c r="A16" s="46" t="s">
        <v>26</v>
      </c>
      <c r="B16" s="10" t="s">
        <v>28</v>
      </c>
      <c r="D16" s="10" t="s">
        <v>233</v>
      </c>
      <c r="E16" s="10" t="s">
        <v>240</v>
      </c>
      <c r="F16" s="10" t="s">
        <v>8</v>
      </c>
      <c r="K16" t="s">
        <v>90</v>
      </c>
      <c r="M16" t="s">
        <v>93</v>
      </c>
      <c r="Y16" s="16" t="s">
        <v>30</v>
      </c>
    </row>
    <row r="17" spans="1:25" ht="16.75">
      <c r="A17" s="46" t="s">
        <v>55</v>
      </c>
      <c r="B17" s="10" t="s">
        <v>32</v>
      </c>
      <c r="D17" s="10" t="s">
        <v>53</v>
      </c>
      <c r="E17" s="10" t="s">
        <v>240</v>
      </c>
      <c r="F17" s="10" t="s">
        <v>10</v>
      </c>
      <c r="K17" t="s">
        <v>91</v>
      </c>
      <c r="M17" t="s">
        <v>94</v>
      </c>
      <c r="Y17" s="16" t="s">
        <v>29</v>
      </c>
    </row>
    <row r="18" spans="1:25" ht="16.75">
      <c r="A18" s="46" t="s">
        <v>56</v>
      </c>
      <c r="B18" s="10" t="s">
        <v>34</v>
      </c>
      <c r="D18" s="10" t="s">
        <v>62</v>
      </c>
      <c r="E18" s="10" t="s">
        <v>240</v>
      </c>
      <c r="F18" s="10" t="s">
        <v>12</v>
      </c>
      <c r="K18" t="s">
        <v>84</v>
      </c>
      <c r="M18" t="s">
        <v>95</v>
      </c>
      <c r="Y18" s="16" t="s">
        <v>31</v>
      </c>
    </row>
    <row r="19" spans="1:25" ht="16.75">
      <c r="A19" s="46" t="s">
        <v>57</v>
      </c>
      <c r="B19" s="10" t="s">
        <v>33</v>
      </c>
      <c r="D19" s="10" t="s">
        <v>26</v>
      </c>
      <c r="E19" s="10" t="s">
        <v>280</v>
      </c>
      <c r="F19" s="10" t="s">
        <v>11</v>
      </c>
      <c r="K19" t="s">
        <v>85</v>
      </c>
      <c r="M19" t="s">
        <v>96</v>
      </c>
      <c r="Y19" s="16" t="s">
        <v>171</v>
      </c>
    </row>
    <row r="20" spans="1:25" ht="16.75">
      <c r="A20" s="46" t="s">
        <v>54</v>
      </c>
      <c r="B20" s="10" t="s">
        <v>31</v>
      </c>
      <c r="D20" s="10" t="s">
        <v>53</v>
      </c>
      <c r="E20" s="10" t="s">
        <v>142</v>
      </c>
      <c r="F20" s="10" t="s">
        <v>124</v>
      </c>
      <c r="K20" t="s">
        <v>97</v>
      </c>
      <c r="M20" t="s">
        <v>98</v>
      </c>
      <c r="Y20" s="16" t="s">
        <v>15</v>
      </c>
    </row>
    <row r="21" spans="1:25" ht="16.75">
      <c r="A21" s="46"/>
      <c r="B21" s="10"/>
      <c r="D21" s="10"/>
      <c r="E21" s="10"/>
      <c r="F21" s="10"/>
      <c r="Y21" s="16" t="s">
        <v>16</v>
      </c>
    </row>
    <row r="22" spans="1:25" ht="16.75">
      <c r="A22" s="46"/>
      <c r="B22" s="10"/>
      <c r="D22" s="10"/>
      <c r="E22" s="10"/>
      <c r="F22" s="10"/>
      <c r="Y22" s="16" t="s">
        <v>32</v>
      </c>
    </row>
    <row r="23" spans="1:25" ht="16.75">
      <c r="A23" s="46"/>
      <c r="B23" s="10"/>
      <c r="D23" s="10"/>
      <c r="E23" s="10"/>
      <c r="F23" s="10"/>
      <c r="Y23" s="16" t="s">
        <v>9</v>
      </c>
    </row>
    <row r="24" spans="1:25" ht="16.75">
      <c r="A24" s="46"/>
      <c r="B24" s="10"/>
      <c r="D24" s="10"/>
      <c r="E24" s="10"/>
      <c r="F24" s="10"/>
      <c r="Y24" s="16" t="s">
        <v>18</v>
      </c>
    </row>
    <row r="25" spans="1:25" ht="16.75">
      <c r="A25" s="46"/>
      <c r="B25" s="10"/>
      <c r="D25" s="10"/>
      <c r="E25" s="10"/>
      <c r="F25" s="10"/>
      <c r="Y25" s="16" t="s">
        <v>23</v>
      </c>
    </row>
    <row r="26" spans="1:25" ht="16.75">
      <c r="A26" s="46"/>
      <c r="B26" s="10"/>
      <c r="D26" s="10"/>
      <c r="E26" s="10"/>
      <c r="F26" s="10"/>
      <c r="Y26" s="16" t="s">
        <v>22</v>
      </c>
    </row>
    <row r="27" spans="1:25" ht="16.75">
      <c r="A27" s="10"/>
      <c r="B27" s="10"/>
      <c r="D27" s="10"/>
      <c r="E27" s="10"/>
      <c r="F27" s="10"/>
      <c r="Y27" s="16" t="s">
        <v>12</v>
      </c>
    </row>
    <row r="28" spans="1:25" ht="16.75">
      <c r="A28" s="10"/>
      <c r="B28" s="10"/>
      <c r="D28" s="10"/>
      <c r="E28" s="10"/>
      <c r="F28" s="10"/>
      <c r="Y28" s="16" t="s">
        <v>24</v>
      </c>
    </row>
    <row r="29" spans="1:25" ht="16.75">
      <c r="A29" s="46"/>
      <c r="B29" s="10"/>
      <c r="D29" s="10"/>
      <c r="E29" s="10"/>
      <c r="F29" s="10"/>
      <c r="Y29" s="16" t="s">
        <v>8</v>
      </c>
    </row>
    <row r="30" spans="1:25" ht="16.75">
      <c r="A30" s="10"/>
      <c r="B30" s="10"/>
      <c r="D30" s="10"/>
      <c r="E30" s="10"/>
      <c r="F30" s="10"/>
      <c r="Y30" s="16" t="s">
        <v>20</v>
      </c>
    </row>
    <row r="31" spans="1:25" ht="16.75">
      <c r="A31" s="10"/>
      <c r="B31" s="10"/>
      <c r="D31" s="10"/>
      <c r="E31" s="10"/>
      <c r="F31" s="10"/>
      <c r="Y31" s="16" t="s">
        <v>11</v>
      </c>
    </row>
    <row r="32" spans="1:25">
      <c r="A32" s="10"/>
      <c r="B32" s="10"/>
      <c r="D32" s="10"/>
      <c r="E32" s="10"/>
      <c r="F32" s="10"/>
    </row>
    <row r="33" spans="1:21">
      <c r="A33" s="10"/>
      <c r="B33" s="10"/>
      <c r="D33" s="10"/>
      <c r="E33" s="10"/>
      <c r="F33" s="10"/>
    </row>
    <row r="34" spans="1:21">
      <c r="A34" s="10"/>
      <c r="B34" s="10"/>
      <c r="D34" s="10"/>
      <c r="E34" s="10"/>
      <c r="F34" s="10"/>
    </row>
    <row r="35" spans="1:21">
      <c r="A35" s="10"/>
      <c r="B35" s="10"/>
      <c r="D35" s="10"/>
      <c r="E35" s="10"/>
      <c r="F35" s="10"/>
    </row>
    <row r="36" spans="1:21">
      <c r="A36" s="10"/>
      <c r="B36" s="10"/>
      <c r="D36" s="10"/>
      <c r="E36" s="10"/>
      <c r="F36" s="10"/>
    </row>
    <row r="37" spans="1:21">
      <c r="A37" s="10"/>
      <c r="B37" s="10"/>
    </row>
    <row r="38" spans="1:21">
      <c r="A38" s="30" t="s">
        <v>182</v>
      </c>
      <c r="B38" s="30"/>
      <c r="D38" s="104" t="s">
        <v>222</v>
      </c>
      <c r="E38" s="105"/>
      <c r="F38" s="105"/>
      <c r="G38" s="106"/>
      <c r="I38" s="98" t="s">
        <v>224</v>
      </c>
      <c r="J38" s="99"/>
      <c r="K38" s="99"/>
      <c r="L38" s="99"/>
      <c r="M38" s="100"/>
      <c r="O38" s="94" t="s">
        <v>229</v>
      </c>
      <c r="P38" s="94"/>
      <c r="Q38" s="94"/>
      <c r="R38" s="94"/>
      <c r="S38" s="94"/>
      <c r="T38" s="94"/>
      <c r="U38" s="94"/>
    </row>
    <row r="39" spans="1:21">
      <c r="A39" s="32" t="s">
        <v>251</v>
      </c>
      <c r="B39" s="33" t="s">
        <v>252</v>
      </c>
      <c r="D39" s="34" t="s">
        <v>220</v>
      </c>
      <c r="E39" s="34" t="s">
        <v>219</v>
      </c>
      <c r="F39" s="34" t="s">
        <v>221</v>
      </c>
      <c r="G39" s="34" t="s">
        <v>223</v>
      </c>
      <c r="I39" s="101" t="s">
        <v>225</v>
      </c>
      <c r="J39" s="102"/>
      <c r="K39" s="103"/>
      <c r="L39" s="101" t="s">
        <v>226</v>
      </c>
      <c r="M39" s="103"/>
      <c r="O39" s="95" t="s">
        <v>227</v>
      </c>
      <c r="P39" s="96"/>
      <c r="Q39" s="96"/>
      <c r="R39" s="96"/>
      <c r="S39" s="97"/>
      <c r="T39" s="95" t="s">
        <v>228</v>
      </c>
      <c r="U39" s="97"/>
    </row>
    <row r="40" spans="1:21">
      <c r="A40" s="46" t="s">
        <v>101</v>
      </c>
      <c r="B40" s="10" t="s">
        <v>3</v>
      </c>
      <c r="D40" s="10" t="str">
        <f>IF(INDEX($A$3:$B$20,MATCH(D3,$A$3:$A$20,0),2)&lt;&gt;0,INDEX($A$3:$B$20,MATCH(D3,$A$3:$A$20,0),2),D3)</f>
        <v>politico</v>
      </c>
      <c r="E40" s="10" t="str">
        <f>IF(INDEX($A$40:$B$49,MATCH(E3,$A$40:$A$49,0),2)&lt;&gt;0,INDEX($A$40:$B$49,MATCH(E3,$A$40:$A$49,0),2),E3)</f>
        <v>rdfs:subClassOf</v>
      </c>
      <c r="F40" s="10" t="str">
        <f>IF(INDEX($A$3:$B$20,MATCH(F3,$A$3:$A$20,0),2)&lt;&gt;0,INDEX($A$3:$B$20,MATCH(F3,$A$3:$A$20,0),2),F3)</f>
        <v>nivel</v>
      </c>
      <c r="G40" s="3" t="str">
        <f>IF(INDEX($A$3:$B$20,MATCH(F3,$A$3:$A$20,0),2)&lt;&gt;0,"OK","NOK")</f>
        <v>OK</v>
      </c>
      <c r="I40" s="10" t="str">
        <f t="shared" ref="I40:I57" si="1">D40 &amp;"-"&amp;F40</f>
        <v>politico-nivel</v>
      </c>
      <c r="J40" s="10"/>
      <c r="K40" s="10"/>
      <c r="L40" s="3">
        <f>IF(INDEX(GRAFO!$L$2:'GRAFO'!$L$41,MATCH(I40,GRAFO!$L$2:'GRAFO'!$L$41,0),1)&lt;&gt;0,1,0)</f>
        <v>1</v>
      </c>
      <c r="M40" s="3">
        <f>IFERROR(L40,0)</f>
        <v>1</v>
      </c>
      <c r="O40" s="10" t="str">
        <f t="shared" ref="O40:O57" si="2">D40 &amp; "-" &amp; E40 &amp; "-" &amp; F40</f>
        <v>politico-rdfs:subClassOf-nivel</v>
      </c>
      <c r="P40" s="10"/>
      <c r="Q40" s="10"/>
      <c r="R40" s="10"/>
      <c r="S40" s="10"/>
      <c r="T40" s="10">
        <f>IF(INDEX(GRAFO!$M$2:'GRAFO'!$M$41,MATCH(O40,GRAFO!$M$2:'GRAFO'!$M$41,0),1)&lt;&gt;0,1,0)</f>
        <v>1</v>
      </c>
      <c r="U40" s="10">
        <f>IFERROR(T40,0)</f>
        <v>1</v>
      </c>
    </row>
    <row r="41" spans="1:21">
      <c r="A41" s="46" t="s">
        <v>240</v>
      </c>
      <c r="B41" s="10" t="s">
        <v>4</v>
      </c>
      <c r="D41" s="10" t="str">
        <f t="shared" ref="D41:D57" si="3">IF(INDEX($A$3:$B$20,MATCH(D4,$A$3:$A$20,0),2)&lt;&gt;0,INDEX($A$3:$B$20,MATCH(D4,$A$3:$A$20,0),2),D4)</f>
        <v>estrategico</v>
      </c>
      <c r="E41" s="10" t="str">
        <f t="shared" ref="E41:E57" si="4">IF(INDEX($A$40:$B$49,MATCH(E4,$A$40:$A$49,0),2)&lt;&gt;0,INDEX($A$40:$B$49,MATCH(E4,$A$40:$A$49,0),2),E4)</f>
        <v>rdfs:subClassOf</v>
      </c>
      <c r="F41" s="10" t="str">
        <f t="shared" ref="F41:F57" si="5">IF(INDEX($A$3:$B$20,MATCH(F4,$A$3:$A$20,0),2)&lt;&gt;0,INDEX($A$3:$B$20,MATCH(F4,$A$3:$A$20,0),2),F4)</f>
        <v>nivel</v>
      </c>
      <c r="G41" s="3" t="str">
        <f t="shared" ref="G41:G57" si="6">IF(INDEX($A$3:$B$20,MATCH(F4,$A$3:$A$20,0),2)&lt;&gt;0,"OK","NOK")</f>
        <v>OK</v>
      </c>
      <c r="I41" s="10" t="str">
        <f t="shared" si="1"/>
        <v>estrategico-nivel</v>
      </c>
      <c r="J41" s="10"/>
      <c r="K41" s="10"/>
      <c r="L41" s="3">
        <f>IF(INDEX(GRAFO!$L$2:'GRAFO'!$L$41,MATCH(I41,GRAFO!$L$2:'GRAFO'!$L$41,0),1)&lt;&gt;0,1,0)</f>
        <v>1</v>
      </c>
      <c r="M41" s="3">
        <f t="shared" ref="M41:M57" si="7">IFERROR(L41,0)</f>
        <v>1</v>
      </c>
      <c r="O41" s="10" t="str">
        <f t="shared" si="2"/>
        <v>estrategico-rdfs:subClassOf-nivel</v>
      </c>
      <c r="P41" s="10"/>
      <c r="Q41" s="10"/>
      <c r="R41" s="10"/>
      <c r="S41" s="10"/>
      <c r="T41" s="10">
        <f>IF(INDEX(GRAFO!$M$2:'GRAFO'!$M$41,MATCH(O41,GRAFO!$M$2:'GRAFO'!$M$41,0),1)&lt;&gt;0,1,0)</f>
        <v>1</v>
      </c>
      <c r="U41" s="10">
        <f t="shared" ref="U41:U57" si="8">IFERROR(T41,0)</f>
        <v>1</v>
      </c>
    </row>
    <row r="42" spans="1:21">
      <c r="A42" s="46" t="s">
        <v>109</v>
      </c>
      <c r="B42" s="10" t="s">
        <v>4</v>
      </c>
      <c r="D42" s="10" t="str">
        <f t="shared" si="3"/>
        <v>operacional</v>
      </c>
      <c r="E42" s="10" t="str">
        <f t="shared" si="4"/>
        <v>rdfs:subClassOf</v>
      </c>
      <c r="F42" s="10" t="str">
        <f t="shared" si="5"/>
        <v>nivel</v>
      </c>
      <c r="G42" s="3" t="str">
        <f t="shared" si="6"/>
        <v>OK</v>
      </c>
      <c r="I42" s="10" t="str">
        <f t="shared" si="1"/>
        <v>operacional-nivel</v>
      </c>
      <c r="J42" s="10"/>
      <c r="K42" s="10"/>
      <c r="L42" s="3">
        <f>IF(INDEX(GRAFO!$L$2:'GRAFO'!$L$41,MATCH(I42,GRAFO!$L$2:'GRAFO'!$L$41,0),1)&lt;&gt;0,1,0)</f>
        <v>1</v>
      </c>
      <c r="M42" s="3">
        <f t="shared" si="7"/>
        <v>1</v>
      </c>
      <c r="O42" s="10" t="str">
        <f t="shared" si="2"/>
        <v>operacional-rdfs:subClassOf-nivel</v>
      </c>
      <c r="P42" s="10"/>
      <c r="Q42" s="10"/>
      <c r="R42" s="10"/>
      <c r="S42" s="10"/>
      <c r="T42" s="10">
        <f>IF(INDEX(GRAFO!$M$2:'GRAFO'!$M$41,MATCH(O42,GRAFO!$M$2:'GRAFO'!$M$41,0),1)&lt;&gt;0,1,0)</f>
        <v>1</v>
      </c>
      <c r="U42" s="10">
        <f t="shared" si="8"/>
        <v>1</v>
      </c>
    </row>
    <row r="43" spans="1:21">
      <c r="A43" s="46" t="s">
        <v>280</v>
      </c>
      <c r="B43" s="10" t="s">
        <v>7</v>
      </c>
      <c r="D43" s="10" t="str">
        <f t="shared" si="3"/>
        <v>tatico</v>
      </c>
      <c r="E43" s="10" t="str">
        <f t="shared" si="4"/>
        <v>rdfs:subClassOf</v>
      </c>
      <c r="F43" s="10" t="str">
        <f t="shared" si="5"/>
        <v>nivel</v>
      </c>
      <c r="G43" s="3" t="str">
        <f t="shared" si="6"/>
        <v>OK</v>
      </c>
      <c r="I43" s="10" t="str">
        <f t="shared" si="1"/>
        <v>tatico-nivel</v>
      </c>
      <c r="J43" s="10"/>
      <c r="K43" s="10"/>
      <c r="L43" s="3">
        <f>IF(INDEX(GRAFO!$L$2:'GRAFO'!$L$41,MATCH(I43,GRAFO!$L$2:'GRAFO'!$L$41,0),1)&lt;&gt;0,1,0)</f>
        <v>1</v>
      </c>
      <c r="M43" s="3">
        <f t="shared" si="7"/>
        <v>1</v>
      </c>
      <c r="O43" s="10" t="str">
        <f t="shared" si="2"/>
        <v>tatico-rdfs:subClassOf-nivel</v>
      </c>
      <c r="P43" s="10"/>
      <c r="Q43" s="10"/>
      <c r="R43" s="10"/>
      <c r="S43" s="10"/>
      <c r="T43" s="10">
        <f>IF(INDEX(GRAFO!$M$2:'GRAFO'!$M$41,MATCH(O43,GRAFO!$M$2:'GRAFO'!$M$41,0),1)&lt;&gt;0,1,0)</f>
        <v>1</v>
      </c>
      <c r="U43" s="10">
        <f t="shared" si="8"/>
        <v>1</v>
      </c>
    </row>
    <row r="44" spans="1:21">
      <c r="A44" s="46" t="s">
        <v>215</v>
      </c>
      <c r="B44" s="10" t="s">
        <v>7</v>
      </c>
      <c r="D44" s="10" t="str">
        <f t="shared" si="3"/>
        <v>marinha</v>
      </c>
      <c r="E44" s="10" t="str">
        <f t="shared" si="4"/>
        <v>rdfs:subClassOf</v>
      </c>
      <c r="F44" s="10" t="str">
        <f t="shared" si="5"/>
        <v>forcas_armadas</v>
      </c>
      <c r="G44" s="3" t="str">
        <f t="shared" si="6"/>
        <v>OK</v>
      </c>
      <c r="I44" s="10" t="str">
        <f t="shared" si="1"/>
        <v>marinha-forcas_armadas</v>
      </c>
      <c r="J44" s="10"/>
      <c r="K44" s="10"/>
      <c r="L44" s="3">
        <f>IF(INDEX(GRAFO!$L$2:'GRAFO'!$L$41,MATCH(I44,GRAFO!$L$2:'GRAFO'!$L$41,0),1)&lt;&gt;0,1,0)</f>
        <v>1</v>
      </c>
      <c r="M44" s="3">
        <f t="shared" si="7"/>
        <v>1</v>
      </c>
      <c r="O44" s="10" t="str">
        <f t="shared" si="2"/>
        <v>marinha-rdfs:subClassOf-forcas_armadas</v>
      </c>
      <c r="P44" s="10"/>
      <c r="Q44" s="10"/>
      <c r="R44" s="10"/>
      <c r="S44" s="10"/>
      <c r="T44" s="10">
        <f>IF(INDEX(GRAFO!$M$2:'GRAFO'!$M$41,MATCH(O44,GRAFO!$M$2:'GRAFO'!$M$41,0),1)&lt;&gt;0,1,0)</f>
        <v>1</v>
      </c>
      <c r="U44" s="10">
        <f t="shared" si="8"/>
        <v>1</v>
      </c>
    </row>
    <row r="45" spans="1:21">
      <c r="A45" s="46" t="s">
        <v>142</v>
      </c>
      <c r="B45" s="10" t="s">
        <v>7</v>
      </c>
      <c r="D45" s="10" t="str">
        <f t="shared" si="3"/>
        <v>aeronautica</v>
      </c>
      <c r="E45" s="10" t="str">
        <f t="shared" si="4"/>
        <v>rdfs:subClassOf</v>
      </c>
      <c r="F45" s="10" t="str">
        <f t="shared" si="5"/>
        <v>forcas_armadas</v>
      </c>
      <c r="G45" s="3" t="str">
        <f t="shared" si="6"/>
        <v>OK</v>
      </c>
      <c r="H45">
        <f>COUNTIFS(GRAFO!C2:C42,"=D34",GRAFO!E2:E42,"=F34")</f>
        <v>0</v>
      </c>
      <c r="I45" s="10" t="str">
        <f t="shared" si="1"/>
        <v>aeronautica-forcas_armadas</v>
      </c>
      <c r="J45" s="10"/>
      <c r="K45" s="10"/>
      <c r="L45" s="3">
        <f>IF(INDEX(GRAFO!$L$2:'GRAFO'!$L$41,MATCH(I45,GRAFO!$L$2:'GRAFO'!$L$41,0),1)&lt;&gt;0,1,0)</f>
        <v>1</v>
      </c>
      <c r="M45" s="3">
        <f t="shared" si="7"/>
        <v>1</v>
      </c>
      <c r="O45" s="10" t="str">
        <f t="shared" si="2"/>
        <v>aeronautica-rdfs:subClassOf-forcas_armadas</v>
      </c>
      <c r="P45" s="10"/>
      <c r="Q45" s="10"/>
      <c r="R45" s="10"/>
      <c r="S45" s="10"/>
      <c r="T45" s="10">
        <f>IF(INDEX(GRAFO!$M$2:'GRAFO'!$M$41,MATCH(O45,GRAFO!$M$2:'GRAFO'!$M$41,0),1)&lt;&gt;0,1,0)</f>
        <v>1</v>
      </c>
      <c r="U45" s="10">
        <f t="shared" si="8"/>
        <v>1</v>
      </c>
    </row>
    <row r="46" spans="1:21">
      <c r="A46" s="46" t="s">
        <v>105</v>
      </c>
      <c r="B46" s="10" t="s">
        <v>7</v>
      </c>
      <c r="D46" s="10" t="str">
        <f t="shared" si="3"/>
        <v>exercito</v>
      </c>
      <c r="E46" s="10" t="str">
        <f t="shared" si="4"/>
        <v>rdfs:subClassOf</v>
      </c>
      <c r="F46" s="10" t="str">
        <f t="shared" si="5"/>
        <v>forcas_armadas</v>
      </c>
      <c r="G46" s="3" t="str">
        <f t="shared" si="6"/>
        <v>OK</v>
      </c>
      <c r="I46" s="10" t="str">
        <f t="shared" si="1"/>
        <v>exercito-forcas_armadas</v>
      </c>
      <c r="J46" s="10"/>
      <c r="K46" s="10"/>
      <c r="L46" s="3">
        <f>IF(INDEX(GRAFO!$L$2:'GRAFO'!$L$41,MATCH(I46,GRAFO!$L$2:'GRAFO'!$L$41,0),1)&lt;&gt;0,1,0)</f>
        <v>1</v>
      </c>
      <c r="M46" s="3">
        <f t="shared" si="7"/>
        <v>1</v>
      </c>
      <c r="O46" s="10" t="str">
        <f t="shared" si="2"/>
        <v>exercito-rdfs:subClassOf-forcas_armadas</v>
      </c>
      <c r="P46" s="10"/>
      <c r="Q46" s="10"/>
      <c r="R46" s="10"/>
      <c r="S46" s="10"/>
      <c r="T46" s="10">
        <f>IF(INDEX(GRAFO!$M$2:'GRAFO'!$M$41,MATCH(O46,GRAFO!$M$2:'GRAFO'!$M$41,0),1)&lt;&gt;0,1,0)</f>
        <v>1</v>
      </c>
      <c r="U46" s="10">
        <f t="shared" si="8"/>
        <v>1</v>
      </c>
    </row>
    <row r="47" spans="1:21">
      <c r="A47" s="46" t="s">
        <v>356</v>
      </c>
      <c r="B47" s="10" t="s">
        <v>4</v>
      </c>
      <c r="C47" s="24"/>
      <c r="D47" s="10" t="str">
        <f t="shared" si="3"/>
        <v>nivel</v>
      </c>
      <c r="E47" s="10" t="str">
        <f t="shared" si="4"/>
        <v>rdfs:seeAlso</v>
      </c>
      <c r="F47" s="10" t="str">
        <f t="shared" si="5"/>
        <v>operacao_conjunta</v>
      </c>
      <c r="G47" s="3" t="str">
        <f t="shared" si="6"/>
        <v>OK</v>
      </c>
      <c r="I47" s="10" t="str">
        <f t="shared" si="1"/>
        <v>nivel-operacao_conjunta</v>
      </c>
      <c r="J47" s="10"/>
      <c r="K47" s="10"/>
      <c r="L47" s="3" t="e">
        <f>IF(INDEX(GRAFO!$L$2:'GRAFO'!$L$41,MATCH(I47,GRAFO!$L$2:'GRAFO'!$L$41,0),1)&lt;&gt;0,1,0)</f>
        <v>#N/A</v>
      </c>
      <c r="M47" s="3">
        <f t="shared" si="7"/>
        <v>0</v>
      </c>
      <c r="O47" s="10" t="str">
        <f t="shared" si="2"/>
        <v>nivel-rdfs:seeAlso-operacao_conjunta</v>
      </c>
      <c r="P47" s="10"/>
      <c r="Q47" s="10"/>
      <c r="R47" s="10"/>
      <c r="S47" s="10"/>
      <c r="T47" s="10" t="e">
        <f>IF(INDEX(GRAFO!$M$2:'GRAFO'!$M$41,MATCH(O47,GRAFO!$M$2:'GRAFO'!$M$41,0),1)&lt;&gt;0,1,0)</f>
        <v>#N/A</v>
      </c>
      <c r="U47" s="10">
        <f t="shared" si="8"/>
        <v>0</v>
      </c>
    </row>
    <row r="48" spans="1:21">
      <c r="A48" s="46" t="s">
        <v>242</v>
      </c>
      <c r="B48" s="10" t="s">
        <v>7</v>
      </c>
      <c r="C48" s="9" t="str">
        <f t="shared" ref="C48:C63" si="9">IF(INDEX($A$3:$B$18,MATCH(D3,$A$3:$A$17,0),2)&lt;&gt;0,"OK","NOK")</f>
        <v>OK</v>
      </c>
      <c r="D48" s="10" t="str">
        <f t="shared" si="3"/>
        <v>comandos_operacionais</v>
      </c>
      <c r="E48" s="10" t="str">
        <f t="shared" si="4"/>
        <v>c2rm:responsible_for</v>
      </c>
      <c r="F48" s="10" t="str">
        <f t="shared" si="5"/>
        <v>operacao_conjunta</v>
      </c>
      <c r="G48" s="3" t="str">
        <f t="shared" si="6"/>
        <v>OK</v>
      </c>
      <c r="I48" s="10" t="str">
        <f t="shared" si="1"/>
        <v>comandos_operacionais-operacao_conjunta</v>
      </c>
      <c r="J48" s="10"/>
      <c r="K48" s="10"/>
      <c r="L48" s="3" t="e">
        <f>IF(INDEX(GRAFO!$L$2:'GRAFO'!$L$41,MATCH(I48,GRAFO!$L$2:'GRAFO'!$L$41,0),1)&lt;&gt;0,1,0)</f>
        <v>#N/A</v>
      </c>
      <c r="M48" s="3">
        <f t="shared" si="7"/>
        <v>0</v>
      </c>
      <c r="O48" s="10" t="str">
        <f t="shared" si="2"/>
        <v>comandos_operacionais-c2rm:responsible_for-operacao_conjunta</v>
      </c>
      <c r="P48" s="10"/>
      <c r="Q48" s="10"/>
      <c r="R48" s="10"/>
      <c r="S48" s="10"/>
      <c r="T48" s="10" t="e">
        <f>IF(INDEX(GRAFO!$M$2:'GRAFO'!$M$41,MATCH(O48,GRAFO!$M$2:'GRAFO'!$M$41,0),1)&lt;&gt;0,1,0)</f>
        <v>#N/A</v>
      </c>
      <c r="U48" s="10">
        <f t="shared" si="8"/>
        <v>0</v>
      </c>
    </row>
    <row r="49" spans="1:21">
      <c r="A49" s="46" t="s">
        <v>243</v>
      </c>
      <c r="B49" s="10" t="s">
        <v>4</v>
      </c>
      <c r="C49" s="9" t="str">
        <f t="shared" si="9"/>
        <v>OK</v>
      </c>
      <c r="D49" s="10" t="str">
        <f t="shared" si="3"/>
        <v>comandos_operacionais</v>
      </c>
      <c r="E49" s="10" t="str">
        <f t="shared" si="4"/>
        <v>rdfs:seeAlso</v>
      </c>
      <c r="F49" s="10" t="str">
        <f t="shared" si="5"/>
        <v>c_log</v>
      </c>
      <c r="G49" s="3" t="str">
        <f t="shared" si="6"/>
        <v>NOK</v>
      </c>
      <c r="I49" s="10" t="str">
        <f t="shared" si="1"/>
        <v>comandos_operacionais-c_log</v>
      </c>
      <c r="J49" s="10"/>
      <c r="K49" s="10"/>
      <c r="L49" s="3" t="e">
        <f>IF(INDEX(GRAFO!$L$2:'GRAFO'!$L$41,MATCH(I49,GRAFO!$L$2:'GRAFO'!$L$41,0),1)&lt;&gt;0,1,0)</f>
        <v>#N/A</v>
      </c>
      <c r="M49" s="3">
        <f t="shared" si="7"/>
        <v>0</v>
      </c>
      <c r="O49" s="10" t="str">
        <f t="shared" si="2"/>
        <v>comandos_operacionais-rdfs:seeAlso-c_log</v>
      </c>
      <c r="P49" s="10"/>
      <c r="Q49" s="10"/>
      <c r="R49" s="10"/>
      <c r="S49" s="10"/>
      <c r="T49" s="10" t="e">
        <f>IF(INDEX(GRAFO!$M$2:'GRAFO'!$M$41,MATCH(O49,GRAFO!$M$2:'GRAFO'!$M$41,0),1)&lt;&gt;0,1,0)</f>
        <v>#N/A</v>
      </c>
      <c r="U49" s="10">
        <f t="shared" si="8"/>
        <v>0</v>
      </c>
    </row>
    <row r="50" spans="1:21">
      <c r="A50" s="10"/>
      <c r="B50" s="10"/>
      <c r="C50" s="9" t="str">
        <f t="shared" si="9"/>
        <v>OK</v>
      </c>
      <c r="D50" s="10" t="str">
        <f t="shared" si="3"/>
        <v>operacao_conjunta</v>
      </c>
      <c r="E50" s="10" t="str">
        <f t="shared" si="4"/>
        <v>c2rm:responsible_for</v>
      </c>
      <c r="F50" s="10" t="str">
        <f t="shared" si="5"/>
        <v>forcas_armadas</v>
      </c>
      <c r="G50" s="3" t="str">
        <f t="shared" si="6"/>
        <v>OK</v>
      </c>
      <c r="I50" s="10" t="str">
        <f t="shared" si="1"/>
        <v>operacao_conjunta-forcas_armadas</v>
      </c>
      <c r="J50" s="10"/>
      <c r="K50" s="10"/>
      <c r="L50" s="3" t="e">
        <f>IF(INDEX(GRAFO!$L$2:'GRAFO'!$L$41,MATCH(I50,GRAFO!$L$2:'GRAFO'!$L$41,0),1)&lt;&gt;0,1,0)</f>
        <v>#N/A</v>
      </c>
      <c r="M50" s="3">
        <f t="shared" si="7"/>
        <v>0</v>
      </c>
      <c r="O50" s="10" t="str">
        <f t="shared" si="2"/>
        <v>operacao_conjunta-c2rm:responsible_for-forcas_armadas</v>
      </c>
      <c r="P50" s="10"/>
      <c r="Q50" s="10"/>
      <c r="R50" s="10"/>
      <c r="S50" s="10"/>
      <c r="T50" s="10" t="e">
        <f>IF(INDEX(GRAFO!$M$2:'GRAFO'!$M$41,MATCH(O50,GRAFO!$M$2:'GRAFO'!$M$41,0),1)&lt;&gt;0,1,0)</f>
        <v>#N/A</v>
      </c>
      <c r="U50" s="10">
        <f t="shared" si="8"/>
        <v>0</v>
      </c>
    </row>
    <row r="51" spans="1:21">
      <c r="A51" s="10"/>
      <c r="B51" s="10"/>
      <c r="C51" s="9" t="str">
        <f t="shared" si="9"/>
        <v>OK</v>
      </c>
      <c r="D51" s="10" t="str">
        <f t="shared" si="3"/>
        <v>forca_componente</v>
      </c>
      <c r="E51" s="10" t="str">
        <f t="shared" si="4"/>
        <v>c2rm:responsible_for</v>
      </c>
      <c r="F51" s="10" t="str">
        <f t="shared" si="5"/>
        <v>operacao_conjunta</v>
      </c>
      <c r="G51" s="3" t="str">
        <f t="shared" si="6"/>
        <v>OK</v>
      </c>
      <c r="I51" s="10" t="str">
        <f t="shared" si="1"/>
        <v>forca_componente-operacao_conjunta</v>
      </c>
      <c r="J51" s="10"/>
      <c r="K51" s="10"/>
      <c r="L51" s="3">
        <f>IF(INDEX(GRAFO!$L$2:'GRAFO'!$L$41,MATCH(I51,GRAFO!$L$2:'GRAFO'!$L$41,0),1)&lt;&gt;0,1,0)</f>
        <v>1</v>
      </c>
      <c r="M51" s="3">
        <f t="shared" si="7"/>
        <v>1</v>
      </c>
      <c r="O51" s="10" t="str">
        <f t="shared" si="2"/>
        <v>forca_componente-c2rm:responsible_for-operacao_conjunta</v>
      </c>
      <c r="P51" s="10"/>
      <c r="Q51" s="10"/>
      <c r="R51" s="10"/>
      <c r="S51" s="10"/>
      <c r="T51" s="10">
        <f>IF(INDEX(GRAFO!$M$2:'GRAFO'!$M$41,MATCH(O51,GRAFO!$M$2:'GRAFO'!$M$41,0),1)&lt;&gt;0,1,0)</f>
        <v>1</v>
      </c>
      <c r="U51" s="10">
        <f t="shared" si="8"/>
        <v>1</v>
      </c>
    </row>
    <row r="52" spans="1:21">
      <c r="A52" s="10"/>
      <c r="B52" s="10"/>
      <c r="C52" s="9" t="str">
        <f t="shared" si="9"/>
        <v>OK</v>
      </c>
      <c r="D52" s="10" t="str">
        <f t="shared" si="3"/>
        <v>comando_supremo</v>
      </c>
      <c r="E52" s="10" t="str">
        <f t="shared" si="4"/>
        <v>c2rm:responsible_for</v>
      </c>
      <c r="F52" s="10" t="str">
        <f t="shared" si="5"/>
        <v>dped</v>
      </c>
      <c r="G52" s="3" t="str">
        <f t="shared" si="6"/>
        <v>NOK</v>
      </c>
      <c r="I52" s="10" t="str">
        <f t="shared" si="1"/>
        <v>comando_supremo-dped</v>
      </c>
      <c r="J52" s="10"/>
      <c r="K52" s="10"/>
      <c r="L52" s="3" t="e">
        <f>IF(INDEX(GRAFO!$L$2:'GRAFO'!$L$41,MATCH(I52,GRAFO!$L$2:'GRAFO'!$L$41,0),1)&lt;&gt;0,1,0)</f>
        <v>#N/A</v>
      </c>
      <c r="M52" s="3">
        <f t="shared" si="7"/>
        <v>0</v>
      </c>
      <c r="O52" s="10" t="str">
        <f t="shared" si="2"/>
        <v>comando_supremo-c2rm:responsible_for-dped</v>
      </c>
      <c r="P52" s="10"/>
      <c r="Q52" s="10"/>
      <c r="R52" s="10"/>
      <c r="S52" s="10"/>
      <c r="T52" s="10" t="e">
        <f>IF(INDEX(GRAFO!$M$2:'GRAFO'!$M$41,MATCH(O52,GRAFO!$M$2:'GRAFO'!$M$41,0),1)&lt;&gt;0,1,0)</f>
        <v>#N/A</v>
      </c>
      <c r="U52" s="10">
        <f t="shared" si="8"/>
        <v>0</v>
      </c>
    </row>
    <row r="53" spans="1:21">
      <c r="A53" s="10"/>
      <c r="B53" s="10"/>
      <c r="C53" s="9" t="e">
        <f t="shared" si="9"/>
        <v>#N/A</v>
      </c>
      <c r="D53" s="10" t="str">
        <f t="shared" si="3"/>
        <v>comando_supremo</v>
      </c>
      <c r="E53" s="10" t="str">
        <f t="shared" si="4"/>
        <v>rdfs:seeAlso</v>
      </c>
      <c r="F53" s="10" t="str">
        <f t="shared" si="5"/>
        <v>politico</v>
      </c>
      <c r="G53" s="3" t="str">
        <f t="shared" si="6"/>
        <v>OK</v>
      </c>
      <c r="I53" s="10" t="str">
        <f t="shared" si="1"/>
        <v>comando_supremo-politico</v>
      </c>
      <c r="J53" s="10"/>
      <c r="K53" s="10"/>
      <c r="L53" s="3" t="e">
        <f>IF(INDEX(GRAFO!$L$2:'GRAFO'!$L$41,MATCH(I53,GRAFO!$L$2:'GRAFO'!$L$41,0),1)&lt;&gt;0,1,0)</f>
        <v>#N/A</v>
      </c>
      <c r="M53" s="3">
        <f t="shared" si="7"/>
        <v>0</v>
      </c>
      <c r="O53" s="10" t="str">
        <f t="shared" si="2"/>
        <v>comando_supremo-rdfs:seeAlso-politico</v>
      </c>
      <c r="P53" s="10"/>
      <c r="Q53" s="10"/>
      <c r="R53" s="10"/>
      <c r="S53" s="10"/>
      <c r="T53" s="10" t="e">
        <f>IF(INDEX(GRAFO!$M$2:'GRAFO'!$M$41,MATCH(O53,GRAFO!$M$2:'GRAFO'!$M$41,0),1)&lt;&gt;0,1,0)</f>
        <v>#N/A</v>
      </c>
      <c r="U53" s="10">
        <f t="shared" si="8"/>
        <v>0</v>
      </c>
    </row>
    <row r="54" spans="1:21">
      <c r="A54" s="10"/>
      <c r="B54" s="10"/>
      <c r="C54" s="9" t="e">
        <f t="shared" si="9"/>
        <v>#N/A</v>
      </c>
      <c r="D54" s="10" t="str">
        <f t="shared" si="3"/>
        <v>md</v>
      </c>
      <c r="E54" s="10" t="str">
        <f t="shared" si="4"/>
        <v>rdfs:seeAlso</v>
      </c>
      <c r="F54" s="10" t="str">
        <f t="shared" si="5"/>
        <v>estrategico</v>
      </c>
      <c r="G54" s="3" t="str">
        <f t="shared" si="6"/>
        <v>OK</v>
      </c>
      <c r="I54" s="10" t="str">
        <f t="shared" si="1"/>
        <v>md-estrategico</v>
      </c>
      <c r="J54" s="10"/>
      <c r="K54" s="10"/>
      <c r="L54" s="3" t="e">
        <f>IF(INDEX(GRAFO!$L$2:'GRAFO'!$L$41,MATCH(I54,GRAFO!$L$2:'GRAFO'!$L$41,0),1)&lt;&gt;0,1,0)</f>
        <v>#N/A</v>
      </c>
      <c r="M54" s="3">
        <f t="shared" si="7"/>
        <v>0</v>
      </c>
      <c r="O54" s="10" t="str">
        <f t="shared" si="2"/>
        <v>md-rdfs:seeAlso-estrategico</v>
      </c>
      <c r="P54" s="10"/>
      <c r="Q54" s="10"/>
      <c r="R54" s="10"/>
      <c r="S54" s="10"/>
      <c r="T54" s="10" t="e">
        <f>IF(INDEX(GRAFO!$M$2:'GRAFO'!$M$41,MATCH(O54,GRAFO!$M$2:'GRAFO'!$M$41,0),1)&lt;&gt;0,1,0)</f>
        <v>#N/A</v>
      </c>
      <c r="U54" s="10">
        <f t="shared" si="8"/>
        <v>0</v>
      </c>
    </row>
    <row r="55" spans="1:21">
      <c r="A55" s="10"/>
      <c r="B55" s="10"/>
      <c r="C55" s="9" t="str">
        <f t="shared" si="9"/>
        <v>OK</v>
      </c>
      <c r="D55" s="10" t="str">
        <f t="shared" si="3"/>
        <v>ar</v>
      </c>
      <c r="E55" s="10" t="str">
        <f t="shared" si="4"/>
        <v>rdfs:seeAlso</v>
      </c>
      <c r="F55" s="10" t="str">
        <f t="shared" si="5"/>
        <v>operacional</v>
      </c>
      <c r="G55" s="3" t="str">
        <f t="shared" si="6"/>
        <v>OK</v>
      </c>
      <c r="I55" s="10" t="str">
        <f t="shared" si="1"/>
        <v>ar-operacional</v>
      </c>
      <c r="J55" s="10"/>
      <c r="K55" s="10"/>
      <c r="L55" s="3" t="e">
        <f>IF(INDEX(GRAFO!$L$2:'GRAFO'!$L$41,MATCH(I55,GRAFO!$L$2:'GRAFO'!$L$41,0),1)&lt;&gt;0,1,0)</f>
        <v>#N/A</v>
      </c>
      <c r="M55" s="3">
        <f t="shared" si="7"/>
        <v>0</v>
      </c>
      <c r="O55" s="10" t="str">
        <f t="shared" si="2"/>
        <v>ar-rdfs:seeAlso-operacional</v>
      </c>
      <c r="P55" s="10"/>
      <c r="Q55" s="10"/>
      <c r="R55" s="10"/>
      <c r="S55" s="10"/>
      <c r="T55" s="10" t="e">
        <f>IF(INDEX(GRAFO!$M$2:'GRAFO'!$M$41,MATCH(O55,GRAFO!$M$2:'GRAFO'!$M$41,0),1)&lt;&gt;0,1,0)</f>
        <v>#N/A</v>
      </c>
      <c r="U55" s="10">
        <f t="shared" si="8"/>
        <v>0</v>
      </c>
    </row>
    <row r="56" spans="1:21">
      <c r="A56" s="10"/>
      <c r="B56" s="10"/>
      <c r="C56" s="9" t="str">
        <f t="shared" si="9"/>
        <v>OK</v>
      </c>
      <c r="D56" s="10" t="str">
        <f t="shared" si="3"/>
        <v>forca_componente</v>
      </c>
      <c r="E56" s="10" t="str">
        <f t="shared" si="4"/>
        <v>c2rm:responsible_for</v>
      </c>
      <c r="F56" s="10" t="str">
        <f t="shared" si="5"/>
        <v>tatico</v>
      </c>
      <c r="G56" s="3" t="str">
        <f t="shared" si="6"/>
        <v>OK</v>
      </c>
      <c r="I56" s="10" t="str">
        <f t="shared" si="1"/>
        <v>forca_componente-tatico</v>
      </c>
      <c r="J56" s="10"/>
      <c r="K56" s="10"/>
      <c r="L56" s="3">
        <f>IF(INDEX(GRAFO!$L$2:'GRAFO'!$L$41,MATCH(I56,GRAFO!$L$2:'GRAFO'!$L$41,0),1)&lt;&gt;0,1,0)</f>
        <v>1</v>
      </c>
      <c r="M56" s="3">
        <f t="shared" si="7"/>
        <v>1</v>
      </c>
      <c r="O56" s="10" t="str">
        <f t="shared" si="2"/>
        <v>forca_componente-c2rm:responsible_for-tatico</v>
      </c>
      <c r="P56" s="10"/>
      <c r="Q56" s="10"/>
      <c r="R56" s="10"/>
      <c r="S56" s="10"/>
      <c r="T56" s="10">
        <f>IF(INDEX(GRAFO!$M$2:'GRAFO'!$M$41,MATCH(O56,GRAFO!$M$2:'GRAFO'!$M$41,0),1)&lt;&gt;0,1,0)</f>
        <v>1</v>
      </c>
      <c r="U56" s="10">
        <f t="shared" si="8"/>
        <v>1</v>
      </c>
    </row>
    <row r="57" spans="1:21">
      <c r="C57" s="9" t="str">
        <f t="shared" si="9"/>
        <v>OK</v>
      </c>
      <c r="D57" s="10" t="str">
        <f t="shared" si="3"/>
        <v>md</v>
      </c>
      <c r="E57" s="10" t="str">
        <f t="shared" si="4"/>
        <v>c2rm:responsible_for</v>
      </c>
      <c r="F57" s="10" t="str">
        <f t="shared" si="5"/>
        <v>dmed</v>
      </c>
      <c r="G57" s="3" t="str">
        <f t="shared" si="6"/>
        <v>NOK</v>
      </c>
      <c r="I57" s="10" t="str">
        <f t="shared" si="1"/>
        <v>md-dmed</v>
      </c>
      <c r="J57" s="10"/>
      <c r="K57" s="10"/>
      <c r="L57" s="3" t="e">
        <f>IF(INDEX(GRAFO!$L$2:'GRAFO'!$L$41,MATCH(I57,GRAFO!$L$2:'GRAFO'!$L$41,0),1)&lt;&gt;0,1,0)</f>
        <v>#N/A</v>
      </c>
      <c r="M57" s="3">
        <f t="shared" si="7"/>
        <v>0</v>
      </c>
      <c r="O57" s="10" t="str">
        <f t="shared" si="2"/>
        <v>md-c2rm:responsible_for-dmed</v>
      </c>
      <c r="P57" s="10"/>
      <c r="Q57" s="10"/>
      <c r="R57" s="10"/>
      <c r="S57" s="10"/>
      <c r="T57" s="10" t="e">
        <f>IF(INDEX(GRAFO!$M$2:'GRAFO'!$M$41,MATCH(O57,GRAFO!$M$2:'GRAFO'!$M$41,0),1)&lt;&gt;0,1,0)</f>
        <v>#N/A</v>
      </c>
      <c r="U57" s="10">
        <f t="shared" si="8"/>
        <v>0</v>
      </c>
    </row>
    <row r="58" spans="1:21">
      <c r="C58" s="9" t="str">
        <f t="shared" si="9"/>
        <v>OK</v>
      </c>
      <c r="D58" s="10"/>
      <c r="E58" s="10"/>
      <c r="F58" s="10"/>
      <c r="G58" s="3"/>
      <c r="I58" s="10"/>
      <c r="J58" s="10"/>
      <c r="K58" s="10"/>
      <c r="L58" s="3"/>
      <c r="M58" s="3"/>
      <c r="O58" s="10"/>
      <c r="P58" s="10"/>
      <c r="Q58" s="10"/>
      <c r="R58" s="10"/>
      <c r="S58" s="10"/>
      <c r="T58" s="10"/>
      <c r="U58" s="10"/>
    </row>
    <row r="59" spans="1:21">
      <c r="C59" s="9" t="str">
        <f t="shared" si="9"/>
        <v>OK</v>
      </c>
      <c r="D59" s="10"/>
      <c r="E59" s="10"/>
      <c r="F59" s="10"/>
      <c r="G59" s="3"/>
      <c r="I59" s="10"/>
      <c r="J59" s="10"/>
      <c r="K59" s="10"/>
      <c r="L59" s="3"/>
      <c r="M59" s="3"/>
      <c r="O59" s="10"/>
      <c r="P59" s="10"/>
      <c r="Q59" s="10"/>
      <c r="R59" s="10"/>
      <c r="S59" s="10"/>
      <c r="T59" s="10"/>
      <c r="U59" s="10"/>
    </row>
    <row r="60" spans="1:21">
      <c r="C60" s="9" t="str">
        <f t="shared" si="9"/>
        <v>OK</v>
      </c>
      <c r="D60" s="10"/>
      <c r="E60" s="10"/>
      <c r="F60" s="10"/>
      <c r="G60" s="3"/>
      <c r="I60" s="10"/>
      <c r="J60" s="10"/>
      <c r="K60" s="10"/>
      <c r="L60" s="3"/>
      <c r="M60" s="3"/>
      <c r="O60" s="10"/>
      <c r="P60" s="10"/>
      <c r="Q60" s="10"/>
      <c r="R60" s="10"/>
      <c r="S60" s="10"/>
      <c r="T60" s="10"/>
      <c r="U60" s="10"/>
    </row>
    <row r="61" spans="1:21">
      <c r="C61" s="9" t="str">
        <f t="shared" si="9"/>
        <v>OK</v>
      </c>
      <c r="D61" s="10"/>
      <c r="E61" s="10"/>
      <c r="F61" s="10"/>
      <c r="G61" s="3"/>
      <c r="I61" s="10"/>
      <c r="J61" s="10"/>
      <c r="K61" s="10"/>
      <c r="L61" s="3"/>
      <c r="M61" s="3"/>
      <c r="O61" s="10"/>
      <c r="P61" s="10"/>
      <c r="Q61" s="10"/>
      <c r="R61" s="10"/>
      <c r="S61" s="10"/>
      <c r="T61" s="10"/>
      <c r="U61" s="10"/>
    </row>
    <row r="62" spans="1:21">
      <c r="C62" s="9" t="str">
        <f t="shared" si="9"/>
        <v>NOK</v>
      </c>
      <c r="D62" s="10"/>
      <c r="E62" s="10"/>
      <c r="F62" s="10"/>
      <c r="G62" s="3"/>
      <c r="I62" s="10"/>
      <c r="J62" s="10"/>
      <c r="K62" s="10"/>
      <c r="L62" s="3"/>
      <c r="M62" s="3"/>
      <c r="O62" s="10"/>
      <c r="P62" s="10"/>
      <c r="Q62" s="10"/>
      <c r="R62" s="10"/>
      <c r="S62" s="10"/>
      <c r="T62" s="10"/>
      <c r="U62" s="10"/>
    </row>
    <row r="63" spans="1:21">
      <c r="C63" s="9" t="str">
        <f t="shared" si="9"/>
        <v>NOK</v>
      </c>
      <c r="D63" s="10"/>
      <c r="E63" s="10"/>
      <c r="F63" s="10"/>
      <c r="G63" s="3"/>
      <c r="I63" s="10"/>
      <c r="J63" s="10"/>
      <c r="K63" s="10"/>
      <c r="L63" s="3"/>
      <c r="M63" s="3"/>
      <c r="O63" s="10"/>
      <c r="P63" s="10"/>
      <c r="Q63" s="10"/>
      <c r="R63" s="10"/>
      <c r="S63" s="10"/>
      <c r="T63" s="10"/>
      <c r="U63" s="10"/>
    </row>
    <row r="64" spans="1:21">
      <c r="D64" s="10"/>
      <c r="E64" s="10"/>
      <c r="F64" s="10"/>
      <c r="G64" s="3"/>
      <c r="I64" s="10"/>
      <c r="J64" s="10"/>
      <c r="K64" s="10"/>
      <c r="L64" s="3"/>
      <c r="M64" s="3"/>
      <c r="O64" s="10"/>
      <c r="P64" s="10"/>
      <c r="Q64" s="10"/>
      <c r="R64" s="10"/>
      <c r="S64" s="10"/>
      <c r="T64" s="10"/>
      <c r="U64" s="10"/>
    </row>
    <row r="65" spans="4:21">
      <c r="D65" s="10"/>
      <c r="E65" s="10"/>
      <c r="F65" s="10"/>
      <c r="G65" s="3"/>
      <c r="I65" s="10"/>
      <c r="J65" s="10"/>
      <c r="K65" s="10"/>
      <c r="L65" s="3"/>
      <c r="M65" s="3"/>
      <c r="O65" s="10"/>
      <c r="P65" s="10"/>
      <c r="Q65" s="10"/>
      <c r="R65" s="10"/>
      <c r="S65" s="10"/>
      <c r="T65" s="10"/>
      <c r="U65" s="10"/>
    </row>
    <row r="66" spans="4:21">
      <c r="D66" s="10"/>
      <c r="E66" s="10"/>
      <c r="F66" s="10"/>
      <c r="G66" s="3"/>
      <c r="I66" s="10"/>
      <c r="J66" s="10"/>
      <c r="K66" s="10"/>
      <c r="L66" s="3"/>
      <c r="M66" s="3"/>
      <c r="O66" s="10"/>
      <c r="P66" s="10"/>
      <c r="Q66" s="10"/>
      <c r="R66" s="10"/>
      <c r="S66" s="10"/>
      <c r="T66" s="10"/>
      <c r="U66" s="10"/>
    </row>
    <row r="67" spans="4:21">
      <c r="D67" s="10"/>
      <c r="E67" s="10"/>
      <c r="F67" s="10"/>
      <c r="G67" s="3"/>
      <c r="I67" s="10"/>
      <c r="J67" s="10"/>
      <c r="K67" s="10"/>
      <c r="L67" s="3"/>
      <c r="M67" s="3"/>
      <c r="O67" s="10"/>
      <c r="P67" s="10"/>
      <c r="Q67" s="10"/>
      <c r="R67" s="10"/>
      <c r="S67" s="10"/>
      <c r="T67" s="10"/>
      <c r="U67" s="10"/>
    </row>
    <row r="68" spans="4:21">
      <c r="D68" s="10"/>
      <c r="E68" s="10"/>
      <c r="F68" s="10"/>
      <c r="G68" s="3"/>
      <c r="I68" s="10"/>
      <c r="J68" s="10"/>
      <c r="K68" s="10"/>
      <c r="L68" s="3"/>
      <c r="M68" s="3"/>
      <c r="O68" s="10"/>
      <c r="P68" s="10"/>
      <c r="Q68" s="10"/>
      <c r="R68" s="10"/>
      <c r="S68" s="10"/>
      <c r="T68" s="10"/>
      <c r="U68" s="10"/>
    </row>
    <row r="69" spans="4:21">
      <c r="D69" s="10"/>
      <c r="E69" s="10"/>
      <c r="F69" s="10"/>
      <c r="G69" s="3"/>
      <c r="I69" s="10"/>
      <c r="J69" s="10"/>
      <c r="K69" s="10"/>
      <c r="L69" s="3"/>
      <c r="M69" s="3"/>
      <c r="O69" s="10"/>
      <c r="P69" s="10"/>
      <c r="Q69" s="10"/>
      <c r="R69" s="10"/>
      <c r="S69" s="10"/>
      <c r="T69" s="10"/>
      <c r="U69" s="10"/>
    </row>
    <row r="70" spans="4:21">
      <c r="D70" s="10"/>
      <c r="E70" s="10"/>
      <c r="F70" s="10"/>
      <c r="G70" s="3"/>
      <c r="I70" s="10"/>
      <c r="J70" s="10"/>
      <c r="K70" s="10"/>
      <c r="L70" s="3"/>
      <c r="M70" s="3"/>
      <c r="O70" s="10"/>
      <c r="P70" s="10"/>
      <c r="Q70" s="10"/>
      <c r="R70" s="10"/>
      <c r="S70" s="10"/>
      <c r="T70" s="10"/>
      <c r="U70" s="10"/>
    </row>
    <row r="71" spans="4:21">
      <c r="D71" s="10"/>
      <c r="E71" s="10"/>
      <c r="F71" s="10"/>
      <c r="G71" s="3"/>
      <c r="I71" s="10"/>
      <c r="J71" s="10"/>
      <c r="K71" s="10"/>
      <c r="L71" s="3"/>
      <c r="M71" s="3"/>
      <c r="O71" s="10"/>
      <c r="P71" s="10"/>
      <c r="Q71" s="10"/>
      <c r="R71" s="10"/>
      <c r="S71" s="10"/>
      <c r="T71" s="10"/>
      <c r="U71" s="10"/>
    </row>
    <row r="72" spans="4:21">
      <c r="D72" s="10"/>
      <c r="E72" s="10"/>
      <c r="F72" s="10"/>
      <c r="G72" s="3"/>
      <c r="I72" s="10"/>
      <c r="J72" s="10"/>
      <c r="K72" s="10"/>
      <c r="L72" s="3"/>
      <c r="M72" s="3"/>
      <c r="O72" s="10"/>
      <c r="P72" s="10"/>
      <c r="Q72" s="10"/>
      <c r="R72" s="10"/>
      <c r="S72" s="10"/>
      <c r="T72" s="10"/>
      <c r="U72" s="10"/>
    </row>
    <row r="73" spans="4:21">
      <c r="D73" s="10"/>
      <c r="E73" s="10"/>
      <c r="F73" s="10"/>
      <c r="G73" s="3"/>
      <c r="I73" s="10"/>
      <c r="J73" s="10"/>
      <c r="K73" s="10"/>
      <c r="L73" s="3"/>
      <c r="M73" s="3"/>
      <c r="O73" s="10"/>
      <c r="P73" s="10"/>
      <c r="Q73" s="10"/>
      <c r="R73" s="10"/>
      <c r="S73" s="10"/>
      <c r="T73" s="10"/>
      <c r="U73" s="10"/>
    </row>
  </sheetData>
  <mergeCells count="10">
    <mergeCell ref="I39:K39"/>
    <mergeCell ref="L39:M39"/>
    <mergeCell ref="O39:S39"/>
    <mergeCell ref="T39:U39"/>
    <mergeCell ref="A1:B1"/>
    <mergeCell ref="D1:F1"/>
    <mergeCell ref="K4:K5"/>
    <mergeCell ref="D38:G38"/>
    <mergeCell ref="I38:M38"/>
    <mergeCell ref="O38:U38"/>
  </mergeCells>
  <dataValidations count="9">
    <dataValidation type="list" allowBlank="1" showInputMessage="1" showErrorMessage="1" sqref="F38:G38">
      <formula1>$A$3:$A$27</formula1>
    </dataValidation>
    <dataValidation type="list" allowBlank="1" showInputMessage="1" showErrorMessage="1" sqref="C3:C37 B4:B37">
      <formula1>$Y$3:$Y$39</formula1>
    </dataValidation>
    <dataValidation type="list" allowBlank="1" showInputMessage="1" showErrorMessage="1" sqref="H3:H44 G3:G37">
      <formula1>$A$3:$A$22</formula1>
    </dataValidation>
    <dataValidation type="list" allowBlank="1" showInputMessage="1" showErrorMessage="1" sqref="B40:B56">
      <formula1>$AE$2:$AE$12</formula1>
    </dataValidation>
    <dataValidation type="list" allowBlank="1" showInputMessage="1" showErrorMessage="1" sqref="F37 D37">
      <formula1>$A$3:$A$28</formula1>
    </dataValidation>
    <dataValidation type="list" allowBlank="1" showInputMessage="1" showErrorMessage="1" sqref="E37">
      <formula1>$A$40:$A$48</formula1>
    </dataValidation>
    <dataValidation type="list" allowBlank="1" showInputMessage="1" showErrorMessage="1" sqref="B3">
      <formula1>$Y$3:$Y$31</formula1>
    </dataValidation>
    <dataValidation type="list" allowBlank="1" showInputMessage="1" showErrorMessage="1" sqref="F3:F36 D3:D36">
      <formula1>$A$3:$A$20</formula1>
    </dataValidation>
    <dataValidation type="list" allowBlank="1" showInputMessage="1" showErrorMessage="1" sqref="E3:E36">
      <formula1>$A$40:$A$49</formula1>
    </dataValidation>
  </dataValidation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E73"/>
  <sheetViews>
    <sheetView topLeftCell="M1" workbookViewId="0">
      <selection activeCell="X4" sqref="X4:X7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9" t="s">
        <v>184</v>
      </c>
      <c r="AD2" s="9" t="s">
        <v>195</v>
      </c>
      <c r="AE2" s="9" t="s">
        <v>35</v>
      </c>
    </row>
    <row r="3" spans="1:31" ht="16.75">
      <c r="A3" s="46" t="s">
        <v>319</v>
      </c>
      <c r="B3" s="10" t="s">
        <v>9</v>
      </c>
      <c r="D3" s="10" t="s">
        <v>8</v>
      </c>
      <c r="E3" s="10" t="s">
        <v>101</v>
      </c>
      <c r="F3" s="10" t="s">
        <v>319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s="16" t="s">
        <v>33</v>
      </c>
      <c r="AC3" s="9" t="s">
        <v>185</v>
      </c>
      <c r="AD3" s="9" t="s">
        <v>196</v>
      </c>
      <c r="AE3" s="9" t="s">
        <v>4</v>
      </c>
    </row>
    <row r="4" spans="1:31" ht="16.75">
      <c r="A4" s="46" t="s">
        <v>8</v>
      </c>
      <c r="B4" s="10" t="s">
        <v>8</v>
      </c>
      <c r="D4" s="10" t="s">
        <v>10</v>
      </c>
      <c r="E4" s="10" t="s">
        <v>101</v>
      </c>
      <c r="F4" s="10" t="s">
        <v>319</v>
      </c>
      <c r="K4" s="85" t="s">
        <v>80</v>
      </c>
      <c r="L4" s="8" t="s">
        <v>0</v>
      </c>
      <c r="M4" s="4">
        <f>GRAFO!J2</f>
        <v>29</v>
      </c>
      <c r="N4" s="11">
        <f>COUNTA(A3:A26)</f>
        <v>24</v>
      </c>
      <c r="O4" s="11">
        <f>COUNTIF(B3:B26,"&lt;&gt;"&amp;"")</f>
        <v>14</v>
      </c>
      <c r="P4" s="2">
        <f>N4-R4</f>
        <v>14</v>
      </c>
      <c r="Q4" s="2">
        <f>M4-O4</f>
        <v>15</v>
      </c>
      <c r="R4" s="2">
        <f>N4-O4</f>
        <v>10</v>
      </c>
      <c r="S4" s="2">
        <f>O4+P4</f>
        <v>28</v>
      </c>
      <c r="T4" s="2">
        <f>Q4+R4</f>
        <v>25</v>
      </c>
      <c r="U4" s="6">
        <f>O4/(O4+R4)</f>
        <v>0.58333333333333337</v>
      </c>
      <c r="V4" s="6">
        <f>O4/(O4+Q4)</f>
        <v>0.48275862068965519</v>
      </c>
      <c r="W4" s="6">
        <f>(O4+P4)/(O4+P4+Q4+R4)</f>
        <v>0.52830188679245282</v>
      </c>
      <c r="X4" s="62">
        <f>AVERAGE(U4:W4)</f>
        <v>0.53146461360514718</v>
      </c>
      <c r="Y4" s="16" t="s">
        <v>21</v>
      </c>
      <c r="AC4" s="9" t="s">
        <v>186</v>
      </c>
      <c r="AD4" s="9" t="s">
        <v>197</v>
      </c>
      <c r="AE4" s="9" t="s">
        <v>205</v>
      </c>
    </row>
    <row r="5" spans="1:31" ht="16.75">
      <c r="A5" s="46" t="s">
        <v>10</v>
      </c>
      <c r="B5" s="10" t="s">
        <v>10</v>
      </c>
      <c r="D5" s="10" t="s">
        <v>12</v>
      </c>
      <c r="E5" s="10" t="s">
        <v>101</v>
      </c>
      <c r="F5" s="10" t="s">
        <v>319</v>
      </c>
      <c r="K5" s="85"/>
      <c r="L5" s="8" t="s">
        <v>100</v>
      </c>
      <c r="M5" s="5">
        <f>GRAFO!J3</f>
        <v>41</v>
      </c>
      <c r="N5" s="12">
        <f>COUNTA(D40:D64)</f>
        <v>25</v>
      </c>
      <c r="O5" s="12">
        <f>COUNTIF(M40:M64,"=1")</f>
        <v>11</v>
      </c>
      <c r="P5" s="2">
        <f>N5-R5</f>
        <v>11</v>
      </c>
      <c r="Q5" s="2">
        <f>M5-O5</f>
        <v>30</v>
      </c>
      <c r="R5" s="2">
        <f>N5-O5</f>
        <v>14</v>
      </c>
      <c r="S5" s="2">
        <f>O5+P5</f>
        <v>22</v>
      </c>
      <c r="T5" s="2">
        <f>Q5+R5</f>
        <v>44</v>
      </c>
      <c r="U5" s="6">
        <f>O5/(O5+R5)</f>
        <v>0.44</v>
      </c>
      <c r="V5" s="6">
        <f>O5/(O5+Q5)</f>
        <v>0.26829268292682928</v>
      </c>
      <c r="W5" s="6">
        <f>(O5+P5)/(O5+P5+Q5+R5)</f>
        <v>0.33333333333333331</v>
      </c>
      <c r="X5" s="62">
        <f t="shared" ref="X5:X6" si="0">AVERAGE(U5:W5)</f>
        <v>0.34720867208672085</v>
      </c>
      <c r="Y5" s="16" t="s">
        <v>17</v>
      </c>
      <c r="AC5" s="9" t="s">
        <v>187</v>
      </c>
      <c r="AD5" s="9" t="s">
        <v>198</v>
      </c>
      <c r="AE5" s="9" t="s">
        <v>3</v>
      </c>
    </row>
    <row r="6" spans="1:31" ht="16.75">
      <c r="A6" s="46" t="s">
        <v>12</v>
      </c>
      <c r="B6" s="10" t="s">
        <v>12</v>
      </c>
      <c r="D6" s="10" t="s">
        <v>11</v>
      </c>
      <c r="E6" s="10" t="s">
        <v>101</v>
      </c>
      <c r="F6" s="10" t="s">
        <v>319</v>
      </c>
      <c r="L6" s="8" t="s">
        <v>99</v>
      </c>
      <c r="M6" s="5">
        <v>41</v>
      </c>
      <c r="N6" s="12">
        <f>COUNTA(D40:D64)</f>
        <v>25</v>
      </c>
      <c r="O6" s="12">
        <f>COUNTIF(U40:U64,"=1")</f>
        <v>10</v>
      </c>
      <c r="P6" s="2">
        <f>N6-R6</f>
        <v>10</v>
      </c>
      <c r="Q6" s="2">
        <f>M6-O6</f>
        <v>31</v>
      </c>
      <c r="R6" s="2">
        <f>N6-O6</f>
        <v>15</v>
      </c>
      <c r="S6" s="2">
        <f>O6+P6</f>
        <v>20</v>
      </c>
      <c r="T6" s="2">
        <f>Q6+R6</f>
        <v>46</v>
      </c>
      <c r="U6" s="6">
        <f>O6/(O6+R6)</f>
        <v>0.4</v>
      </c>
      <c r="V6" s="6">
        <f>O6/(O6+Q6)</f>
        <v>0.24390243902439024</v>
      </c>
      <c r="W6" s="6">
        <f>(O6+P6)/(O6+P6+Q6+R6)</f>
        <v>0.30303030303030304</v>
      </c>
      <c r="X6" s="62">
        <f t="shared" si="0"/>
        <v>0.31564424735156443</v>
      </c>
      <c r="Y6" s="16" t="s">
        <v>40</v>
      </c>
      <c r="AC6" s="9" t="s">
        <v>188</v>
      </c>
      <c r="AD6" s="9" t="s">
        <v>199</v>
      </c>
      <c r="AE6" s="9" t="s">
        <v>6</v>
      </c>
    </row>
    <row r="7" spans="1:31" ht="16.75">
      <c r="A7" s="46" t="s">
        <v>11</v>
      </c>
      <c r="B7" s="10" t="s">
        <v>11</v>
      </c>
      <c r="D7" s="10" t="s">
        <v>56</v>
      </c>
      <c r="E7" s="10" t="s">
        <v>101</v>
      </c>
      <c r="F7" s="10" t="s">
        <v>54</v>
      </c>
      <c r="X7" s="62">
        <f>AVERAGE(X4:X6)</f>
        <v>0.39810584434781077</v>
      </c>
      <c r="Y7" s="16" t="s">
        <v>13</v>
      </c>
      <c r="AC7" s="9" t="s">
        <v>189</v>
      </c>
      <c r="AD7" s="9" t="s">
        <v>200</v>
      </c>
      <c r="AE7" s="9" t="s">
        <v>206</v>
      </c>
    </row>
    <row r="8" spans="1:31" ht="16.75">
      <c r="A8" s="46" t="s">
        <v>59</v>
      </c>
      <c r="B8" s="10"/>
      <c r="D8" s="10" t="s">
        <v>55</v>
      </c>
      <c r="E8" s="10" t="s">
        <v>101</v>
      </c>
      <c r="F8" s="10" t="s">
        <v>54</v>
      </c>
      <c r="Y8" s="16" t="s">
        <v>39</v>
      </c>
      <c r="AC8" s="9" t="s">
        <v>190</v>
      </c>
      <c r="AD8" s="9" t="s">
        <v>148</v>
      </c>
      <c r="AE8" s="9" t="s">
        <v>36</v>
      </c>
    </row>
    <row r="9" spans="1:31" ht="16.75">
      <c r="A9" s="46" t="s">
        <v>53</v>
      </c>
      <c r="B9" s="10"/>
      <c r="D9" s="10" t="s">
        <v>57</v>
      </c>
      <c r="E9" s="10" t="s">
        <v>101</v>
      </c>
      <c r="F9" s="10" t="s">
        <v>54</v>
      </c>
      <c r="K9" t="s">
        <v>74</v>
      </c>
      <c r="L9" t="s">
        <v>75</v>
      </c>
      <c r="N9">
        <f>GRAFO!J2</f>
        <v>29</v>
      </c>
      <c r="Y9" s="16" t="s">
        <v>19</v>
      </c>
      <c r="AC9" s="9" t="s">
        <v>191</v>
      </c>
      <c r="AD9" s="9" t="s">
        <v>201</v>
      </c>
      <c r="AE9" s="9" t="s">
        <v>7</v>
      </c>
    </row>
    <row r="10" spans="1:31" ht="16.75">
      <c r="A10" s="46" t="s">
        <v>358</v>
      </c>
      <c r="B10" s="10"/>
      <c r="D10" s="10" t="s">
        <v>52</v>
      </c>
      <c r="E10" s="10" t="s">
        <v>277</v>
      </c>
      <c r="F10" s="10" t="s">
        <v>357</v>
      </c>
      <c r="K10" t="s">
        <v>80</v>
      </c>
      <c r="L10" t="s">
        <v>76</v>
      </c>
      <c r="N10">
        <f>N4</f>
        <v>24</v>
      </c>
      <c r="Y10" s="16" t="s">
        <v>37</v>
      </c>
      <c r="AC10" s="9" t="s">
        <v>192</v>
      </c>
      <c r="AD10" s="9" t="s">
        <v>202</v>
      </c>
      <c r="AE10" s="9" t="s">
        <v>207</v>
      </c>
    </row>
    <row r="11" spans="1:31" ht="16.75">
      <c r="A11" s="46" t="s">
        <v>124</v>
      </c>
      <c r="B11" s="10"/>
      <c r="D11" s="10" t="s">
        <v>52</v>
      </c>
      <c r="E11" s="10" t="s">
        <v>142</v>
      </c>
      <c r="F11" s="10" t="s">
        <v>18</v>
      </c>
      <c r="K11" t="s">
        <v>68</v>
      </c>
      <c r="L11" t="s">
        <v>77</v>
      </c>
      <c r="N11">
        <v>16</v>
      </c>
      <c r="Y11" s="16" t="s">
        <v>10</v>
      </c>
      <c r="AC11" s="9" t="s">
        <v>193</v>
      </c>
      <c r="AD11" s="9" t="s">
        <v>203</v>
      </c>
      <c r="AE11" s="9" t="s">
        <v>208</v>
      </c>
    </row>
    <row r="12" spans="1:31" ht="16.75">
      <c r="A12" s="46" t="s">
        <v>66</v>
      </c>
      <c r="B12" s="10" t="s">
        <v>22</v>
      </c>
      <c r="D12" s="10" t="s">
        <v>52</v>
      </c>
      <c r="E12" s="10" t="s">
        <v>362</v>
      </c>
      <c r="F12" s="10" t="s">
        <v>8</v>
      </c>
      <c r="K12" t="s">
        <v>70</v>
      </c>
      <c r="L12" t="s">
        <v>78</v>
      </c>
      <c r="M12" t="s">
        <v>86</v>
      </c>
      <c r="N12">
        <f>N9-N11</f>
        <v>13</v>
      </c>
      <c r="Y12" s="16" t="s">
        <v>14</v>
      </c>
      <c r="AC12" s="9" t="s">
        <v>194</v>
      </c>
      <c r="AD12" s="9" t="s">
        <v>204</v>
      </c>
      <c r="AE12" s="9" t="s">
        <v>5</v>
      </c>
    </row>
    <row r="13" spans="1:31" ht="16.75">
      <c r="A13" s="46" t="s">
        <v>357</v>
      </c>
      <c r="B13" s="10"/>
      <c r="D13" s="10" t="s">
        <v>357</v>
      </c>
      <c r="E13" s="10" t="s">
        <v>340</v>
      </c>
      <c r="F13" s="10" t="s">
        <v>123</v>
      </c>
      <c r="K13" t="s">
        <v>69</v>
      </c>
      <c r="L13" t="s">
        <v>79</v>
      </c>
      <c r="M13" t="s">
        <v>87</v>
      </c>
      <c r="Y13" s="16" t="s">
        <v>34</v>
      </c>
    </row>
    <row r="14" spans="1:31" ht="16.75">
      <c r="A14" s="46" t="s">
        <v>359</v>
      </c>
      <c r="B14" s="10"/>
      <c r="D14" s="10" t="s">
        <v>53</v>
      </c>
      <c r="E14" s="10" t="s">
        <v>214</v>
      </c>
      <c r="F14" s="10" t="s">
        <v>10</v>
      </c>
      <c r="K14" t="s">
        <v>83</v>
      </c>
      <c r="M14" t="s">
        <v>88</v>
      </c>
      <c r="Y14" s="16" t="s">
        <v>27</v>
      </c>
    </row>
    <row r="15" spans="1:31" ht="16.75">
      <c r="A15" s="46" t="s">
        <v>336</v>
      </c>
      <c r="B15" s="10"/>
      <c r="D15" s="10" t="s">
        <v>53</v>
      </c>
      <c r="E15" s="10" t="s">
        <v>361</v>
      </c>
      <c r="F15" s="10" t="s">
        <v>47</v>
      </c>
      <c r="K15" t="s">
        <v>89</v>
      </c>
      <c r="M15" t="s">
        <v>92</v>
      </c>
      <c r="Y15" s="16" t="s">
        <v>28</v>
      </c>
    </row>
    <row r="16" spans="1:31" ht="16.75">
      <c r="A16" s="46" t="s">
        <v>47</v>
      </c>
      <c r="B16" s="10"/>
      <c r="D16" s="10" t="s">
        <v>47</v>
      </c>
      <c r="E16" s="10" t="s">
        <v>340</v>
      </c>
      <c r="F16" s="10" t="s">
        <v>124</v>
      </c>
      <c r="K16" t="s">
        <v>90</v>
      </c>
      <c r="M16" t="s">
        <v>93</v>
      </c>
      <c r="Y16" s="16" t="s">
        <v>30</v>
      </c>
    </row>
    <row r="17" spans="1:25" ht="16.75">
      <c r="A17" s="46" t="s">
        <v>320</v>
      </c>
      <c r="B17" s="10" t="s">
        <v>13</v>
      </c>
      <c r="D17" s="10" t="s">
        <v>358</v>
      </c>
      <c r="E17" s="10" t="s">
        <v>362</v>
      </c>
      <c r="F17" s="10" t="s">
        <v>12</v>
      </c>
      <c r="K17" t="s">
        <v>91</v>
      </c>
      <c r="M17" t="s">
        <v>94</v>
      </c>
      <c r="Y17" s="16" t="s">
        <v>29</v>
      </c>
    </row>
    <row r="18" spans="1:25" ht="16.75">
      <c r="A18" s="46" t="s">
        <v>332</v>
      </c>
      <c r="B18" s="10" t="s">
        <v>28</v>
      </c>
      <c r="D18" s="10" t="s">
        <v>358</v>
      </c>
      <c r="E18" s="10" t="s">
        <v>242</v>
      </c>
      <c r="F18" s="10" t="s">
        <v>66</v>
      </c>
      <c r="K18" t="s">
        <v>84</v>
      </c>
      <c r="M18" t="s">
        <v>95</v>
      </c>
      <c r="Y18" s="16" t="s">
        <v>31</v>
      </c>
    </row>
    <row r="19" spans="1:25" ht="16.75">
      <c r="A19" s="46" t="s">
        <v>55</v>
      </c>
      <c r="B19" s="10" t="s">
        <v>32</v>
      </c>
      <c r="D19" s="10" t="s">
        <v>59</v>
      </c>
      <c r="E19" s="10" t="s">
        <v>242</v>
      </c>
      <c r="F19" s="10" t="s">
        <v>66</v>
      </c>
      <c r="K19" t="s">
        <v>85</v>
      </c>
      <c r="M19" t="s">
        <v>96</v>
      </c>
      <c r="Y19" s="16" t="s">
        <v>171</v>
      </c>
    </row>
    <row r="20" spans="1:25" ht="16.75">
      <c r="A20" s="46" t="s">
        <v>56</v>
      </c>
      <c r="B20" s="10" t="s">
        <v>34</v>
      </c>
      <c r="D20" s="10" t="s">
        <v>59</v>
      </c>
      <c r="E20" s="10" t="s">
        <v>243</v>
      </c>
      <c r="F20" s="10" t="s">
        <v>358</v>
      </c>
      <c r="K20" t="s">
        <v>97</v>
      </c>
      <c r="M20" t="s">
        <v>98</v>
      </c>
      <c r="Y20" s="16" t="s">
        <v>15</v>
      </c>
    </row>
    <row r="21" spans="1:25" ht="16.75">
      <c r="A21" s="46" t="s">
        <v>57</v>
      </c>
      <c r="B21" s="10" t="s">
        <v>33</v>
      </c>
      <c r="D21" s="10" t="s">
        <v>358</v>
      </c>
      <c r="E21" s="10" t="s">
        <v>107</v>
      </c>
      <c r="F21" s="10" t="s">
        <v>359</v>
      </c>
      <c r="Y21" s="16" t="s">
        <v>16</v>
      </c>
    </row>
    <row r="22" spans="1:25" ht="16.75">
      <c r="A22" s="46" t="s">
        <v>54</v>
      </c>
      <c r="B22" s="10" t="s">
        <v>31</v>
      </c>
      <c r="D22" s="10" t="s">
        <v>358</v>
      </c>
      <c r="E22" s="10" t="s">
        <v>147</v>
      </c>
      <c r="F22" s="10" t="s">
        <v>360</v>
      </c>
      <c r="Y22" s="16" t="s">
        <v>32</v>
      </c>
    </row>
    <row r="23" spans="1:25" ht="16.75">
      <c r="A23" s="46" t="s">
        <v>18</v>
      </c>
      <c r="B23" s="10" t="s">
        <v>18</v>
      </c>
      <c r="D23" s="10" t="s">
        <v>332</v>
      </c>
      <c r="E23" s="10" t="s">
        <v>364</v>
      </c>
      <c r="F23" s="10" t="s">
        <v>11</v>
      </c>
      <c r="Y23" s="16" t="s">
        <v>9</v>
      </c>
    </row>
    <row r="24" spans="1:25" ht="16.75">
      <c r="A24" s="46" t="s">
        <v>360</v>
      </c>
      <c r="B24" s="10"/>
      <c r="D24" s="10" t="s">
        <v>332</v>
      </c>
      <c r="E24" s="10" t="s">
        <v>363</v>
      </c>
      <c r="F24" s="10" t="s">
        <v>360</v>
      </c>
      <c r="Y24" s="16" t="s">
        <v>18</v>
      </c>
    </row>
    <row r="25" spans="1:25" ht="16.75">
      <c r="A25" s="46" t="s">
        <v>52</v>
      </c>
      <c r="B25" s="10" t="s">
        <v>20</v>
      </c>
      <c r="D25" s="10" t="s">
        <v>332</v>
      </c>
      <c r="E25" s="10" t="s">
        <v>215</v>
      </c>
      <c r="F25" s="10" t="s">
        <v>66</v>
      </c>
      <c r="Y25" s="16" t="s">
        <v>23</v>
      </c>
    </row>
    <row r="26" spans="1:25" ht="16.75">
      <c r="A26" s="10" t="s">
        <v>123</v>
      </c>
      <c r="B26" s="10"/>
      <c r="D26" s="10" t="s">
        <v>66</v>
      </c>
      <c r="E26" s="10" t="s">
        <v>246</v>
      </c>
      <c r="F26" s="10" t="s">
        <v>54</v>
      </c>
      <c r="Y26" s="16" t="s">
        <v>22</v>
      </c>
    </row>
    <row r="27" spans="1:25" ht="16.75">
      <c r="A27" s="10"/>
      <c r="B27" s="10"/>
      <c r="D27" s="10" t="s">
        <v>332</v>
      </c>
      <c r="E27" s="10" t="s">
        <v>245</v>
      </c>
      <c r="F27" s="10" t="s">
        <v>54</v>
      </c>
      <c r="Y27" s="16" t="s">
        <v>12</v>
      </c>
    </row>
    <row r="28" spans="1:25" ht="16.75">
      <c r="A28" s="10"/>
      <c r="B28" s="10"/>
      <c r="D28" s="10"/>
      <c r="E28" s="10"/>
      <c r="F28" s="10"/>
      <c r="Y28" s="16" t="s">
        <v>24</v>
      </c>
    </row>
    <row r="29" spans="1:25" ht="16.75">
      <c r="A29" s="10"/>
      <c r="B29" s="10"/>
      <c r="D29" s="10"/>
      <c r="E29" s="10"/>
      <c r="F29" s="10"/>
      <c r="Y29" s="16" t="s">
        <v>8</v>
      </c>
    </row>
    <row r="30" spans="1:25" ht="16.75">
      <c r="A30" s="10"/>
      <c r="B30" s="10"/>
      <c r="D30" s="10"/>
      <c r="E30" s="10"/>
      <c r="F30" s="10"/>
      <c r="Y30" s="16" t="s">
        <v>20</v>
      </c>
    </row>
    <row r="31" spans="1:25" ht="16.75">
      <c r="A31" s="10"/>
      <c r="B31" s="10"/>
      <c r="D31" s="10"/>
      <c r="E31" s="10"/>
      <c r="F31" s="10"/>
      <c r="Y31" s="16" t="s">
        <v>11</v>
      </c>
    </row>
    <row r="32" spans="1:25">
      <c r="A32" s="46"/>
      <c r="B32" s="10"/>
      <c r="D32" s="10"/>
      <c r="E32" s="10"/>
      <c r="F32" s="10"/>
    </row>
    <row r="33" spans="1:21">
      <c r="A33" s="10"/>
      <c r="B33" s="10"/>
      <c r="D33" s="10"/>
      <c r="E33" s="10"/>
      <c r="F33" s="10"/>
    </row>
    <row r="34" spans="1:21">
      <c r="A34" s="10"/>
      <c r="B34" s="10"/>
      <c r="D34" s="10"/>
      <c r="E34" s="10"/>
      <c r="F34" s="10"/>
    </row>
    <row r="35" spans="1:21">
      <c r="A35" s="10"/>
      <c r="B35" s="10"/>
      <c r="D35" s="10"/>
      <c r="E35" s="10"/>
      <c r="F35" s="10"/>
    </row>
    <row r="36" spans="1:21">
      <c r="A36" s="10"/>
      <c r="B36" s="10"/>
      <c r="D36" s="10"/>
      <c r="E36" s="10"/>
      <c r="F36" s="10"/>
    </row>
    <row r="37" spans="1:21">
      <c r="A37" s="10"/>
      <c r="B37" s="10"/>
    </row>
    <row r="38" spans="1:21">
      <c r="A38" s="30" t="s">
        <v>182</v>
      </c>
      <c r="B38" s="30"/>
      <c r="D38" s="104" t="s">
        <v>222</v>
      </c>
      <c r="E38" s="105"/>
      <c r="F38" s="105"/>
      <c r="G38" s="106"/>
      <c r="I38" s="98" t="s">
        <v>224</v>
      </c>
      <c r="J38" s="99"/>
      <c r="K38" s="99"/>
      <c r="L38" s="99"/>
      <c r="M38" s="100"/>
      <c r="O38" s="94" t="s">
        <v>229</v>
      </c>
      <c r="P38" s="94"/>
      <c r="Q38" s="94"/>
      <c r="R38" s="94"/>
      <c r="S38" s="94"/>
      <c r="T38" s="94"/>
      <c r="U38" s="94"/>
    </row>
    <row r="39" spans="1:21">
      <c r="A39" s="32" t="s">
        <v>251</v>
      </c>
      <c r="B39" s="33" t="s">
        <v>252</v>
      </c>
      <c r="D39" s="34" t="s">
        <v>220</v>
      </c>
      <c r="E39" s="34" t="s">
        <v>219</v>
      </c>
      <c r="F39" s="34" t="s">
        <v>221</v>
      </c>
      <c r="G39" s="34" t="s">
        <v>223</v>
      </c>
      <c r="I39" s="101" t="s">
        <v>225</v>
      </c>
      <c r="J39" s="102"/>
      <c r="K39" s="103"/>
      <c r="L39" s="101" t="s">
        <v>226</v>
      </c>
      <c r="M39" s="103"/>
      <c r="O39" s="95" t="s">
        <v>227</v>
      </c>
      <c r="P39" s="96"/>
      <c r="Q39" s="96"/>
      <c r="R39" s="96"/>
      <c r="S39" s="97"/>
      <c r="T39" s="95" t="s">
        <v>228</v>
      </c>
      <c r="U39" s="97"/>
    </row>
    <row r="40" spans="1:21">
      <c r="A40" s="46" t="s">
        <v>101</v>
      </c>
      <c r="B40" s="10" t="s">
        <v>3</v>
      </c>
      <c r="D40" s="10" t="str">
        <f>IF(INDEX($A$3:$B$26,MATCH(D3,$A$3:$A$26,0),2)&lt;&gt;0,INDEX($A$3:$B$26,MATCH(D3,$A$3:$A$26,0),2),D3)</f>
        <v>politico</v>
      </c>
      <c r="E40" s="10" t="str">
        <f>IF(INDEX($A$40:$B$55,MATCH(E3,$A$40:$A$55,0),2)&lt;&gt;0,INDEX($A$40:$B$55,MATCH(E3,$A$40:$A$55,0),2),E3)</f>
        <v>rdfs:subClassOf</v>
      </c>
      <c r="F40" s="10" t="str">
        <f>IF(INDEX($A$3:$B$26,MATCH(F3,$A$3:$A$26,0),2)&lt;&gt;0,INDEX($A$3:$B$26,MATCH(F3,$A$3:$A$26,0),2),F3)</f>
        <v>nivel</v>
      </c>
      <c r="G40" s="3" t="str">
        <f>IF(INDEX($A$3:$B$26,MATCH(F3,$A$3:$A$26,0),2)&lt;&gt;0,"OK","NOK")</f>
        <v>OK</v>
      </c>
      <c r="I40" s="10" t="str">
        <f t="shared" ref="I40:I64" si="1">D40 &amp;"-"&amp;F40</f>
        <v>politico-nivel</v>
      </c>
      <c r="J40" s="10"/>
      <c r="K40" s="10"/>
      <c r="L40" s="3">
        <f>IF(INDEX(GRAFO!$L$2:'GRAFO'!$L$41,MATCH(I40,GRAFO!$L$2:'GRAFO'!$L$41,0),1)&lt;&gt;0,1,0)</f>
        <v>1</v>
      </c>
      <c r="M40" s="3">
        <f>IFERROR(L40,0)</f>
        <v>1</v>
      </c>
      <c r="O40" s="10" t="str">
        <f t="shared" ref="O40:O64" si="2">D40 &amp; "-" &amp; E40 &amp; "-" &amp; F40</f>
        <v>politico-rdfs:subClassOf-nivel</v>
      </c>
      <c r="P40" s="10"/>
      <c r="Q40" s="10"/>
      <c r="R40" s="10"/>
      <c r="S40" s="10"/>
      <c r="T40" s="10">
        <f>IF(INDEX(GRAFO!$M$2:'GRAFO'!$M$41,MATCH(O40,GRAFO!$M$2:'GRAFO'!$M$41,0),1)&lt;&gt;0,1,0)</f>
        <v>1</v>
      </c>
      <c r="U40" s="10">
        <f>IFERROR(T40,0)</f>
        <v>1</v>
      </c>
    </row>
    <row r="41" spans="1:21">
      <c r="A41" s="46" t="s">
        <v>246</v>
      </c>
      <c r="B41" s="10" t="s">
        <v>4</v>
      </c>
      <c r="D41" s="10" t="str">
        <f t="shared" ref="D41:D64" si="3">IF(INDEX($A$3:$B$26,MATCH(D4,$A$3:$A$26,0),2)&lt;&gt;0,INDEX($A$3:$B$26,MATCH(D4,$A$3:$A$26,0),2),D4)</f>
        <v>estrategico</v>
      </c>
      <c r="E41" s="10" t="str">
        <f t="shared" ref="E41:E64" si="4">IF(INDEX($A$40:$B$55,MATCH(E4,$A$40:$A$55,0),2)&lt;&gt;0,INDEX($A$40:$B$55,MATCH(E4,$A$40:$A$55,0),2),E4)</f>
        <v>rdfs:subClassOf</v>
      </c>
      <c r="F41" s="10" t="str">
        <f t="shared" ref="F41:F64" si="5">IF(INDEX($A$3:$B$26,MATCH(F4,$A$3:$A$26,0),2)&lt;&gt;0,INDEX($A$3:$B$26,MATCH(F4,$A$3:$A$26,0),2),F4)</f>
        <v>nivel</v>
      </c>
      <c r="G41" s="3" t="str">
        <f t="shared" ref="G41:G64" si="6">IF(INDEX($A$3:$B$26,MATCH(F4,$A$3:$A$26,0),2)&lt;&gt;0,"OK","NOK")</f>
        <v>OK</v>
      </c>
      <c r="I41" s="10" t="str">
        <f t="shared" si="1"/>
        <v>estrategico-nivel</v>
      </c>
      <c r="J41" s="10"/>
      <c r="K41" s="10"/>
      <c r="L41" s="3">
        <f>IF(INDEX(GRAFO!$L$2:'GRAFO'!$L$41,MATCH(I41,GRAFO!$L$2:'GRAFO'!$L$41,0),1)&lt;&gt;0,1,0)</f>
        <v>1</v>
      </c>
      <c r="M41" s="3">
        <f t="shared" ref="M41:M64" si="7">IFERROR(L41,0)</f>
        <v>1</v>
      </c>
      <c r="O41" s="10" t="str">
        <f t="shared" si="2"/>
        <v>estrategico-rdfs:subClassOf-nivel</v>
      </c>
      <c r="P41" s="10"/>
      <c r="Q41" s="10"/>
      <c r="R41" s="10"/>
      <c r="S41" s="10"/>
      <c r="T41" s="10">
        <f>IF(INDEX(GRAFO!$M$2:'GRAFO'!$M$41,MATCH(O41,GRAFO!$M$2:'GRAFO'!$M$41,0),1)&lt;&gt;0,1,0)</f>
        <v>1</v>
      </c>
      <c r="U41" s="10">
        <f t="shared" ref="U41:U64" si="8">IFERROR(T41,0)</f>
        <v>1</v>
      </c>
    </row>
    <row r="42" spans="1:21">
      <c r="A42" s="46" t="s">
        <v>363</v>
      </c>
      <c r="B42" s="10" t="s">
        <v>5</v>
      </c>
      <c r="D42" s="10" t="str">
        <f t="shared" si="3"/>
        <v>operacional</v>
      </c>
      <c r="E42" s="10" t="str">
        <f t="shared" si="4"/>
        <v>rdfs:subClassOf</v>
      </c>
      <c r="F42" s="10" t="str">
        <f t="shared" si="5"/>
        <v>nivel</v>
      </c>
      <c r="G42" s="3" t="str">
        <f t="shared" si="6"/>
        <v>OK</v>
      </c>
      <c r="I42" s="10" t="str">
        <f t="shared" si="1"/>
        <v>operacional-nivel</v>
      </c>
      <c r="J42" s="10"/>
      <c r="K42" s="10"/>
      <c r="L42" s="3">
        <f>IF(INDEX(GRAFO!$L$2:'GRAFO'!$L$41,MATCH(I42,GRAFO!$L$2:'GRAFO'!$L$41,0),1)&lt;&gt;0,1,0)</f>
        <v>1</v>
      </c>
      <c r="M42" s="3">
        <f t="shared" si="7"/>
        <v>1</v>
      </c>
      <c r="O42" s="10" t="str">
        <f t="shared" si="2"/>
        <v>operacional-rdfs:subClassOf-nivel</v>
      </c>
      <c r="P42" s="10"/>
      <c r="Q42" s="10"/>
      <c r="R42" s="10"/>
      <c r="S42" s="10"/>
      <c r="T42" s="10">
        <f>IF(INDEX(GRAFO!$M$2:'GRAFO'!$M$41,MATCH(O42,GRAFO!$M$2:'GRAFO'!$M$41,0),1)&lt;&gt;0,1,0)</f>
        <v>1</v>
      </c>
      <c r="U42" s="10">
        <f t="shared" si="8"/>
        <v>1</v>
      </c>
    </row>
    <row r="43" spans="1:21">
      <c r="A43" s="46" t="s">
        <v>215</v>
      </c>
      <c r="B43" s="10" t="s">
        <v>7</v>
      </c>
      <c r="D43" s="10" t="str">
        <f t="shared" si="3"/>
        <v>tatico</v>
      </c>
      <c r="E43" s="10" t="str">
        <f t="shared" si="4"/>
        <v>rdfs:subClassOf</v>
      </c>
      <c r="F43" s="10" t="str">
        <f t="shared" si="5"/>
        <v>nivel</v>
      </c>
      <c r="G43" s="3" t="str">
        <f t="shared" si="6"/>
        <v>OK</v>
      </c>
      <c r="I43" s="10" t="str">
        <f t="shared" si="1"/>
        <v>tatico-nivel</v>
      </c>
      <c r="J43" s="10"/>
      <c r="K43" s="10"/>
      <c r="L43" s="3">
        <f>IF(INDEX(GRAFO!$L$2:'GRAFO'!$L$41,MATCH(I43,GRAFO!$L$2:'GRAFO'!$L$41,0),1)&lt;&gt;0,1,0)</f>
        <v>1</v>
      </c>
      <c r="M43" s="3">
        <f t="shared" si="7"/>
        <v>1</v>
      </c>
      <c r="O43" s="10" t="str">
        <f t="shared" si="2"/>
        <v>tatico-rdfs:subClassOf-nivel</v>
      </c>
      <c r="P43" s="10"/>
      <c r="Q43" s="10"/>
      <c r="R43" s="10"/>
      <c r="S43" s="10"/>
      <c r="T43" s="10">
        <f>IF(INDEX(GRAFO!$M$2:'GRAFO'!$M$41,MATCH(O43,GRAFO!$M$2:'GRAFO'!$M$41,0),1)&lt;&gt;0,1,0)</f>
        <v>1</v>
      </c>
      <c r="U43" s="10">
        <f t="shared" si="8"/>
        <v>1</v>
      </c>
    </row>
    <row r="44" spans="1:21">
      <c r="A44" s="46" t="s">
        <v>147</v>
      </c>
      <c r="B44" s="10" t="s">
        <v>7</v>
      </c>
      <c r="D44" s="10" t="str">
        <f t="shared" si="3"/>
        <v>exercito</v>
      </c>
      <c r="E44" s="10" t="str">
        <f t="shared" si="4"/>
        <v>rdfs:subClassOf</v>
      </c>
      <c r="F44" s="10" t="str">
        <f t="shared" si="5"/>
        <v>forcas_armadas</v>
      </c>
      <c r="G44" s="3" t="str">
        <f t="shared" si="6"/>
        <v>OK</v>
      </c>
      <c r="I44" s="10" t="str">
        <f t="shared" si="1"/>
        <v>exercito-forcas_armadas</v>
      </c>
      <c r="J44" s="10"/>
      <c r="K44" s="10"/>
      <c r="L44" s="3">
        <f>IF(INDEX(GRAFO!$L$2:'GRAFO'!$L$41,MATCH(I44,GRAFO!$L$2:'GRAFO'!$L$41,0),1)&lt;&gt;0,1,0)</f>
        <v>1</v>
      </c>
      <c r="M44" s="3">
        <f t="shared" si="7"/>
        <v>1</v>
      </c>
      <c r="O44" s="10" t="str">
        <f t="shared" si="2"/>
        <v>exercito-rdfs:subClassOf-forcas_armadas</v>
      </c>
      <c r="P44" s="10"/>
      <c r="Q44" s="10"/>
      <c r="R44" s="10"/>
      <c r="S44" s="10"/>
      <c r="T44" s="10">
        <f>IF(INDEX(GRAFO!$M$2:'GRAFO'!$M$41,MATCH(O44,GRAFO!$M$2:'GRAFO'!$M$41,0),1)&lt;&gt;0,1,0)</f>
        <v>1</v>
      </c>
      <c r="U44" s="10">
        <f t="shared" si="8"/>
        <v>1</v>
      </c>
    </row>
    <row r="45" spans="1:21">
      <c r="A45" s="46" t="s">
        <v>364</v>
      </c>
      <c r="B45" s="10" t="s">
        <v>4</v>
      </c>
      <c r="D45" s="10" t="str">
        <f t="shared" si="3"/>
        <v>marinha</v>
      </c>
      <c r="E45" s="10" t="str">
        <f t="shared" si="4"/>
        <v>rdfs:subClassOf</v>
      </c>
      <c r="F45" s="10" t="str">
        <f t="shared" si="5"/>
        <v>forcas_armadas</v>
      </c>
      <c r="G45" s="3" t="str">
        <f t="shared" si="6"/>
        <v>OK</v>
      </c>
      <c r="H45">
        <f>COUNTIFS(GRAFO!C2:C42,"=D34",GRAFO!E2:E42,"=F34")</f>
        <v>0</v>
      </c>
      <c r="I45" s="10" t="str">
        <f t="shared" si="1"/>
        <v>marinha-forcas_armadas</v>
      </c>
      <c r="J45" s="10"/>
      <c r="K45" s="10"/>
      <c r="L45" s="3">
        <f>IF(INDEX(GRAFO!$L$2:'GRAFO'!$L$41,MATCH(I45,GRAFO!$L$2:'GRAFO'!$L$41,0),1)&lt;&gt;0,1,0)</f>
        <v>1</v>
      </c>
      <c r="M45" s="3">
        <f t="shared" si="7"/>
        <v>1</v>
      </c>
      <c r="O45" s="10" t="str">
        <f t="shared" si="2"/>
        <v>marinha-rdfs:subClassOf-forcas_armadas</v>
      </c>
      <c r="P45" s="10"/>
      <c r="Q45" s="10"/>
      <c r="R45" s="10"/>
      <c r="S45" s="10"/>
      <c r="T45" s="10">
        <f>IF(INDEX(GRAFO!$M$2:'GRAFO'!$M$41,MATCH(O45,GRAFO!$M$2:'GRAFO'!$M$41,0),1)&lt;&gt;0,1,0)</f>
        <v>1</v>
      </c>
      <c r="U45" s="10">
        <f t="shared" si="8"/>
        <v>1</v>
      </c>
    </row>
    <row r="46" spans="1:21">
      <c r="A46" s="46" t="s">
        <v>142</v>
      </c>
      <c r="B46" s="10" t="s">
        <v>7</v>
      </c>
      <c r="D46" s="10" t="str">
        <f t="shared" si="3"/>
        <v>aeronautica</v>
      </c>
      <c r="E46" s="10" t="str">
        <f t="shared" si="4"/>
        <v>rdfs:subClassOf</v>
      </c>
      <c r="F46" s="10" t="str">
        <f t="shared" si="5"/>
        <v>forcas_armadas</v>
      </c>
      <c r="G46" s="3" t="str">
        <f t="shared" si="6"/>
        <v>OK</v>
      </c>
      <c r="I46" s="10" t="str">
        <f t="shared" si="1"/>
        <v>aeronautica-forcas_armadas</v>
      </c>
      <c r="J46" s="10"/>
      <c r="K46" s="10"/>
      <c r="L46" s="3">
        <f>IF(INDEX(GRAFO!$L$2:'GRAFO'!$L$41,MATCH(I46,GRAFO!$L$2:'GRAFO'!$L$41,0),1)&lt;&gt;0,1,0)</f>
        <v>1</v>
      </c>
      <c r="M46" s="3">
        <f t="shared" si="7"/>
        <v>1</v>
      </c>
      <c r="O46" s="10" t="str">
        <f t="shared" si="2"/>
        <v>aeronautica-rdfs:subClassOf-forcas_armadas</v>
      </c>
      <c r="P46" s="10"/>
      <c r="Q46" s="10"/>
      <c r="R46" s="10"/>
      <c r="S46" s="10"/>
      <c r="T46" s="10">
        <f>IF(INDEX(GRAFO!$M$2:'GRAFO'!$M$41,MATCH(O46,GRAFO!$M$2:'GRAFO'!$M$41,0),1)&lt;&gt;0,1,0)</f>
        <v>1</v>
      </c>
      <c r="U46" s="10">
        <f t="shared" si="8"/>
        <v>1</v>
      </c>
    </row>
    <row r="47" spans="1:21">
      <c r="A47" s="46" t="s">
        <v>340</v>
      </c>
      <c r="B47" s="10" t="s">
        <v>4</v>
      </c>
      <c r="C47" s="24"/>
      <c r="D47" s="10" t="str">
        <f t="shared" si="3"/>
        <v>presidente_da_republica</v>
      </c>
      <c r="E47" s="10" t="str">
        <f t="shared" si="4"/>
        <v>c2rm:responsible_for</v>
      </c>
      <c r="F47" s="10" t="str">
        <f t="shared" si="5"/>
        <v>diretrizes_estr</v>
      </c>
      <c r="G47" s="3" t="str">
        <f t="shared" si="6"/>
        <v>NOK</v>
      </c>
      <c r="I47" s="10" t="str">
        <f t="shared" si="1"/>
        <v>presidente_da_republica-diretrizes_estr</v>
      </c>
      <c r="J47" s="10"/>
      <c r="K47" s="10"/>
      <c r="L47" s="3" t="e">
        <f>IF(INDEX(GRAFO!$L$2:'GRAFO'!$L$41,MATCH(I47,GRAFO!$L$2:'GRAFO'!$L$41,0),1)&lt;&gt;0,1,0)</f>
        <v>#N/A</v>
      </c>
      <c r="M47" s="3">
        <f t="shared" si="7"/>
        <v>0</v>
      </c>
      <c r="O47" s="10" t="str">
        <f t="shared" si="2"/>
        <v>presidente_da_republica-c2rm:responsible_for-diretrizes_estr</v>
      </c>
      <c r="P47" s="10"/>
      <c r="Q47" s="10"/>
      <c r="R47" s="10"/>
      <c r="S47" s="10"/>
      <c r="T47" s="10" t="e">
        <f>IF(INDEX(GRAFO!$M$2:'GRAFO'!$M$41,MATCH(O47,GRAFO!$M$2:'GRAFO'!$M$41,0),1)&lt;&gt;0,1,0)</f>
        <v>#N/A</v>
      </c>
      <c r="U47" s="10">
        <f t="shared" si="8"/>
        <v>0</v>
      </c>
    </row>
    <row r="48" spans="1:21">
      <c r="A48" s="46" t="s">
        <v>361</v>
      </c>
      <c r="B48" s="10" t="s">
        <v>4</v>
      </c>
      <c r="C48" s="9" t="str">
        <f t="shared" ref="C48:C63" si="9">IF(INDEX($A$3:$B$18,MATCH(D3,$A$3:$A$17,0),2)&lt;&gt;0,"OK","NOK")</f>
        <v>OK</v>
      </c>
      <c r="D48" s="10" t="str">
        <f t="shared" si="3"/>
        <v>presidente_da_republica</v>
      </c>
      <c r="E48" s="10" t="str">
        <f t="shared" si="4"/>
        <v>c2rm:responsible_for</v>
      </c>
      <c r="F48" s="10" t="str">
        <f t="shared" si="5"/>
        <v>objetivos_politicos</v>
      </c>
      <c r="G48" s="3" t="str">
        <f t="shared" si="6"/>
        <v>OK</v>
      </c>
      <c r="I48" s="10" t="str">
        <f t="shared" si="1"/>
        <v>presidente_da_republica-objetivos_politicos</v>
      </c>
      <c r="J48" s="10"/>
      <c r="K48" s="10"/>
      <c r="L48" s="3">
        <f>IF(INDEX(GRAFO!$L$2:'GRAFO'!$L$41,MATCH(I48,GRAFO!$L$2:'GRAFO'!$L$41,0),1)&lt;&gt;0,1,0)</f>
        <v>1</v>
      </c>
      <c r="M48" s="3">
        <f t="shared" si="7"/>
        <v>1</v>
      </c>
      <c r="O48" s="10" t="str">
        <f t="shared" si="2"/>
        <v>presidente_da_republica-c2rm:responsible_for-objetivos_politicos</v>
      </c>
      <c r="P48" s="10"/>
      <c r="Q48" s="10"/>
      <c r="R48" s="10"/>
      <c r="S48" s="10"/>
      <c r="T48" s="10">
        <f>IF(INDEX(GRAFO!$M$2:'GRAFO'!$M$41,MATCH(O48,GRAFO!$M$2:'GRAFO'!$M$41,0),1)&lt;&gt;0,1,0)</f>
        <v>1</v>
      </c>
      <c r="U48" s="10">
        <f t="shared" si="8"/>
        <v>1</v>
      </c>
    </row>
    <row r="49" spans="1:21">
      <c r="A49" s="46" t="s">
        <v>277</v>
      </c>
      <c r="B49" s="10" t="s">
        <v>7</v>
      </c>
      <c r="C49" s="9" t="str">
        <f t="shared" si="9"/>
        <v>OK</v>
      </c>
      <c r="D49" s="10" t="str">
        <f t="shared" si="3"/>
        <v>presidente_da_republica</v>
      </c>
      <c r="E49" s="10" t="str">
        <f t="shared" si="4"/>
        <v>c2rm:responsible_for</v>
      </c>
      <c r="F49" s="10" t="str">
        <f t="shared" si="5"/>
        <v>politico</v>
      </c>
      <c r="G49" s="3" t="str">
        <f t="shared" si="6"/>
        <v>OK</v>
      </c>
      <c r="I49" s="10" t="str">
        <f t="shared" si="1"/>
        <v>presidente_da_republica-politico</v>
      </c>
      <c r="J49" s="10"/>
      <c r="K49" s="10"/>
      <c r="L49" s="3">
        <f>IF(INDEX(GRAFO!$L$2:'GRAFO'!$L$41,MATCH(I49,GRAFO!$L$2:'GRAFO'!$L$41,0),1)&lt;&gt;0,1,0)</f>
        <v>1</v>
      </c>
      <c r="M49" s="3">
        <f t="shared" si="7"/>
        <v>1</v>
      </c>
      <c r="O49" s="10" t="str">
        <f t="shared" si="2"/>
        <v>presidente_da_republica-c2rm:responsible_for-politico</v>
      </c>
      <c r="P49" s="10"/>
      <c r="Q49" s="10"/>
      <c r="R49" s="10"/>
      <c r="S49" s="10"/>
      <c r="T49" s="10">
        <f>IF(INDEX(GRAFO!$M$2:'GRAFO'!$M$41,MATCH(O49,GRAFO!$M$2:'GRAFO'!$M$41,0),1)&lt;&gt;0,1,0)</f>
        <v>1</v>
      </c>
      <c r="U49" s="10">
        <f t="shared" si="8"/>
        <v>1</v>
      </c>
    </row>
    <row r="50" spans="1:21">
      <c r="A50" s="46" t="s">
        <v>362</v>
      </c>
      <c r="B50" s="10" t="s">
        <v>7</v>
      </c>
      <c r="C50" s="9" t="str">
        <f t="shared" si="9"/>
        <v>OK</v>
      </c>
      <c r="D50" s="10" t="str">
        <f t="shared" si="3"/>
        <v>diretrizes_estr</v>
      </c>
      <c r="E50" s="10" t="str">
        <f t="shared" si="4"/>
        <v>rdfs:seeAlso</v>
      </c>
      <c r="F50" s="10" t="str">
        <f t="shared" si="5"/>
        <v>dped</v>
      </c>
      <c r="G50" s="3" t="str">
        <f t="shared" si="6"/>
        <v>NOK</v>
      </c>
      <c r="I50" s="10" t="str">
        <f t="shared" si="1"/>
        <v>diretrizes_estr-dped</v>
      </c>
      <c r="J50" s="10"/>
      <c r="K50" s="10"/>
      <c r="L50" s="3" t="e">
        <f>IF(INDEX(GRAFO!$L$2:'GRAFO'!$L$41,MATCH(I50,GRAFO!$L$2:'GRAFO'!$L$41,0),1)&lt;&gt;0,1,0)</f>
        <v>#N/A</v>
      </c>
      <c r="M50" s="3">
        <f t="shared" si="7"/>
        <v>0</v>
      </c>
      <c r="O50" s="10" t="str">
        <f t="shared" si="2"/>
        <v>diretrizes_estr-rdfs:seeAlso-dped</v>
      </c>
      <c r="P50" s="10"/>
      <c r="Q50" s="10"/>
      <c r="R50" s="10"/>
      <c r="S50" s="10"/>
      <c r="T50" s="10" t="e">
        <f>IF(INDEX(GRAFO!$M$2:'GRAFO'!$M$41,MATCH(O50,GRAFO!$M$2:'GRAFO'!$M$41,0),1)&lt;&gt;0,1,0)</f>
        <v>#N/A</v>
      </c>
      <c r="U50" s="10">
        <f t="shared" si="8"/>
        <v>0</v>
      </c>
    </row>
    <row r="51" spans="1:21">
      <c r="A51" s="46" t="s">
        <v>214</v>
      </c>
      <c r="B51" s="10" t="s">
        <v>7</v>
      </c>
      <c r="C51" s="9" t="str">
        <f t="shared" si="9"/>
        <v>OK</v>
      </c>
      <c r="D51" s="10" t="str">
        <f t="shared" si="3"/>
        <v>md</v>
      </c>
      <c r="E51" s="10" t="str">
        <f t="shared" si="4"/>
        <v>c2rm:responsible_for</v>
      </c>
      <c r="F51" s="10" t="str">
        <f t="shared" si="5"/>
        <v>estrategico</v>
      </c>
      <c r="G51" s="3" t="str">
        <f t="shared" si="6"/>
        <v>OK</v>
      </c>
      <c r="I51" s="10" t="str">
        <f t="shared" si="1"/>
        <v>md-estrategico</v>
      </c>
      <c r="J51" s="10"/>
      <c r="K51" s="10"/>
      <c r="L51" s="3" t="e">
        <f>IF(INDEX(GRAFO!$L$2:'GRAFO'!$L$41,MATCH(I51,GRAFO!$L$2:'GRAFO'!$L$41,0),1)&lt;&gt;0,1,0)</f>
        <v>#N/A</v>
      </c>
      <c r="M51" s="3">
        <f t="shared" si="7"/>
        <v>0</v>
      </c>
      <c r="O51" s="10" t="str">
        <f t="shared" si="2"/>
        <v>md-c2rm:responsible_for-estrategico</v>
      </c>
      <c r="P51" s="10"/>
      <c r="Q51" s="10"/>
      <c r="R51" s="10"/>
      <c r="S51" s="10"/>
      <c r="T51" s="10" t="e">
        <f>IF(INDEX(GRAFO!$M$2:'GRAFO'!$M$41,MATCH(O51,GRAFO!$M$2:'GRAFO'!$M$41,0),1)&lt;&gt;0,1,0)</f>
        <v>#N/A</v>
      </c>
      <c r="U51" s="10">
        <f t="shared" si="8"/>
        <v>0</v>
      </c>
    </row>
    <row r="52" spans="1:21">
      <c r="A52" s="46" t="s">
        <v>243</v>
      </c>
      <c r="B52" s="10" t="s">
        <v>4</v>
      </c>
      <c r="C52" s="9" t="e">
        <f t="shared" si="9"/>
        <v>#N/A</v>
      </c>
      <c r="D52" s="10" t="str">
        <f t="shared" si="3"/>
        <v>md</v>
      </c>
      <c r="E52" s="10" t="str">
        <f t="shared" si="4"/>
        <v>rdfs:seeAlso</v>
      </c>
      <c r="F52" s="10" t="str">
        <f t="shared" si="5"/>
        <v>diretriz</v>
      </c>
      <c r="G52" s="3" t="str">
        <f t="shared" si="6"/>
        <v>NOK</v>
      </c>
      <c r="I52" s="10" t="str">
        <f t="shared" si="1"/>
        <v>md-diretriz</v>
      </c>
      <c r="J52" s="10"/>
      <c r="K52" s="10"/>
      <c r="L52" s="3" t="e">
        <f>IF(INDEX(GRAFO!$L$2:'GRAFO'!$L$41,MATCH(I52,GRAFO!$L$2:'GRAFO'!$L$41,0),1)&lt;&gt;0,1,0)</f>
        <v>#N/A</v>
      </c>
      <c r="M52" s="3">
        <f t="shared" si="7"/>
        <v>0</v>
      </c>
      <c r="O52" s="10" t="str">
        <f t="shared" si="2"/>
        <v>md-rdfs:seeAlso-diretriz</v>
      </c>
      <c r="P52" s="10"/>
      <c r="Q52" s="10"/>
      <c r="R52" s="10"/>
      <c r="S52" s="10"/>
      <c r="T52" s="10" t="e">
        <f>IF(INDEX(GRAFO!$M$2:'GRAFO'!$M$41,MATCH(O52,GRAFO!$M$2:'GRAFO'!$M$41,0),1)&lt;&gt;0,1,0)</f>
        <v>#N/A</v>
      </c>
      <c r="U52" s="10">
        <f t="shared" si="8"/>
        <v>0</v>
      </c>
    </row>
    <row r="53" spans="1:21">
      <c r="A53" s="46" t="s">
        <v>107</v>
      </c>
      <c r="B53" s="10" t="s">
        <v>7</v>
      </c>
      <c r="C53" s="9" t="e">
        <f t="shared" si="9"/>
        <v>#N/A</v>
      </c>
      <c r="D53" s="10" t="str">
        <f t="shared" si="3"/>
        <v>diretriz</v>
      </c>
      <c r="E53" s="10" t="str">
        <f t="shared" si="4"/>
        <v>rdfs:seeAlso</v>
      </c>
      <c r="F53" s="10" t="str">
        <f t="shared" si="5"/>
        <v>dmed</v>
      </c>
      <c r="G53" s="3" t="str">
        <f t="shared" si="6"/>
        <v>NOK</v>
      </c>
      <c r="I53" s="10" t="str">
        <f t="shared" si="1"/>
        <v>diretriz-dmed</v>
      </c>
      <c r="J53" s="10"/>
      <c r="K53" s="10"/>
      <c r="L53" s="3" t="e">
        <f>IF(INDEX(GRAFO!$L$2:'GRAFO'!$L$41,MATCH(I53,GRAFO!$L$2:'GRAFO'!$L$41,0),1)&lt;&gt;0,1,0)</f>
        <v>#N/A</v>
      </c>
      <c r="M53" s="3">
        <f t="shared" si="7"/>
        <v>0</v>
      </c>
      <c r="O53" s="10" t="str">
        <f t="shared" si="2"/>
        <v>diretriz-rdfs:seeAlso-dmed</v>
      </c>
      <c r="P53" s="10"/>
      <c r="Q53" s="10"/>
      <c r="R53" s="10"/>
      <c r="S53" s="10"/>
      <c r="T53" s="10" t="e">
        <f>IF(INDEX(GRAFO!$M$2:'GRAFO'!$M$41,MATCH(O53,GRAFO!$M$2:'GRAFO'!$M$41,0),1)&lt;&gt;0,1,0)</f>
        <v>#N/A</v>
      </c>
      <c r="U53" s="10">
        <f t="shared" si="8"/>
        <v>0</v>
      </c>
    </row>
    <row r="54" spans="1:21">
      <c r="A54" s="46" t="s">
        <v>242</v>
      </c>
      <c r="B54" s="10" t="s">
        <v>7</v>
      </c>
      <c r="C54" s="9" t="e">
        <f t="shared" si="9"/>
        <v>#N/A</v>
      </c>
      <c r="D54" s="10" t="str">
        <f t="shared" si="3"/>
        <v>cmd_op</v>
      </c>
      <c r="E54" s="10" t="str">
        <f t="shared" si="4"/>
        <v>c2rm:responsible_for</v>
      </c>
      <c r="F54" s="10" t="str">
        <f t="shared" si="5"/>
        <v>operacional</v>
      </c>
      <c r="G54" s="3" t="str">
        <f t="shared" si="6"/>
        <v>OK</v>
      </c>
      <c r="I54" s="10" t="str">
        <f t="shared" si="1"/>
        <v>cmd_op-operacional</v>
      </c>
      <c r="J54" s="10"/>
      <c r="K54" s="10"/>
      <c r="L54" s="3" t="e">
        <f>IF(INDEX(GRAFO!$L$2:'GRAFO'!$L$41,MATCH(I54,GRAFO!$L$2:'GRAFO'!$L$41,0),1)&lt;&gt;0,1,0)</f>
        <v>#N/A</v>
      </c>
      <c r="M54" s="3">
        <f t="shared" si="7"/>
        <v>0</v>
      </c>
      <c r="O54" s="10" t="str">
        <f t="shared" si="2"/>
        <v>cmd_op-c2rm:responsible_for-operacional</v>
      </c>
      <c r="P54" s="10"/>
      <c r="Q54" s="10"/>
      <c r="R54" s="10"/>
      <c r="S54" s="10"/>
      <c r="T54" s="10" t="e">
        <f>IF(INDEX(GRAFO!$M$2:'GRAFO'!$M$41,MATCH(O54,GRAFO!$M$2:'GRAFO'!$M$41,0),1)&lt;&gt;0,1,0)</f>
        <v>#N/A</v>
      </c>
      <c r="U54" s="10">
        <f t="shared" si="8"/>
        <v>0</v>
      </c>
    </row>
    <row r="55" spans="1:21">
      <c r="A55" s="46" t="s">
        <v>245</v>
      </c>
      <c r="B55" s="10" t="s">
        <v>205</v>
      </c>
      <c r="C55" s="9" t="e">
        <f t="shared" si="9"/>
        <v>#N/A</v>
      </c>
      <c r="D55" s="10" t="str">
        <f t="shared" si="3"/>
        <v>cmd_op</v>
      </c>
      <c r="E55" s="10" t="str">
        <f t="shared" si="4"/>
        <v>c2rm:responsible_for</v>
      </c>
      <c r="F55" s="10" t="str">
        <f t="shared" si="5"/>
        <v>operacao_conjunta</v>
      </c>
      <c r="G55" s="3" t="str">
        <f t="shared" si="6"/>
        <v>OK</v>
      </c>
      <c r="I55" s="10" t="str">
        <f t="shared" si="1"/>
        <v>cmd_op-operacao_conjunta</v>
      </c>
      <c r="J55" s="10"/>
      <c r="K55" s="10"/>
      <c r="L55" s="3" t="e">
        <f>IF(INDEX(GRAFO!$L$2:'GRAFO'!$L$41,MATCH(I55,GRAFO!$L$2:'GRAFO'!$L$41,0),1)&lt;&gt;0,1,0)</f>
        <v>#N/A</v>
      </c>
      <c r="M55" s="3">
        <f t="shared" si="7"/>
        <v>0</v>
      </c>
      <c r="O55" s="10" t="str">
        <f t="shared" si="2"/>
        <v>cmd_op-c2rm:responsible_for-operacao_conjunta</v>
      </c>
      <c r="P55" s="10"/>
      <c r="Q55" s="10"/>
      <c r="R55" s="10"/>
      <c r="S55" s="10"/>
      <c r="T55" s="10" t="e">
        <f>IF(INDEX(GRAFO!$M$2:'GRAFO'!$M$41,MATCH(O55,GRAFO!$M$2:'GRAFO'!$M$41,0),1)&lt;&gt;0,1,0)</f>
        <v>#N/A</v>
      </c>
      <c r="U55" s="10">
        <f t="shared" si="8"/>
        <v>0</v>
      </c>
    </row>
    <row r="56" spans="1:21">
      <c r="A56" s="10"/>
      <c r="B56" s="10"/>
      <c r="C56" s="9" t="e">
        <f t="shared" si="9"/>
        <v>#N/A</v>
      </c>
      <c r="D56" s="10" t="str">
        <f t="shared" si="3"/>
        <v>c_log</v>
      </c>
      <c r="E56" s="10" t="str">
        <f t="shared" si="4"/>
        <v>c2rm:responsible_for</v>
      </c>
      <c r="F56" s="10" t="str">
        <f t="shared" si="5"/>
        <v>operacao_conjunta</v>
      </c>
      <c r="G56" s="3" t="str">
        <f t="shared" si="6"/>
        <v>OK</v>
      </c>
      <c r="I56" s="10" t="str">
        <f t="shared" si="1"/>
        <v>c_log-operacao_conjunta</v>
      </c>
      <c r="J56" s="10"/>
      <c r="K56" s="10"/>
      <c r="L56" s="3" t="e">
        <f>IF(INDEX(GRAFO!$L$2:'GRAFO'!$L$41,MATCH(I56,GRAFO!$L$2:'GRAFO'!$L$41,0),1)&lt;&gt;0,1,0)</f>
        <v>#N/A</v>
      </c>
      <c r="M56" s="3">
        <f t="shared" si="7"/>
        <v>0</v>
      </c>
      <c r="O56" s="10" t="str">
        <f t="shared" si="2"/>
        <v>c_log-c2rm:responsible_for-operacao_conjunta</v>
      </c>
      <c r="P56" s="10"/>
      <c r="Q56" s="10"/>
      <c r="R56" s="10"/>
      <c r="S56" s="10"/>
      <c r="T56" s="10" t="e">
        <f>IF(INDEX(GRAFO!$M$2:'GRAFO'!$M$41,MATCH(O56,GRAFO!$M$2:'GRAFO'!$M$41,0),1)&lt;&gt;0,1,0)</f>
        <v>#N/A</v>
      </c>
      <c r="U56" s="10">
        <f t="shared" si="8"/>
        <v>0</v>
      </c>
    </row>
    <row r="57" spans="1:21">
      <c r="C57" s="9" t="e">
        <f t="shared" si="9"/>
        <v>#N/A</v>
      </c>
      <c r="D57" s="10" t="str">
        <f t="shared" si="3"/>
        <v>c_log</v>
      </c>
      <c r="E57" s="10" t="str">
        <f t="shared" si="4"/>
        <v>rdfs:seeAlso</v>
      </c>
      <c r="F57" s="10" t="str">
        <f t="shared" si="5"/>
        <v>cmd_op</v>
      </c>
      <c r="G57" s="3" t="str">
        <f t="shared" si="6"/>
        <v>NOK</v>
      </c>
      <c r="I57" s="10" t="str">
        <f t="shared" si="1"/>
        <v>c_log-cmd_op</v>
      </c>
      <c r="J57" s="10"/>
      <c r="K57" s="10"/>
      <c r="L57" s="3" t="e">
        <f>IF(INDEX(GRAFO!$L$2:'GRAFO'!$L$41,MATCH(I57,GRAFO!$L$2:'GRAFO'!$L$41,0),1)&lt;&gt;0,1,0)</f>
        <v>#N/A</v>
      </c>
      <c r="M57" s="3">
        <f t="shared" si="7"/>
        <v>0</v>
      </c>
      <c r="O57" s="10" t="str">
        <f t="shared" si="2"/>
        <v>c_log-rdfs:seeAlso-cmd_op</v>
      </c>
      <c r="P57" s="10"/>
      <c r="Q57" s="10"/>
      <c r="R57" s="10"/>
      <c r="S57" s="10"/>
      <c r="T57" s="10" t="e">
        <f>IF(INDEX(GRAFO!$M$2:'GRAFO'!$M$41,MATCH(O57,GRAFO!$M$2:'GRAFO'!$M$41,0),1)&lt;&gt;0,1,0)</f>
        <v>#N/A</v>
      </c>
      <c r="U57" s="10">
        <f t="shared" si="8"/>
        <v>0</v>
      </c>
    </row>
    <row r="58" spans="1:21">
      <c r="C58" s="9" t="str">
        <f t="shared" si="9"/>
        <v>NOK</v>
      </c>
      <c r="D58" s="10" t="str">
        <f t="shared" si="3"/>
        <v>cmd_op</v>
      </c>
      <c r="E58" s="10" t="str">
        <f t="shared" si="4"/>
        <v>c2rm:responsible_for</v>
      </c>
      <c r="F58" s="10" t="str">
        <f t="shared" si="5"/>
        <v>planejamento</v>
      </c>
      <c r="G58" s="3" t="str">
        <f t="shared" si="6"/>
        <v>NOK</v>
      </c>
      <c r="I58" s="10" t="str">
        <f t="shared" si="1"/>
        <v>cmd_op-planejamento</v>
      </c>
      <c r="J58" s="10"/>
      <c r="K58" s="10"/>
      <c r="L58" s="3" t="e">
        <f>IF(INDEX(GRAFO!$L$2:'GRAFO'!$L$41,MATCH(I58,GRAFO!$L$2:'GRAFO'!$L$41,0),1)&lt;&gt;0,1,0)</f>
        <v>#N/A</v>
      </c>
      <c r="M58" s="3">
        <f t="shared" si="7"/>
        <v>0</v>
      </c>
      <c r="O58" s="10" t="str">
        <f t="shared" si="2"/>
        <v>cmd_op-c2rm:responsible_for-planejamento</v>
      </c>
      <c r="P58" s="10"/>
      <c r="Q58" s="10"/>
      <c r="R58" s="10"/>
      <c r="S58" s="10"/>
      <c r="T58" s="10" t="e">
        <f>IF(INDEX(GRAFO!$M$2:'GRAFO'!$M$41,MATCH(O58,GRAFO!$M$2:'GRAFO'!$M$41,0),1)&lt;&gt;0,1,0)</f>
        <v>#N/A</v>
      </c>
      <c r="U58" s="10">
        <f t="shared" si="8"/>
        <v>0</v>
      </c>
    </row>
    <row r="59" spans="1:21">
      <c r="C59" s="9" t="str">
        <f t="shared" si="9"/>
        <v>NOK</v>
      </c>
      <c r="D59" s="10" t="str">
        <f t="shared" si="3"/>
        <v>cmd_op</v>
      </c>
      <c r="E59" s="10" t="str">
        <f t="shared" si="4"/>
        <v>c2rm:responsible_for</v>
      </c>
      <c r="F59" s="10" t="str">
        <f t="shared" si="5"/>
        <v>objetivos_operacionais</v>
      </c>
      <c r="G59" s="3" t="str">
        <f t="shared" si="6"/>
        <v>NOK</v>
      </c>
      <c r="I59" s="10" t="str">
        <f t="shared" si="1"/>
        <v>cmd_op-objetivos_operacionais</v>
      </c>
      <c r="J59" s="10"/>
      <c r="K59" s="10"/>
      <c r="L59" s="3" t="e">
        <f>IF(INDEX(GRAFO!$L$2:'GRAFO'!$L$41,MATCH(I59,GRAFO!$L$2:'GRAFO'!$L$41,0),1)&lt;&gt;0,1,0)</f>
        <v>#N/A</v>
      </c>
      <c r="M59" s="3">
        <f t="shared" si="7"/>
        <v>0</v>
      </c>
      <c r="O59" s="10" t="str">
        <f t="shared" si="2"/>
        <v>cmd_op-c2rm:responsible_for-objetivos_operacionais</v>
      </c>
      <c r="P59" s="10"/>
      <c r="Q59" s="10"/>
      <c r="R59" s="10"/>
      <c r="S59" s="10"/>
      <c r="T59" s="10" t="e">
        <f>IF(INDEX(GRAFO!$M$2:'GRAFO'!$M$41,MATCH(O59,GRAFO!$M$2:'GRAFO'!$M$41,0),1)&lt;&gt;0,1,0)</f>
        <v>#N/A</v>
      </c>
      <c r="U59" s="10">
        <f t="shared" si="8"/>
        <v>0</v>
      </c>
    </row>
    <row r="60" spans="1:21">
      <c r="C60" s="9" t="str">
        <f t="shared" si="9"/>
        <v>NOK</v>
      </c>
      <c r="D60" s="10" t="str">
        <f t="shared" si="3"/>
        <v>forca_componente</v>
      </c>
      <c r="E60" s="10" t="str">
        <f t="shared" si="4"/>
        <v>rdfs:seeAlso</v>
      </c>
      <c r="F60" s="10" t="str">
        <f t="shared" si="5"/>
        <v>tatico</v>
      </c>
      <c r="G60" s="3" t="str">
        <f t="shared" si="6"/>
        <v>OK</v>
      </c>
      <c r="I60" s="10" t="str">
        <f t="shared" si="1"/>
        <v>forca_componente-tatico</v>
      </c>
      <c r="J60" s="10"/>
      <c r="K60" s="10"/>
      <c r="L60" s="3">
        <f>IF(INDEX(GRAFO!$L$2:'GRAFO'!$L$41,MATCH(I60,GRAFO!$L$2:'GRAFO'!$L$41,0),1)&lt;&gt;0,1,0)</f>
        <v>1</v>
      </c>
      <c r="M60" s="3">
        <f t="shared" si="7"/>
        <v>1</v>
      </c>
      <c r="O60" s="10" t="str">
        <f t="shared" si="2"/>
        <v>forca_componente-rdfs:seeAlso-tatico</v>
      </c>
      <c r="P60" s="10"/>
      <c r="Q60" s="10"/>
      <c r="R60" s="10"/>
      <c r="S60" s="10"/>
      <c r="T60" s="10" t="e">
        <f>IF(INDEX(GRAFO!$M$2:'GRAFO'!$M$41,MATCH(O60,GRAFO!$M$2:'GRAFO'!$M$41,0),1)&lt;&gt;0,1,0)</f>
        <v>#N/A</v>
      </c>
      <c r="U60" s="10">
        <f t="shared" si="8"/>
        <v>0</v>
      </c>
    </row>
    <row r="61" spans="1:21">
      <c r="C61" s="9" t="str">
        <f t="shared" si="9"/>
        <v>NOK</v>
      </c>
      <c r="D61" s="10" t="str">
        <f t="shared" si="3"/>
        <v>forca_componente</v>
      </c>
      <c r="E61" s="10" t="str">
        <f t="shared" si="4"/>
        <v>c2rm:applied_to</v>
      </c>
      <c r="F61" s="10" t="str">
        <f t="shared" si="5"/>
        <v>objetivos_operacionais</v>
      </c>
      <c r="G61" s="3" t="str">
        <f t="shared" si="6"/>
        <v>NOK</v>
      </c>
      <c r="I61" s="10" t="str">
        <f t="shared" si="1"/>
        <v>forca_componente-objetivos_operacionais</v>
      </c>
      <c r="J61" s="10"/>
      <c r="K61" s="10"/>
      <c r="L61" s="3" t="e">
        <f>IF(INDEX(GRAFO!$L$2:'GRAFO'!$L$41,MATCH(I61,GRAFO!$L$2:'GRAFO'!$L$41,0),1)&lt;&gt;0,1,0)</f>
        <v>#N/A</v>
      </c>
      <c r="M61" s="3">
        <f t="shared" si="7"/>
        <v>0</v>
      </c>
      <c r="O61" s="10" t="str">
        <f t="shared" si="2"/>
        <v>forca_componente-c2rm:applied_to-objetivos_operacionais</v>
      </c>
      <c r="P61" s="10"/>
      <c r="Q61" s="10"/>
      <c r="R61" s="10"/>
      <c r="S61" s="10"/>
      <c r="T61" s="10" t="e">
        <f>IF(INDEX(GRAFO!$M$2:'GRAFO'!$M$41,MATCH(O61,GRAFO!$M$2:'GRAFO'!$M$41,0),1)&lt;&gt;0,1,0)</f>
        <v>#N/A</v>
      </c>
      <c r="U61" s="10">
        <f t="shared" si="8"/>
        <v>0</v>
      </c>
    </row>
    <row r="62" spans="1:21">
      <c r="C62" s="9" t="str">
        <f t="shared" si="9"/>
        <v>NOK</v>
      </c>
      <c r="D62" s="10" t="str">
        <f t="shared" si="3"/>
        <v>forca_componente</v>
      </c>
      <c r="E62" s="10" t="str">
        <f t="shared" si="4"/>
        <v>c2rm:responsible_for</v>
      </c>
      <c r="F62" s="10" t="str">
        <f t="shared" si="5"/>
        <v>operacao_conjunta</v>
      </c>
      <c r="G62" s="3" t="str">
        <f t="shared" si="6"/>
        <v>OK</v>
      </c>
      <c r="I62" s="10" t="str">
        <f t="shared" si="1"/>
        <v>forca_componente-operacao_conjunta</v>
      </c>
      <c r="J62" s="10"/>
      <c r="K62" s="10"/>
      <c r="L62" s="3">
        <f>IF(INDEX(GRAFO!$L$2:'GRAFO'!$L$41,MATCH(I62,GRAFO!$L$2:'GRAFO'!$L$41,0),1)&lt;&gt;0,1,0)</f>
        <v>1</v>
      </c>
      <c r="M62" s="3">
        <f t="shared" si="7"/>
        <v>1</v>
      </c>
      <c r="O62" s="10" t="str">
        <f t="shared" si="2"/>
        <v>forca_componente-c2rm:responsible_for-operacao_conjunta</v>
      </c>
      <c r="P62" s="10"/>
      <c r="Q62" s="10"/>
      <c r="R62" s="10"/>
      <c r="S62" s="10"/>
      <c r="T62" s="10">
        <f>IF(INDEX(GRAFO!$M$2:'GRAFO'!$M$41,MATCH(O62,GRAFO!$M$2:'GRAFO'!$M$41,0),1)&lt;&gt;0,1,0)</f>
        <v>1</v>
      </c>
      <c r="U62" s="10">
        <f t="shared" si="8"/>
        <v>1</v>
      </c>
    </row>
    <row r="63" spans="1:21">
      <c r="C63" s="9" t="str">
        <f t="shared" si="9"/>
        <v>NOK</v>
      </c>
      <c r="D63" s="10" t="str">
        <f t="shared" si="3"/>
        <v>operacao_conjunta</v>
      </c>
      <c r="E63" s="10" t="str">
        <f t="shared" si="4"/>
        <v>rdfs:seeAlso</v>
      </c>
      <c r="F63" s="10" t="str">
        <f t="shared" si="5"/>
        <v>forcas_armadas</v>
      </c>
      <c r="G63" s="3" t="str">
        <f t="shared" si="6"/>
        <v>OK</v>
      </c>
      <c r="I63" s="10" t="str">
        <f t="shared" si="1"/>
        <v>operacao_conjunta-forcas_armadas</v>
      </c>
      <c r="J63" s="10"/>
      <c r="K63" s="10"/>
      <c r="L63" s="3" t="e">
        <f>IF(INDEX(GRAFO!$L$2:'GRAFO'!$L$41,MATCH(I63,GRAFO!$L$2:'GRAFO'!$L$41,0),1)&lt;&gt;0,1,0)</f>
        <v>#N/A</v>
      </c>
      <c r="M63" s="3">
        <f t="shared" si="7"/>
        <v>0</v>
      </c>
      <c r="O63" s="10" t="str">
        <f t="shared" si="2"/>
        <v>operacao_conjunta-rdfs:seeAlso-forcas_armadas</v>
      </c>
      <c r="P63" s="10"/>
      <c r="Q63" s="10"/>
      <c r="R63" s="10"/>
      <c r="S63" s="10"/>
      <c r="T63" s="10" t="e">
        <f>IF(INDEX(GRAFO!$M$2:'GRAFO'!$M$41,MATCH(O63,GRAFO!$M$2:'GRAFO'!$M$41,0),1)&lt;&gt;0,1,0)</f>
        <v>#N/A</v>
      </c>
      <c r="U63" s="10">
        <f t="shared" si="8"/>
        <v>0</v>
      </c>
    </row>
    <row r="64" spans="1:21">
      <c r="D64" s="10" t="str">
        <f t="shared" si="3"/>
        <v>forca_componente</v>
      </c>
      <c r="E64" s="10" t="str">
        <f t="shared" si="4"/>
        <v>rdf:Bag</v>
      </c>
      <c r="F64" s="10" t="str">
        <f t="shared" si="5"/>
        <v>forcas_armadas</v>
      </c>
      <c r="G64" s="3" t="str">
        <f t="shared" si="6"/>
        <v>OK</v>
      </c>
      <c r="I64" s="10" t="str">
        <f t="shared" si="1"/>
        <v>forca_componente-forcas_armadas</v>
      </c>
      <c r="J64" s="10"/>
      <c r="K64" s="10"/>
      <c r="L64" s="3" t="e">
        <f>IF(INDEX(GRAFO!$L$2:'GRAFO'!$L$41,MATCH(I64,GRAFO!$L$2:'GRAFO'!$L$41,0),1)&lt;&gt;0,1,0)</f>
        <v>#N/A</v>
      </c>
      <c r="M64" s="3">
        <f t="shared" si="7"/>
        <v>0</v>
      </c>
      <c r="O64" s="10" t="str">
        <f t="shared" si="2"/>
        <v>forca_componente-rdf:Bag-forcas_armadas</v>
      </c>
      <c r="P64" s="10"/>
      <c r="Q64" s="10"/>
      <c r="R64" s="10"/>
      <c r="S64" s="10"/>
      <c r="T64" s="10" t="e">
        <f>IF(INDEX(GRAFO!$M$2:'GRAFO'!$M$41,MATCH(O64,GRAFO!$M$2:'GRAFO'!$M$41,0),1)&lt;&gt;0,1,0)</f>
        <v>#N/A</v>
      </c>
      <c r="U64" s="10">
        <f t="shared" si="8"/>
        <v>0</v>
      </c>
    </row>
    <row r="65" spans="4:21">
      <c r="D65" s="10"/>
      <c r="E65" s="10"/>
      <c r="F65" s="10"/>
      <c r="G65" s="3"/>
      <c r="I65" s="10"/>
      <c r="J65" s="10"/>
      <c r="K65" s="10"/>
      <c r="L65" s="3"/>
      <c r="M65" s="3"/>
      <c r="O65" s="10"/>
      <c r="P65" s="10"/>
      <c r="Q65" s="10"/>
      <c r="R65" s="10"/>
      <c r="S65" s="10"/>
      <c r="T65" s="10"/>
      <c r="U65" s="10"/>
    </row>
    <row r="66" spans="4:21">
      <c r="D66" s="10"/>
      <c r="E66" s="10"/>
      <c r="F66" s="10"/>
      <c r="G66" s="3"/>
      <c r="I66" s="10"/>
      <c r="J66" s="10"/>
      <c r="K66" s="10"/>
      <c r="L66" s="3"/>
      <c r="M66" s="3"/>
      <c r="O66" s="10"/>
      <c r="P66" s="10"/>
      <c r="Q66" s="10"/>
      <c r="R66" s="10"/>
      <c r="S66" s="10"/>
      <c r="T66" s="10"/>
      <c r="U66" s="10"/>
    </row>
    <row r="67" spans="4:21">
      <c r="D67" s="10"/>
      <c r="E67" s="10"/>
      <c r="F67" s="10"/>
      <c r="G67" s="3"/>
      <c r="I67" s="10"/>
      <c r="J67" s="10"/>
      <c r="K67" s="10"/>
      <c r="L67" s="3"/>
      <c r="M67" s="3"/>
      <c r="O67" s="10"/>
      <c r="P67" s="10"/>
      <c r="Q67" s="10"/>
      <c r="R67" s="10"/>
      <c r="S67" s="10"/>
      <c r="T67" s="10"/>
      <c r="U67" s="10"/>
    </row>
    <row r="68" spans="4:21">
      <c r="D68" s="10"/>
      <c r="E68" s="10"/>
      <c r="F68" s="10"/>
      <c r="G68" s="3"/>
      <c r="I68" s="10"/>
      <c r="J68" s="10"/>
      <c r="K68" s="10"/>
      <c r="L68" s="3"/>
      <c r="M68" s="3"/>
      <c r="O68" s="10"/>
      <c r="P68" s="10"/>
      <c r="Q68" s="10"/>
      <c r="R68" s="10"/>
      <c r="S68" s="10"/>
      <c r="T68" s="10"/>
      <c r="U68" s="10"/>
    </row>
    <row r="69" spans="4:21">
      <c r="D69" s="10"/>
      <c r="E69" s="10"/>
      <c r="F69" s="10"/>
      <c r="G69" s="3"/>
      <c r="I69" s="10"/>
      <c r="J69" s="10"/>
      <c r="K69" s="10"/>
      <c r="L69" s="3"/>
      <c r="M69" s="3"/>
      <c r="O69" s="10"/>
      <c r="P69" s="10"/>
      <c r="Q69" s="10"/>
      <c r="R69" s="10"/>
      <c r="S69" s="10"/>
      <c r="T69" s="10"/>
      <c r="U69" s="10"/>
    </row>
    <row r="70" spans="4:21">
      <c r="D70" s="10"/>
      <c r="E70" s="10"/>
      <c r="F70" s="10"/>
      <c r="G70" s="3"/>
      <c r="I70" s="10"/>
      <c r="J70" s="10"/>
      <c r="K70" s="10"/>
      <c r="L70" s="3"/>
      <c r="M70" s="3"/>
      <c r="O70" s="10"/>
      <c r="P70" s="10"/>
      <c r="Q70" s="10"/>
      <c r="R70" s="10"/>
      <c r="S70" s="10"/>
      <c r="T70" s="10"/>
      <c r="U70" s="10"/>
    </row>
    <row r="71" spans="4:21">
      <c r="D71" s="10"/>
      <c r="E71" s="10"/>
      <c r="F71" s="10"/>
      <c r="G71" s="3"/>
      <c r="I71" s="10"/>
      <c r="J71" s="10"/>
      <c r="K71" s="10"/>
      <c r="L71" s="3"/>
      <c r="M71" s="3"/>
      <c r="O71" s="10"/>
      <c r="P71" s="10"/>
      <c r="Q71" s="10"/>
      <c r="R71" s="10"/>
      <c r="S71" s="10"/>
      <c r="T71" s="10"/>
      <c r="U71" s="10"/>
    </row>
    <row r="72" spans="4:21">
      <c r="D72" s="10"/>
      <c r="E72" s="10"/>
      <c r="F72" s="10"/>
      <c r="G72" s="3"/>
      <c r="I72" s="10"/>
      <c r="J72" s="10"/>
      <c r="K72" s="10"/>
      <c r="L72" s="3"/>
      <c r="M72" s="3"/>
      <c r="O72" s="10"/>
      <c r="P72" s="10"/>
      <c r="Q72" s="10"/>
      <c r="R72" s="10"/>
      <c r="S72" s="10"/>
      <c r="T72" s="10"/>
      <c r="U72" s="10"/>
    </row>
    <row r="73" spans="4:21">
      <c r="D73" s="10"/>
      <c r="E73" s="10"/>
      <c r="F73" s="10"/>
      <c r="G73" s="3"/>
      <c r="I73" s="10"/>
      <c r="J73" s="10"/>
      <c r="K73" s="10"/>
      <c r="L73" s="3"/>
      <c r="M73" s="3"/>
      <c r="O73" s="10"/>
      <c r="P73" s="10"/>
      <c r="Q73" s="10"/>
      <c r="R73" s="10"/>
      <c r="S73" s="10"/>
      <c r="T73" s="10"/>
      <c r="U73" s="10"/>
    </row>
  </sheetData>
  <mergeCells count="10">
    <mergeCell ref="I39:K39"/>
    <mergeCell ref="L39:M39"/>
    <mergeCell ref="O39:S39"/>
    <mergeCell ref="T39:U39"/>
    <mergeCell ref="A1:B1"/>
    <mergeCell ref="D1:F1"/>
    <mergeCell ref="K4:K5"/>
    <mergeCell ref="D38:G38"/>
    <mergeCell ref="I38:M38"/>
    <mergeCell ref="O38:U38"/>
  </mergeCells>
  <dataValidations count="12">
    <dataValidation type="list" allowBlank="1" showInputMessage="1" showErrorMessage="1" sqref="F14:F36 F3:F12 D3:D36">
      <formula1>$A$3:$A$25</formula1>
    </dataValidation>
    <dataValidation type="list" allowBlank="1" showInputMessage="1" showErrorMessage="1" sqref="F38:G38">
      <formula1>$A$3:$A$27</formula1>
    </dataValidation>
    <dataValidation type="list" allowBlank="1" showInputMessage="1" showErrorMessage="1" sqref="C3:C37 B4:B37">
      <formula1>$Y$3:$Y$39</formula1>
    </dataValidation>
    <dataValidation type="list" allowBlank="1" showInputMessage="1" showErrorMessage="1" sqref="H3:H44 G3:G37">
      <formula1>$A$3:$A$22</formula1>
    </dataValidation>
    <dataValidation type="list" allowBlank="1" showInputMessage="1" showErrorMessage="1" sqref="B40:B56">
      <formula1>$AE$2:$AE$12</formula1>
    </dataValidation>
    <dataValidation type="list" allowBlank="1" showInputMessage="1" showErrorMessage="1" sqref="F37 D37">
      <formula1>$A$3:$A$28</formula1>
    </dataValidation>
    <dataValidation type="list" allowBlank="1" showInputMessage="1" showErrorMessage="1" sqref="E37">
      <formula1>$A$40:$A$48</formula1>
    </dataValidation>
    <dataValidation type="list" allowBlank="1" showInputMessage="1" showErrorMessage="1" sqref="B3">
      <formula1>$Y$3:$Y$31</formula1>
    </dataValidation>
    <dataValidation type="list" allowBlank="1" showInputMessage="1" showErrorMessage="1" sqref="E3:E12 E14:E15 E17 E20:E26 E28:E36">
      <formula1>$A$40:$A$53</formula1>
    </dataValidation>
    <dataValidation type="list" allowBlank="1" showInputMessage="1" showErrorMessage="1" sqref="E13 E16 E18:E19">
      <formula1>$A$40:$A$54</formula1>
    </dataValidation>
    <dataValidation type="list" allowBlank="1" showInputMessage="1" showErrorMessage="1" sqref="F13">
      <formula1>$A$3:$A$26</formula1>
    </dataValidation>
    <dataValidation type="list" allowBlank="1" showInputMessage="1" showErrorMessage="1" sqref="E27">
      <formula1>$A$40:$A$56</formula1>
    </dataValidation>
  </dataValidation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E73"/>
  <sheetViews>
    <sheetView zoomScale="130" zoomScaleNormal="130" workbookViewId="0">
      <selection sqref="A1:B1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9" t="s">
        <v>184</v>
      </c>
      <c r="AD2" s="9" t="s">
        <v>195</v>
      </c>
      <c r="AE2" s="9" t="s">
        <v>35</v>
      </c>
    </row>
    <row r="3" spans="1:31" ht="16.75">
      <c r="A3" s="46" t="s">
        <v>9</v>
      </c>
      <c r="B3" s="10" t="s">
        <v>9</v>
      </c>
      <c r="D3" s="10" t="s">
        <v>8</v>
      </c>
      <c r="E3" s="10" t="s">
        <v>101</v>
      </c>
      <c r="F3" s="10" t="s">
        <v>9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s="16" t="s">
        <v>33</v>
      </c>
      <c r="AC3" s="9" t="s">
        <v>185</v>
      </c>
      <c r="AD3" s="9" t="s">
        <v>196</v>
      </c>
      <c r="AE3" s="9" t="s">
        <v>4</v>
      </c>
    </row>
    <row r="4" spans="1:31" ht="16.75">
      <c r="A4" s="46" t="s">
        <v>8</v>
      </c>
      <c r="B4" s="10" t="s">
        <v>8</v>
      </c>
      <c r="D4" s="10" t="s">
        <v>10</v>
      </c>
      <c r="E4" s="10" t="s">
        <v>101</v>
      </c>
      <c r="F4" s="10" t="s">
        <v>9</v>
      </c>
      <c r="K4" s="85" t="s">
        <v>80</v>
      </c>
      <c r="L4" s="8" t="s">
        <v>0</v>
      </c>
      <c r="M4" s="4">
        <f>GRAFO!J2</f>
        <v>29</v>
      </c>
      <c r="N4" s="11">
        <f>COUNTA(A3:A28)</f>
        <v>26</v>
      </c>
      <c r="O4" s="11">
        <f>COUNTIF(B3:B28,"&lt;&gt;"&amp;"")</f>
        <v>15</v>
      </c>
      <c r="P4" s="2">
        <f>N4-R4</f>
        <v>15</v>
      </c>
      <c r="Q4" s="2">
        <f>M4-O4</f>
        <v>14</v>
      </c>
      <c r="R4" s="2">
        <f>N4-O4</f>
        <v>11</v>
      </c>
      <c r="S4" s="2">
        <f>O4+P4</f>
        <v>30</v>
      </c>
      <c r="T4" s="2">
        <f>Q4+R4</f>
        <v>25</v>
      </c>
      <c r="U4" s="6">
        <f>O4/(O4+R4)</f>
        <v>0.57692307692307687</v>
      </c>
      <c r="V4" s="6">
        <f>O4/(O4+Q4)</f>
        <v>0.51724137931034486</v>
      </c>
      <c r="W4" s="6">
        <f>(O4+P4)/(O4+P4+Q4+R4)</f>
        <v>0.54545454545454541</v>
      </c>
      <c r="X4" s="62">
        <f>AVERAGE(U4:W4)</f>
        <v>0.54653966722932246</v>
      </c>
      <c r="Y4" s="16" t="s">
        <v>21</v>
      </c>
      <c r="AC4" s="9" t="s">
        <v>186</v>
      </c>
      <c r="AD4" s="9" t="s">
        <v>197</v>
      </c>
      <c r="AE4" s="9" t="s">
        <v>205</v>
      </c>
    </row>
    <row r="5" spans="1:31" ht="16.75">
      <c r="A5" s="46" t="s">
        <v>10</v>
      </c>
      <c r="B5" s="10" t="s">
        <v>10</v>
      </c>
      <c r="D5" s="10" t="s">
        <v>12</v>
      </c>
      <c r="E5" s="10" t="s">
        <v>101</v>
      </c>
      <c r="F5" s="10" t="s">
        <v>9</v>
      </c>
      <c r="K5" s="85"/>
      <c r="L5" s="8" t="s">
        <v>100</v>
      </c>
      <c r="M5" s="5">
        <f>GRAFO!J3</f>
        <v>41</v>
      </c>
      <c r="N5" s="12">
        <f>COUNTA(D40:D66)</f>
        <v>27</v>
      </c>
      <c r="O5" s="12">
        <f>COUNTIF(M40:M66,"=1")</f>
        <v>9</v>
      </c>
      <c r="P5" s="2">
        <f>N5-R5</f>
        <v>9</v>
      </c>
      <c r="Q5" s="2">
        <f>M5-O5</f>
        <v>32</v>
      </c>
      <c r="R5" s="2">
        <f>N5-O5</f>
        <v>18</v>
      </c>
      <c r="S5" s="2">
        <f>O5+P5</f>
        <v>18</v>
      </c>
      <c r="T5" s="2">
        <f>Q5+R5</f>
        <v>50</v>
      </c>
      <c r="U5" s="6">
        <f>O5/(O5+R5)</f>
        <v>0.33333333333333331</v>
      </c>
      <c r="V5" s="6">
        <f>O5/(O5+Q5)</f>
        <v>0.21951219512195122</v>
      </c>
      <c r="W5" s="6">
        <f>(O5+P5)/(O5+P5+Q5+R5)</f>
        <v>0.26470588235294118</v>
      </c>
      <c r="X5" s="62">
        <f t="shared" ref="X5:X6" si="0">AVERAGE(U5:W5)</f>
        <v>0.27251713693607527</v>
      </c>
      <c r="Y5" s="16" t="s">
        <v>17</v>
      </c>
      <c r="AC5" s="9" t="s">
        <v>187</v>
      </c>
      <c r="AD5" s="9" t="s">
        <v>198</v>
      </c>
      <c r="AE5" s="9" t="s">
        <v>3</v>
      </c>
    </row>
    <row r="6" spans="1:31" ht="16.75">
      <c r="A6" s="46" t="s">
        <v>12</v>
      </c>
      <c r="B6" s="10" t="s">
        <v>12</v>
      </c>
      <c r="D6" s="10" t="s">
        <v>11</v>
      </c>
      <c r="E6" s="10" t="s">
        <v>101</v>
      </c>
      <c r="F6" s="10" t="s">
        <v>9</v>
      </c>
      <c r="L6" s="8" t="s">
        <v>99</v>
      </c>
      <c r="M6" s="5">
        <v>41</v>
      </c>
      <c r="N6" s="12">
        <f>COUNTA(D40:D66)</f>
        <v>27</v>
      </c>
      <c r="O6" s="12">
        <f>COUNTIF(U40:U66,"=1")</f>
        <v>7</v>
      </c>
      <c r="P6" s="2">
        <f>N6-R6</f>
        <v>7</v>
      </c>
      <c r="Q6" s="2">
        <f>M6-O6</f>
        <v>34</v>
      </c>
      <c r="R6" s="2">
        <f>N6-O6</f>
        <v>20</v>
      </c>
      <c r="S6" s="2">
        <f>O6+P6</f>
        <v>14</v>
      </c>
      <c r="T6" s="2">
        <f>Q6+R6</f>
        <v>54</v>
      </c>
      <c r="U6" s="6">
        <f>O6/(O6+R6)</f>
        <v>0.25925925925925924</v>
      </c>
      <c r="V6" s="6">
        <f>O6/(O6+Q6)</f>
        <v>0.17073170731707318</v>
      </c>
      <c r="W6" s="6">
        <f>(O6+P6)/(O6+P6+Q6+R6)</f>
        <v>0.20588235294117646</v>
      </c>
      <c r="X6" s="62">
        <f t="shared" si="0"/>
        <v>0.21195777317250294</v>
      </c>
      <c r="Y6" s="16" t="s">
        <v>40</v>
      </c>
      <c r="AC6" s="9" t="s">
        <v>188</v>
      </c>
      <c r="AD6" s="9" t="s">
        <v>199</v>
      </c>
      <c r="AE6" s="9" t="s">
        <v>6</v>
      </c>
    </row>
    <row r="7" spans="1:31" ht="16.75">
      <c r="A7" s="46" t="s">
        <v>11</v>
      </c>
      <c r="B7" s="10" t="s">
        <v>11</v>
      </c>
      <c r="D7" s="10" t="s">
        <v>62</v>
      </c>
      <c r="E7" s="10" t="s">
        <v>105</v>
      </c>
      <c r="F7" s="10" t="s">
        <v>63</v>
      </c>
      <c r="X7" s="62">
        <f>AVERAGE(X4:X6)</f>
        <v>0.34367152577930021</v>
      </c>
      <c r="Y7" s="16" t="s">
        <v>13</v>
      </c>
      <c r="AC7" s="9" t="s">
        <v>189</v>
      </c>
      <c r="AD7" s="9" t="s">
        <v>200</v>
      </c>
      <c r="AE7" s="9" t="s">
        <v>206</v>
      </c>
    </row>
    <row r="8" spans="1:31" ht="16.75">
      <c r="A8" s="46" t="s">
        <v>59</v>
      </c>
      <c r="B8" s="10"/>
      <c r="D8" s="10" t="s">
        <v>53</v>
      </c>
      <c r="E8" s="10" t="s">
        <v>364</v>
      </c>
      <c r="F8" s="10" t="s">
        <v>10</v>
      </c>
      <c r="Y8" s="16" t="s">
        <v>39</v>
      </c>
      <c r="AC8" s="9" t="s">
        <v>190</v>
      </c>
      <c r="AD8" s="9" t="s">
        <v>148</v>
      </c>
      <c r="AE8" s="9" t="s">
        <v>36</v>
      </c>
    </row>
    <row r="9" spans="1:31" ht="16.75">
      <c r="A9" s="46" t="s">
        <v>53</v>
      </c>
      <c r="B9" s="10"/>
      <c r="D9" s="10" t="s">
        <v>53</v>
      </c>
      <c r="E9" s="10" t="s">
        <v>142</v>
      </c>
      <c r="F9" s="10" t="s">
        <v>124</v>
      </c>
      <c r="K9" t="s">
        <v>74</v>
      </c>
      <c r="L9" t="s">
        <v>75</v>
      </c>
      <c r="N9">
        <f>GRAFO!J2</f>
        <v>29</v>
      </c>
      <c r="Y9" s="16" t="s">
        <v>19</v>
      </c>
      <c r="AC9" s="9" t="s">
        <v>191</v>
      </c>
      <c r="AD9" s="9" t="s">
        <v>201</v>
      </c>
      <c r="AE9" s="9" t="s">
        <v>7</v>
      </c>
    </row>
    <row r="10" spans="1:31" ht="16.75">
      <c r="A10" s="46" t="s">
        <v>358</v>
      </c>
      <c r="B10" s="10" t="s">
        <v>13</v>
      </c>
      <c r="D10" s="10" t="s">
        <v>124</v>
      </c>
      <c r="E10" s="10" t="s">
        <v>314</v>
      </c>
      <c r="F10" s="10" t="s">
        <v>259</v>
      </c>
      <c r="K10" t="s">
        <v>80</v>
      </c>
      <c r="L10" t="s">
        <v>76</v>
      </c>
      <c r="N10">
        <f>N4</f>
        <v>26</v>
      </c>
      <c r="Y10" s="16" t="s">
        <v>37</v>
      </c>
      <c r="AC10" s="9" t="s">
        <v>192</v>
      </c>
      <c r="AD10" s="9" t="s">
        <v>202</v>
      </c>
      <c r="AE10" s="9" t="s">
        <v>207</v>
      </c>
    </row>
    <row r="11" spans="1:31" ht="16.75">
      <c r="A11" s="46" t="s">
        <v>124</v>
      </c>
      <c r="B11" s="10"/>
      <c r="D11" s="10" t="s">
        <v>358</v>
      </c>
      <c r="E11" s="10" t="s">
        <v>364</v>
      </c>
      <c r="F11" s="10" t="s">
        <v>12</v>
      </c>
      <c r="K11" t="s">
        <v>68</v>
      </c>
      <c r="L11" t="s">
        <v>77</v>
      </c>
      <c r="N11">
        <v>16</v>
      </c>
      <c r="Y11" s="16" t="s">
        <v>10</v>
      </c>
      <c r="AC11" s="9" t="s">
        <v>193</v>
      </c>
      <c r="AD11" s="9" t="s">
        <v>203</v>
      </c>
      <c r="AE11" s="9" t="s">
        <v>208</v>
      </c>
    </row>
    <row r="12" spans="1:31" ht="16.75">
      <c r="A12" s="46" t="s">
        <v>66</v>
      </c>
      <c r="B12" s="10" t="s">
        <v>22</v>
      </c>
      <c r="D12" s="10" t="s">
        <v>358</v>
      </c>
      <c r="E12" s="10" t="s">
        <v>365</v>
      </c>
      <c r="F12" s="10" t="s">
        <v>259</v>
      </c>
      <c r="K12" t="s">
        <v>70</v>
      </c>
      <c r="L12" t="s">
        <v>78</v>
      </c>
      <c r="M12" t="s">
        <v>86</v>
      </c>
      <c r="N12">
        <f>N9-N11</f>
        <v>13</v>
      </c>
      <c r="Y12" s="16" t="s">
        <v>14</v>
      </c>
      <c r="AC12" s="9" t="s">
        <v>194</v>
      </c>
      <c r="AD12" s="9" t="s">
        <v>204</v>
      </c>
      <c r="AE12" s="9" t="s">
        <v>5</v>
      </c>
    </row>
    <row r="13" spans="1:31" ht="16.75">
      <c r="A13" s="46" t="s">
        <v>233</v>
      </c>
      <c r="B13" s="10" t="s">
        <v>40</v>
      </c>
      <c r="D13" s="10" t="s">
        <v>358</v>
      </c>
      <c r="E13" s="10" t="s">
        <v>218</v>
      </c>
      <c r="F13" s="10" t="s">
        <v>165</v>
      </c>
      <c r="K13" t="s">
        <v>69</v>
      </c>
      <c r="L13" t="s">
        <v>79</v>
      </c>
      <c r="M13" t="s">
        <v>87</v>
      </c>
      <c r="Y13" s="16" t="s">
        <v>34</v>
      </c>
    </row>
    <row r="14" spans="1:31" ht="16.75">
      <c r="A14" s="46" t="s">
        <v>332</v>
      </c>
      <c r="B14" s="10" t="s">
        <v>28</v>
      </c>
      <c r="D14" s="10" t="s">
        <v>165</v>
      </c>
      <c r="E14" s="10" t="s">
        <v>146</v>
      </c>
      <c r="F14" s="10" t="s">
        <v>154</v>
      </c>
      <c r="K14" t="s">
        <v>83</v>
      </c>
      <c r="M14" t="s">
        <v>88</v>
      </c>
      <c r="Y14" s="16" t="s">
        <v>27</v>
      </c>
    </row>
    <row r="15" spans="1:31" ht="16.75">
      <c r="A15" s="46" t="s">
        <v>55</v>
      </c>
      <c r="B15" s="10" t="s">
        <v>32</v>
      </c>
      <c r="D15" s="10" t="s">
        <v>332</v>
      </c>
      <c r="E15" s="10" t="s">
        <v>280</v>
      </c>
      <c r="F15" s="10" t="s">
        <v>154</v>
      </c>
      <c r="K15" t="s">
        <v>89</v>
      </c>
      <c r="M15" t="s">
        <v>92</v>
      </c>
      <c r="Y15" s="16" t="s">
        <v>28</v>
      </c>
    </row>
    <row r="16" spans="1:31" ht="16.75">
      <c r="A16" s="46" t="s">
        <v>56</v>
      </c>
      <c r="B16" s="10" t="s">
        <v>34</v>
      </c>
      <c r="D16" s="10" t="s">
        <v>358</v>
      </c>
      <c r="E16" s="10" t="s">
        <v>107</v>
      </c>
      <c r="F16" s="10" t="s">
        <v>300</v>
      </c>
      <c r="K16" t="s">
        <v>90</v>
      </c>
      <c r="M16" t="s">
        <v>93</v>
      </c>
      <c r="Y16" s="16" t="s">
        <v>30</v>
      </c>
    </row>
    <row r="17" spans="1:25" ht="16.75">
      <c r="A17" s="46" t="s">
        <v>57</v>
      </c>
      <c r="B17" s="10" t="s">
        <v>33</v>
      </c>
      <c r="D17" s="10" t="s">
        <v>358</v>
      </c>
      <c r="E17" s="10" t="s">
        <v>142</v>
      </c>
      <c r="F17" s="10" t="s">
        <v>360</v>
      </c>
      <c r="K17" t="s">
        <v>91</v>
      </c>
      <c r="M17" t="s">
        <v>94</v>
      </c>
      <c r="Y17" s="16" t="s">
        <v>29</v>
      </c>
    </row>
    <row r="18" spans="1:25" ht="16.75">
      <c r="A18" s="46" t="s">
        <v>54</v>
      </c>
      <c r="B18" s="10" t="s">
        <v>31</v>
      </c>
      <c r="D18" s="10" t="s">
        <v>358</v>
      </c>
      <c r="E18" s="10" t="s">
        <v>242</v>
      </c>
      <c r="F18" s="10" t="s">
        <v>66</v>
      </c>
      <c r="K18" t="s">
        <v>84</v>
      </c>
      <c r="M18" t="s">
        <v>95</v>
      </c>
      <c r="Y18" s="16" t="s">
        <v>31</v>
      </c>
    </row>
    <row r="19" spans="1:25" ht="16.75">
      <c r="A19" s="46" t="s">
        <v>18</v>
      </c>
      <c r="B19" s="10" t="s">
        <v>18</v>
      </c>
      <c r="D19" s="10" t="s">
        <v>332</v>
      </c>
      <c r="E19" s="10" t="s">
        <v>364</v>
      </c>
      <c r="F19" s="10" t="s">
        <v>10</v>
      </c>
      <c r="K19" t="s">
        <v>85</v>
      </c>
      <c r="M19" t="s">
        <v>96</v>
      </c>
      <c r="Y19" s="16" t="s">
        <v>171</v>
      </c>
    </row>
    <row r="20" spans="1:25" ht="16.75">
      <c r="A20" s="46" t="s">
        <v>360</v>
      </c>
      <c r="B20" s="10"/>
      <c r="D20" s="10" t="s">
        <v>332</v>
      </c>
      <c r="E20" s="10" t="s">
        <v>364</v>
      </c>
      <c r="F20" s="10" t="s">
        <v>54</v>
      </c>
      <c r="K20" t="s">
        <v>97</v>
      </c>
      <c r="M20" t="s">
        <v>98</v>
      </c>
      <c r="Y20" s="16" t="s">
        <v>15</v>
      </c>
    </row>
    <row r="21" spans="1:25" ht="16.75">
      <c r="A21" s="46" t="s">
        <v>52</v>
      </c>
      <c r="B21" s="10" t="s">
        <v>20</v>
      </c>
      <c r="D21" s="10" t="s">
        <v>55</v>
      </c>
      <c r="E21" s="10" t="s">
        <v>101</v>
      </c>
      <c r="F21" s="10" t="s">
        <v>54</v>
      </c>
      <c r="Y21" s="16" t="s">
        <v>16</v>
      </c>
    </row>
    <row r="22" spans="1:25" ht="16.75">
      <c r="A22" s="46" t="s">
        <v>123</v>
      </c>
      <c r="B22" s="10"/>
      <c r="D22" s="10" t="s">
        <v>56</v>
      </c>
      <c r="E22" s="10" t="s">
        <v>101</v>
      </c>
      <c r="F22" s="10" t="s">
        <v>54</v>
      </c>
      <c r="Y22" s="16" t="s">
        <v>32</v>
      </c>
    </row>
    <row r="23" spans="1:25" ht="16.75">
      <c r="A23" s="46" t="s">
        <v>300</v>
      </c>
      <c r="B23" s="10"/>
      <c r="D23" s="10" t="s">
        <v>57</v>
      </c>
      <c r="E23" s="10" t="s">
        <v>101</v>
      </c>
      <c r="F23" s="10" t="s">
        <v>54</v>
      </c>
      <c r="Y23" s="16" t="s">
        <v>9</v>
      </c>
    </row>
    <row r="24" spans="1:25" ht="16.75">
      <c r="A24" s="46" t="s">
        <v>154</v>
      </c>
      <c r="B24" s="10"/>
      <c r="D24" s="10" t="s">
        <v>66</v>
      </c>
      <c r="E24" s="10" t="s">
        <v>105</v>
      </c>
      <c r="F24" s="10" t="s">
        <v>54</v>
      </c>
      <c r="Y24" s="16" t="s">
        <v>18</v>
      </c>
    </row>
    <row r="25" spans="1:25" ht="16.75">
      <c r="A25" s="46" t="s">
        <v>165</v>
      </c>
      <c r="B25" s="10"/>
      <c r="D25" s="10" t="s">
        <v>59</v>
      </c>
      <c r="E25" s="10" t="s">
        <v>215</v>
      </c>
      <c r="F25" s="10" t="s">
        <v>66</v>
      </c>
      <c r="Y25" s="16" t="s">
        <v>23</v>
      </c>
    </row>
    <row r="26" spans="1:25" ht="16.75">
      <c r="A26" s="46" t="s">
        <v>259</v>
      </c>
      <c r="B26" s="10"/>
      <c r="D26" s="10" t="s">
        <v>233</v>
      </c>
      <c r="E26" s="10" t="s">
        <v>364</v>
      </c>
      <c r="F26" s="10" t="s">
        <v>8</v>
      </c>
      <c r="Y26" s="16" t="s">
        <v>22</v>
      </c>
    </row>
    <row r="27" spans="1:25" ht="16.75">
      <c r="A27" s="46" t="s">
        <v>63</v>
      </c>
      <c r="B27" s="10"/>
      <c r="D27" s="10" t="s">
        <v>52</v>
      </c>
      <c r="E27" s="10" t="s">
        <v>354</v>
      </c>
      <c r="F27" s="10" t="s">
        <v>233</v>
      </c>
      <c r="Y27" s="16" t="s">
        <v>12</v>
      </c>
    </row>
    <row r="28" spans="1:25" ht="16.75">
      <c r="A28" s="46" t="s">
        <v>62</v>
      </c>
      <c r="B28" s="10"/>
      <c r="D28" s="10" t="s">
        <v>233</v>
      </c>
      <c r="E28" s="10" t="s">
        <v>142</v>
      </c>
      <c r="F28" s="10" t="s">
        <v>123</v>
      </c>
      <c r="Y28" s="16" t="s">
        <v>24</v>
      </c>
    </row>
    <row r="29" spans="1:25" ht="16.75">
      <c r="A29" s="10"/>
      <c r="B29" s="10"/>
      <c r="D29" s="10" t="s">
        <v>233</v>
      </c>
      <c r="E29" s="10" t="s">
        <v>107</v>
      </c>
      <c r="F29" s="10" t="s">
        <v>18</v>
      </c>
      <c r="Y29" s="16" t="s">
        <v>8</v>
      </c>
    </row>
    <row r="30" spans="1:25" ht="16.75">
      <c r="A30" s="10"/>
      <c r="B30" s="10"/>
      <c r="D30" s="10"/>
      <c r="E30" s="10"/>
      <c r="F30" s="10"/>
      <c r="Y30" s="16" t="s">
        <v>20</v>
      </c>
    </row>
    <row r="31" spans="1:25" ht="16.75">
      <c r="A31" s="10"/>
      <c r="B31" s="10"/>
      <c r="D31" s="10"/>
      <c r="E31" s="10"/>
      <c r="F31" s="10"/>
      <c r="Y31" s="16" t="s">
        <v>11</v>
      </c>
    </row>
    <row r="32" spans="1:25">
      <c r="A32" s="46"/>
      <c r="B32" s="10"/>
      <c r="D32" s="10"/>
      <c r="E32" s="10"/>
      <c r="F32" s="10"/>
    </row>
    <row r="33" spans="1:21">
      <c r="A33" s="10"/>
      <c r="B33" s="10"/>
      <c r="D33" s="10"/>
      <c r="E33" s="10"/>
      <c r="F33" s="10"/>
    </row>
    <row r="34" spans="1:21">
      <c r="A34" s="10"/>
      <c r="B34" s="10"/>
      <c r="D34" s="10"/>
      <c r="E34" s="10"/>
      <c r="F34" s="10"/>
    </row>
    <row r="35" spans="1:21">
      <c r="A35" s="10"/>
      <c r="B35" s="10"/>
      <c r="D35" s="10"/>
      <c r="E35" s="10"/>
      <c r="F35" s="10"/>
    </row>
    <row r="36" spans="1:21">
      <c r="A36" s="10"/>
      <c r="B36" s="10"/>
      <c r="D36" s="10"/>
      <c r="E36" s="10"/>
      <c r="F36" s="10"/>
    </row>
    <row r="37" spans="1:21">
      <c r="A37" s="10"/>
      <c r="B37" s="10"/>
    </row>
    <row r="38" spans="1:21">
      <c r="A38" s="30" t="s">
        <v>182</v>
      </c>
      <c r="B38" s="30"/>
      <c r="D38" s="104" t="s">
        <v>222</v>
      </c>
      <c r="E38" s="105"/>
      <c r="F38" s="105"/>
      <c r="G38" s="106"/>
      <c r="I38" s="98" t="s">
        <v>224</v>
      </c>
      <c r="J38" s="99"/>
      <c r="K38" s="99"/>
      <c r="L38" s="99"/>
      <c r="M38" s="100"/>
      <c r="O38" s="94" t="s">
        <v>229</v>
      </c>
      <c r="P38" s="94"/>
      <c r="Q38" s="94"/>
      <c r="R38" s="94"/>
      <c r="S38" s="94"/>
      <c r="T38" s="94"/>
      <c r="U38" s="94"/>
    </row>
    <row r="39" spans="1:21">
      <c r="A39" s="32" t="s">
        <v>251</v>
      </c>
      <c r="B39" s="33" t="s">
        <v>252</v>
      </c>
      <c r="D39" s="34" t="s">
        <v>220</v>
      </c>
      <c r="E39" s="34" t="s">
        <v>219</v>
      </c>
      <c r="F39" s="34" t="s">
        <v>221</v>
      </c>
      <c r="G39" s="34" t="s">
        <v>223</v>
      </c>
      <c r="I39" s="101" t="s">
        <v>225</v>
      </c>
      <c r="J39" s="102"/>
      <c r="K39" s="103"/>
      <c r="L39" s="101" t="s">
        <v>226</v>
      </c>
      <c r="M39" s="103"/>
      <c r="O39" s="95" t="s">
        <v>227</v>
      </c>
      <c r="P39" s="96"/>
      <c r="Q39" s="96"/>
      <c r="R39" s="96"/>
      <c r="S39" s="97"/>
      <c r="T39" s="95" t="s">
        <v>228</v>
      </c>
      <c r="U39" s="97"/>
    </row>
    <row r="40" spans="1:21">
      <c r="A40" s="46" t="s">
        <v>101</v>
      </c>
      <c r="B40" s="10" t="s">
        <v>3</v>
      </c>
      <c r="D40" s="10" t="str">
        <f>IF(INDEX($A$3:$B$28,MATCH(D3,$A$3:$A$28,0),2)&lt;&gt;0,INDEX($A$3:$B$28,MATCH(D3,$A$3:$A$28,0),2),D3)</f>
        <v>politico</v>
      </c>
      <c r="E40" s="10" t="str">
        <f>IF(INDEX($A$40:$B$53,MATCH(E3,$A$40:$A$53,0),2)&lt;&gt;0,INDEX($A$40:$B$53,MATCH(E3,$A$40:$A$53,0),2),E3)</f>
        <v>rdfs:subClassOf</v>
      </c>
      <c r="F40" s="10" t="str">
        <f>IF(INDEX($A$3:$B$28,MATCH(F3,$A$3:$A$28,0),2)&lt;&gt;0,INDEX($A$3:$B$28,MATCH(F3,$A$3:$A$28,0),2),F3)</f>
        <v>nivel</v>
      </c>
      <c r="G40" s="3" t="str">
        <f>IF(INDEX($A$3:$B$26,MATCH(F3,$A$3:$A$28,0),2)&lt;&gt;0,"OK","NOK")</f>
        <v>OK</v>
      </c>
      <c r="I40" s="10" t="str">
        <f t="shared" ref="I40:I64" si="1">D40 &amp;"-"&amp;F40</f>
        <v>politico-nivel</v>
      </c>
      <c r="J40" s="10"/>
      <c r="K40" s="10"/>
      <c r="L40" s="3">
        <f>IF(INDEX(GRAFO!$L$2:'GRAFO'!$L$41,MATCH(I40,GRAFO!$L$2:'GRAFO'!$L$41,0),1)&lt;&gt;0,1,0)</f>
        <v>1</v>
      </c>
      <c r="M40" s="3">
        <f>IFERROR(L40,0)</f>
        <v>1</v>
      </c>
      <c r="O40" s="10" t="str">
        <f t="shared" ref="O40:O64" si="2">D40 &amp; "-" &amp; E40 &amp; "-" &amp; F40</f>
        <v>politico-rdfs:subClassOf-nivel</v>
      </c>
      <c r="P40" s="10"/>
      <c r="Q40" s="10"/>
      <c r="R40" s="10"/>
      <c r="S40" s="10"/>
      <c r="T40" s="10">
        <f>IF(INDEX(GRAFO!$M$2:'GRAFO'!$M$41,MATCH(O40,GRAFO!$M$2:'GRAFO'!$M$41,0),1)&lt;&gt;0,1,0)</f>
        <v>1</v>
      </c>
      <c r="U40" s="10">
        <f>IFERROR(T40,0)</f>
        <v>1</v>
      </c>
    </row>
    <row r="41" spans="1:21">
      <c r="A41" s="46" t="s">
        <v>105</v>
      </c>
      <c r="B41" s="10" t="s">
        <v>5</v>
      </c>
      <c r="D41" s="10" t="str">
        <f t="shared" ref="D41:D66" si="3">IF(INDEX($A$3:$B$28,MATCH(D4,$A$3:$A$28,0),2)&lt;&gt;0,INDEX($A$3:$B$28,MATCH(D4,$A$3:$A$28,0),2),D4)</f>
        <v>estrategico</v>
      </c>
      <c r="E41" s="10" t="str">
        <f t="shared" ref="E41:E66" si="4">IF(INDEX($A$40:$B$53,MATCH(E4,$A$40:$A$53,0),2)&lt;&gt;0,INDEX($A$40:$B$53,MATCH(E4,$A$40:$A$53,0),2),E4)</f>
        <v>rdfs:subClassOf</v>
      </c>
      <c r="F41" s="10" t="str">
        <f t="shared" ref="F41:F66" si="5">IF(INDEX($A$3:$B$28,MATCH(F4,$A$3:$A$28,0),2)&lt;&gt;0,INDEX($A$3:$B$28,MATCH(F4,$A$3:$A$28,0),2),F4)</f>
        <v>nivel</v>
      </c>
      <c r="G41" s="3" t="str">
        <f t="shared" ref="G41:G66" si="6">IF(INDEX($A$3:$B$26,MATCH(F4,$A$3:$A$28,0),2)&lt;&gt;0,"OK","NOK")</f>
        <v>OK</v>
      </c>
      <c r="I41" s="10" t="str">
        <f t="shared" si="1"/>
        <v>estrategico-nivel</v>
      </c>
      <c r="J41" s="10"/>
      <c r="K41" s="10"/>
      <c r="L41" s="3">
        <f>IF(INDEX(GRAFO!$L$2:'GRAFO'!$L$41,MATCH(I41,GRAFO!$L$2:'GRAFO'!$L$41,0),1)&lt;&gt;0,1,0)</f>
        <v>1</v>
      </c>
      <c r="M41" s="3">
        <f t="shared" ref="M41:M64" si="7">IFERROR(L41,0)</f>
        <v>1</v>
      </c>
      <c r="O41" s="10" t="str">
        <f t="shared" si="2"/>
        <v>estrategico-rdfs:subClassOf-nivel</v>
      </c>
      <c r="P41" s="10"/>
      <c r="Q41" s="10"/>
      <c r="R41" s="10"/>
      <c r="S41" s="10"/>
      <c r="T41" s="10">
        <f>IF(INDEX(GRAFO!$M$2:'GRAFO'!$M$41,MATCH(O41,GRAFO!$M$2:'GRAFO'!$M$41,0),1)&lt;&gt;0,1,0)</f>
        <v>1</v>
      </c>
      <c r="U41" s="10">
        <f t="shared" ref="U41:U64" si="8">IFERROR(T41,0)</f>
        <v>1</v>
      </c>
    </row>
    <row r="42" spans="1:21">
      <c r="A42" s="46" t="s">
        <v>364</v>
      </c>
      <c r="B42" s="10" t="s">
        <v>4</v>
      </c>
      <c r="D42" s="10" t="str">
        <f t="shared" si="3"/>
        <v>operacional</v>
      </c>
      <c r="E42" s="10" t="str">
        <f t="shared" si="4"/>
        <v>rdfs:subClassOf</v>
      </c>
      <c r="F42" s="10" t="str">
        <f t="shared" si="5"/>
        <v>nivel</v>
      </c>
      <c r="G42" s="3" t="str">
        <f t="shared" si="6"/>
        <v>OK</v>
      </c>
      <c r="I42" s="10" t="str">
        <f t="shared" si="1"/>
        <v>operacional-nivel</v>
      </c>
      <c r="J42" s="10"/>
      <c r="K42" s="10"/>
      <c r="L42" s="3">
        <f>IF(INDEX(GRAFO!$L$2:'GRAFO'!$L$41,MATCH(I42,GRAFO!$L$2:'GRAFO'!$L$41,0),1)&lt;&gt;0,1,0)</f>
        <v>1</v>
      </c>
      <c r="M42" s="3">
        <f t="shared" si="7"/>
        <v>1</v>
      </c>
      <c r="O42" s="10" t="str">
        <f t="shared" si="2"/>
        <v>operacional-rdfs:subClassOf-nivel</v>
      </c>
      <c r="P42" s="10"/>
      <c r="Q42" s="10"/>
      <c r="R42" s="10"/>
      <c r="S42" s="10"/>
      <c r="T42" s="10">
        <f>IF(INDEX(GRAFO!$M$2:'GRAFO'!$M$41,MATCH(O42,GRAFO!$M$2:'GRAFO'!$M$41,0),1)&lt;&gt;0,1,0)</f>
        <v>1</v>
      </c>
      <c r="U42" s="10">
        <f t="shared" si="8"/>
        <v>1</v>
      </c>
    </row>
    <row r="43" spans="1:21">
      <c r="A43" s="46" t="s">
        <v>142</v>
      </c>
      <c r="B43" s="10" t="s">
        <v>7</v>
      </c>
      <c r="D43" s="10" t="str">
        <f t="shared" si="3"/>
        <v>tatico</v>
      </c>
      <c r="E43" s="10" t="str">
        <f t="shared" si="4"/>
        <v>rdfs:subClassOf</v>
      </c>
      <c r="F43" s="10" t="str">
        <f t="shared" si="5"/>
        <v>nivel</v>
      </c>
      <c r="G43" s="3" t="str">
        <f t="shared" si="6"/>
        <v>OK</v>
      </c>
      <c r="I43" s="10" t="str">
        <f t="shared" si="1"/>
        <v>tatico-nivel</v>
      </c>
      <c r="J43" s="10"/>
      <c r="K43" s="10"/>
      <c r="L43" s="3">
        <f>IF(INDEX(GRAFO!$L$2:'GRAFO'!$L$41,MATCH(I43,GRAFO!$L$2:'GRAFO'!$L$41,0),1)&lt;&gt;0,1,0)</f>
        <v>1</v>
      </c>
      <c r="M43" s="3">
        <f t="shared" si="7"/>
        <v>1</v>
      </c>
      <c r="O43" s="10" t="str">
        <f t="shared" si="2"/>
        <v>tatico-rdfs:subClassOf-nivel</v>
      </c>
      <c r="P43" s="10"/>
      <c r="Q43" s="10"/>
      <c r="R43" s="10"/>
      <c r="S43" s="10"/>
      <c r="T43" s="10">
        <f>IF(INDEX(GRAFO!$M$2:'GRAFO'!$M$41,MATCH(O43,GRAFO!$M$2:'GRAFO'!$M$41,0),1)&lt;&gt;0,1,0)</f>
        <v>1</v>
      </c>
      <c r="U43" s="10">
        <f t="shared" si="8"/>
        <v>1</v>
      </c>
    </row>
    <row r="44" spans="1:21">
      <c r="A44" s="46" t="s">
        <v>314</v>
      </c>
      <c r="B44" s="10" t="s">
        <v>4</v>
      </c>
      <c r="D44" s="10" t="str">
        <f t="shared" si="3"/>
        <v>ar</v>
      </c>
      <c r="E44" s="10" t="str">
        <f t="shared" si="4"/>
        <v>c2rm:applied_to</v>
      </c>
      <c r="F44" s="10" t="str">
        <f t="shared" si="5"/>
        <v>meios</v>
      </c>
      <c r="G44" s="3" t="e">
        <f t="shared" si="6"/>
        <v>#REF!</v>
      </c>
      <c r="I44" s="10" t="str">
        <f t="shared" si="1"/>
        <v>ar-meios</v>
      </c>
      <c r="J44" s="10"/>
      <c r="K44" s="10"/>
      <c r="L44" s="3" t="e">
        <f>IF(INDEX(GRAFO!$L$2:'GRAFO'!$L$41,MATCH(I44,GRAFO!$L$2:'GRAFO'!$L$41,0),1)&lt;&gt;0,1,0)</f>
        <v>#N/A</v>
      </c>
      <c r="M44" s="3">
        <f t="shared" si="7"/>
        <v>0</v>
      </c>
      <c r="O44" s="10" t="str">
        <f t="shared" si="2"/>
        <v>ar-c2rm:applied_to-meios</v>
      </c>
      <c r="P44" s="10"/>
      <c r="Q44" s="10"/>
      <c r="R44" s="10"/>
      <c r="S44" s="10"/>
      <c r="T44" s="10" t="e">
        <f>IF(INDEX(GRAFO!$M$2:'GRAFO'!$M$41,MATCH(O44,GRAFO!$M$2:'GRAFO'!$M$41,0),1)&lt;&gt;0,1,0)</f>
        <v>#N/A</v>
      </c>
      <c r="U44" s="10">
        <f t="shared" si="8"/>
        <v>0</v>
      </c>
    </row>
    <row r="45" spans="1:21">
      <c r="A45" s="46" t="s">
        <v>218</v>
      </c>
      <c r="B45" s="10" t="s">
        <v>7</v>
      </c>
      <c r="D45" s="10" t="str">
        <f t="shared" si="3"/>
        <v>md</v>
      </c>
      <c r="E45" s="10" t="str">
        <f t="shared" si="4"/>
        <v>rdfs:seeAlso</v>
      </c>
      <c r="F45" s="10" t="str">
        <f t="shared" si="5"/>
        <v>estrategico</v>
      </c>
      <c r="G45" s="3" t="str">
        <f t="shared" si="6"/>
        <v>OK</v>
      </c>
      <c r="H45">
        <f>COUNTIFS(GRAFO!C2:C42,"=D34",GRAFO!E2:E42,"=F34")</f>
        <v>0</v>
      </c>
      <c r="I45" s="10" t="str">
        <f t="shared" si="1"/>
        <v>md-estrategico</v>
      </c>
      <c r="J45" s="10"/>
      <c r="K45" s="10"/>
      <c r="L45" s="3" t="e">
        <f>IF(INDEX(GRAFO!$L$2:'GRAFO'!$L$41,MATCH(I45,GRAFO!$L$2:'GRAFO'!$L$41,0),1)&lt;&gt;0,1,0)</f>
        <v>#N/A</v>
      </c>
      <c r="M45" s="3">
        <f t="shared" si="7"/>
        <v>0</v>
      </c>
      <c r="O45" s="10" t="str">
        <f t="shared" si="2"/>
        <v>md-rdfs:seeAlso-estrategico</v>
      </c>
      <c r="P45" s="10"/>
      <c r="Q45" s="10"/>
      <c r="R45" s="10"/>
      <c r="S45" s="10"/>
      <c r="T45" s="10" t="e">
        <f>IF(INDEX(GRAFO!$M$2:'GRAFO'!$M$41,MATCH(O45,GRAFO!$M$2:'GRAFO'!$M$41,0),1)&lt;&gt;0,1,0)</f>
        <v>#N/A</v>
      </c>
      <c r="U45" s="10">
        <f t="shared" si="8"/>
        <v>0</v>
      </c>
    </row>
    <row r="46" spans="1:21">
      <c r="A46" s="46" t="s">
        <v>146</v>
      </c>
      <c r="B46" s="10" t="s">
        <v>4</v>
      </c>
      <c r="D46" s="10" t="str">
        <f t="shared" si="3"/>
        <v>md</v>
      </c>
      <c r="E46" s="10" t="str">
        <f t="shared" si="4"/>
        <v>c2rm:responsible_for</v>
      </c>
      <c r="F46" s="10" t="str">
        <f t="shared" si="5"/>
        <v>dmed</v>
      </c>
      <c r="G46" s="3" t="str">
        <f t="shared" si="6"/>
        <v>NOK</v>
      </c>
      <c r="I46" s="10" t="str">
        <f t="shared" si="1"/>
        <v>md-dmed</v>
      </c>
      <c r="J46" s="10"/>
      <c r="K46" s="10"/>
      <c r="L46" s="3" t="e">
        <f>IF(INDEX(GRAFO!$L$2:'GRAFO'!$L$41,MATCH(I46,GRAFO!$L$2:'GRAFO'!$L$41,0),1)&lt;&gt;0,1,0)</f>
        <v>#N/A</v>
      </c>
      <c r="M46" s="3">
        <f t="shared" si="7"/>
        <v>0</v>
      </c>
      <c r="O46" s="10" t="str">
        <f t="shared" si="2"/>
        <v>md-c2rm:responsible_for-dmed</v>
      </c>
      <c r="P46" s="10"/>
      <c r="Q46" s="10"/>
      <c r="R46" s="10"/>
      <c r="S46" s="10"/>
      <c r="T46" s="10" t="e">
        <f>IF(INDEX(GRAFO!$M$2:'GRAFO'!$M$41,MATCH(O46,GRAFO!$M$2:'GRAFO'!$M$41,0),1)&lt;&gt;0,1,0)</f>
        <v>#N/A</v>
      </c>
      <c r="U46" s="10">
        <f t="shared" si="8"/>
        <v>0</v>
      </c>
    </row>
    <row r="47" spans="1:21">
      <c r="A47" s="46" t="s">
        <v>280</v>
      </c>
      <c r="B47" s="10" t="s">
        <v>7</v>
      </c>
      <c r="C47" s="24"/>
      <c r="D47" s="10" t="str">
        <f t="shared" si="3"/>
        <v>dmed</v>
      </c>
      <c r="E47" s="10" t="str">
        <f t="shared" si="4"/>
        <v>rdfs:seeAlso</v>
      </c>
      <c r="F47" s="10" t="str">
        <f t="shared" si="5"/>
        <v>planos_estrategicos</v>
      </c>
      <c r="G47" s="3" t="str">
        <f t="shared" si="6"/>
        <v>NOK</v>
      </c>
      <c r="I47" s="10" t="str">
        <f t="shared" si="1"/>
        <v>dmed-planos_estrategicos</v>
      </c>
      <c r="J47" s="10"/>
      <c r="K47" s="10"/>
      <c r="L47" s="3" t="e">
        <f>IF(INDEX(GRAFO!$L$2:'GRAFO'!$L$41,MATCH(I47,GRAFO!$L$2:'GRAFO'!$L$41,0),1)&lt;&gt;0,1,0)</f>
        <v>#N/A</v>
      </c>
      <c r="M47" s="3">
        <f t="shared" si="7"/>
        <v>0</v>
      </c>
      <c r="O47" s="10" t="str">
        <f t="shared" si="2"/>
        <v>dmed-rdfs:seeAlso-planos_estrategicos</v>
      </c>
      <c r="P47" s="10"/>
      <c r="Q47" s="10"/>
      <c r="R47" s="10"/>
      <c r="S47" s="10"/>
      <c r="T47" s="10" t="e">
        <f>IF(INDEX(GRAFO!$M$2:'GRAFO'!$M$41,MATCH(O47,GRAFO!$M$2:'GRAFO'!$M$41,0),1)&lt;&gt;0,1,0)</f>
        <v>#N/A</v>
      </c>
      <c r="U47" s="10">
        <f t="shared" si="8"/>
        <v>0</v>
      </c>
    </row>
    <row r="48" spans="1:21">
      <c r="A48" s="46" t="s">
        <v>215</v>
      </c>
      <c r="B48" s="10" t="s">
        <v>4</v>
      </c>
      <c r="C48" s="9" t="str">
        <f t="shared" ref="C48:C63" si="9">IF(INDEX($A$3:$B$18,MATCH(D3,$A$3:$A$17,0),2)&lt;&gt;0,"OK","NOK")</f>
        <v>OK</v>
      </c>
      <c r="D48" s="10" t="str">
        <f t="shared" si="3"/>
        <v>comandos_operacionais</v>
      </c>
      <c r="E48" s="10" t="str">
        <f t="shared" si="4"/>
        <v>rdfs:seeAlso</v>
      </c>
      <c r="F48" s="10" t="str">
        <f t="shared" si="5"/>
        <v>operacional</v>
      </c>
      <c r="G48" s="3" t="str">
        <f t="shared" si="6"/>
        <v>OK</v>
      </c>
      <c r="I48" s="10" t="str">
        <f t="shared" si="1"/>
        <v>comandos_operacionais-operacional</v>
      </c>
      <c r="J48" s="10"/>
      <c r="K48" s="10"/>
      <c r="L48" s="3">
        <f>IF(INDEX(GRAFO!$L$2:'GRAFO'!$L$41,MATCH(I48,GRAFO!$L$2:'GRAFO'!$L$41,0),1)&lt;&gt;0,1,0)</f>
        <v>1</v>
      </c>
      <c r="M48" s="3">
        <f t="shared" si="7"/>
        <v>1</v>
      </c>
      <c r="O48" s="10" t="str">
        <f t="shared" si="2"/>
        <v>comandos_operacionais-rdfs:seeAlso-operacional</v>
      </c>
      <c r="P48" s="10"/>
      <c r="Q48" s="10"/>
      <c r="R48" s="10"/>
      <c r="S48" s="10"/>
      <c r="T48" s="10" t="e">
        <f>IF(INDEX(GRAFO!$M$2:'GRAFO'!$M$41,MATCH(O48,GRAFO!$M$2:'GRAFO'!$M$41,0),1)&lt;&gt;0,1,0)</f>
        <v>#N/A</v>
      </c>
      <c r="U48" s="10">
        <f t="shared" si="8"/>
        <v>0</v>
      </c>
    </row>
    <row r="49" spans="1:21">
      <c r="A49" s="46" t="s">
        <v>107</v>
      </c>
      <c r="B49" s="10" t="s">
        <v>7</v>
      </c>
      <c r="C49" s="9" t="str">
        <f t="shared" si="9"/>
        <v>OK</v>
      </c>
      <c r="D49" s="10" t="str">
        <f t="shared" si="3"/>
        <v>comandos_operacionais</v>
      </c>
      <c r="E49" s="10" t="str">
        <f t="shared" si="4"/>
        <v>rdfs:seeAlso</v>
      </c>
      <c r="F49" s="10" t="str">
        <f t="shared" si="5"/>
        <v>planos_estrategicos</v>
      </c>
      <c r="G49" s="3" t="str">
        <f t="shared" si="6"/>
        <v>NOK</v>
      </c>
      <c r="I49" s="10" t="str">
        <f t="shared" si="1"/>
        <v>comandos_operacionais-planos_estrategicos</v>
      </c>
      <c r="J49" s="10"/>
      <c r="K49" s="10"/>
      <c r="L49" s="3" t="e">
        <f>IF(INDEX(GRAFO!$L$2:'GRAFO'!$L$41,MATCH(I49,GRAFO!$L$2:'GRAFO'!$L$41,0),1)&lt;&gt;0,1,0)</f>
        <v>#N/A</v>
      </c>
      <c r="M49" s="3">
        <f t="shared" si="7"/>
        <v>0</v>
      </c>
      <c r="O49" s="10" t="str">
        <f t="shared" si="2"/>
        <v>comandos_operacionais-rdfs:seeAlso-planos_estrategicos</v>
      </c>
      <c r="P49" s="10"/>
      <c r="Q49" s="10"/>
      <c r="R49" s="10"/>
      <c r="S49" s="10"/>
      <c r="T49" s="10" t="e">
        <f>IF(INDEX(GRAFO!$M$2:'GRAFO'!$M$41,MATCH(O49,GRAFO!$M$2:'GRAFO'!$M$41,0),1)&lt;&gt;0,1,0)</f>
        <v>#N/A</v>
      </c>
      <c r="U49" s="10">
        <f t="shared" si="8"/>
        <v>0</v>
      </c>
    </row>
    <row r="50" spans="1:21">
      <c r="A50" s="46" t="s">
        <v>354</v>
      </c>
      <c r="B50" s="10" t="s">
        <v>35</v>
      </c>
      <c r="C50" s="9" t="str">
        <f t="shared" si="9"/>
        <v>OK</v>
      </c>
      <c r="D50" s="10" t="str">
        <f t="shared" si="3"/>
        <v>comandos_operacionais</v>
      </c>
      <c r="E50" s="10" t="str">
        <f t="shared" si="4"/>
        <v>c2rm:responsible_for</v>
      </c>
      <c r="F50" s="10" t="str">
        <f t="shared" si="5"/>
        <v>planos_operacionais</v>
      </c>
      <c r="G50" s="3" t="str">
        <f t="shared" si="6"/>
        <v>NOK</v>
      </c>
      <c r="I50" s="10" t="str">
        <f t="shared" si="1"/>
        <v>comandos_operacionais-planos_operacionais</v>
      </c>
      <c r="J50" s="10"/>
      <c r="K50" s="10"/>
      <c r="L50" s="3" t="e">
        <f>IF(INDEX(GRAFO!$L$2:'GRAFO'!$L$41,MATCH(I50,GRAFO!$L$2:'GRAFO'!$L$41,0),1)&lt;&gt;0,1,0)</f>
        <v>#N/A</v>
      </c>
      <c r="M50" s="3">
        <f t="shared" si="7"/>
        <v>0</v>
      </c>
      <c r="O50" s="10" t="str">
        <f t="shared" si="2"/>
        <v>comandos_operacionais-c2rm:responsible_for-planos_operacionais</v>
      </c>
      <c r="P50" s="10"/>
      <c r="Q50" s="10"/>
      <c r="R50" s="10"/>
      <c r="S50" s="10"/>
      <c r="T50" s="10" t="e">
        <f>IF(INDEX(GRAFO!$M$2:'GRAFO'!$M$41,MATCH(O50,GRAFO!$M$2:'GRAFO'!$M$41,0),1)&lt;&gt;0,1,0)</f>
        <v>#N/A</v>
      </c>
      <c r="U50" s="10">
        <f t="shared" si="8"/>
        <v>0</v>
      </c>
    </row>
    <row r="51" spans="1:21">
      <c r="A51" s="46" t="s">
        <v>365</v>
      </c>
      <c r="B51" s="10" t="s">
        <v>4</v>
      </c>
      <c r="C51" s="9" t="str">
        <f t="shared" si="9"/>
        <v>OK</v>
      </c>
      <c r="D51" s="10" t="str">
        <f t="shared" si="3"/>
        <v>planos_operacionais</v>
      </c>
      <c r="E51" s="10" t="str">
        <f t="shared" si="4"/>
        <v>rdfs:seeAlso</v>
      </c>
      <c r="F51" s="10" t="str">
        <f t="shared" si="5"/>
        <v>plano_tatico</v>
      </c>
      <c r="G51" s="3" t="str">
        <f t="shared" si="6"/>
        <v>NOK</v>
      </c>
      <c r="I51" s="10" t="str">
        <f t="shared" si="1"/>
        <v>planos_operacionais-plano_tatico</v>
      </c>
      <c r="J51" s="10"/>
      <c r="K51" s="10"/>
      <c r="L51" s="3" t="e">
        <f>IF(INDEX(GRAFO!$L$2:'GRAFO'!$L$41,MATCH(I51,GRAFO!$L$2:'GRAFO'!$L$41,0),1)&lt;&gt;0,1,0)</f>
        <v>#N/A</v>
      </c>
      <c r="M51" s="3">
        <f t="shared" si="7"/>
        <v>0</v>
      </c>
      <c r="O51" s="10" t="str">
        <f t="shared" si="2"/>
        <v>planos_operacionais-rdfs:seeAlso-plano_tatico</v>
      </c>
      <c r="P51" s="10"/>
      <c r="Q51" s="10"/>
      <c r="R51" s="10"/>
      <c r="S51" s="10"/>
      <c r="T51" s="10" t="e">
        <f>IF(INDEX(GRAFO!$M$2:'GRAFO'!$M$41,MATCH(O51,GRAFO!$M$2:'GRAFO'!$M$41,0),1)&lt;&gt;0,1,0)</f>
        <v>#N/A</v>
      </c>
      <c r="U51" s="10">
        <f t="shared" si="8"/>
        <v>0</v>
      </c>
    </row>
    <row r="52" spans="1:21">
      <c r="A52" s="46" t="s">
        <v>242</v>
      </c>
      <c r="B52" s="10" t="s">
        <v>7</v>
      </c>
      <c r="C52" s="9" t="e">
        <f t="shared" si="9"/>
        <v>#N/A</v>
      </c>
      <c r="D52" s="10" t="str">
        <f t="shared" si="3"/>
        <v>forca_componente</v>
      </c>
      <c r="E52" s="10" t="str">
        <f t="shared" si="4"/>
        <v>c2rm:responsible_for</v>
      </c>
      <c r="F52" s="10" t="str">
        <f t="shared" si="5"/>
        <v>plano_tatico</v>
      </c>
      <c r="G52" s="3" t="str">
        <f t="shared" si="6"/>
        <v>NOK</v>
      </c>
      <c r="I52" s="10" t="str">
        <f t="shared" si="1"/>
        <v>forca_componente-plano_tatico</v>
      </c>
      <c r="J52" s="10"/>
      <c r="K52" s="10"/>
      <c r="L52" s="3" t="e">
        <f>IF(INDEX(GRAFO!$L$2:'GRAFO'!$L$41,MATCH(I52,GRAFO!$L$2:'GRAFO'!$L$41,0),1)&lt;&gt;0,1,0)</f>
        <v>#N/A</v>
      </c>
      <c r="M52" s="3">
        <f t="shared" si="7"/>
        <v>0</v>
      </c>
      <c r="O52" s="10" t="str">
        <f t="shared" si="2"/>
        <v>forca_componente-c2rm:responsible_for-plano_tatico</v>
      </c>
      <c r="P52" s="10"/>
      <c r="Q52" s="10"/>
      <c r="R52" s="10"/>
      <c r="S52" s="10"/>
      <c r="T52" s="10" t="e">
        <f>IF(INDEX(GRAFO!$M$2:'GRAFO'!$M$41,MATCH(O52,GRAFO!$M$2:'GRAFO'!$M$41,0),1)&lt;&gt;0,1,0)</f>
        <v>#N/A</v>
      </c>
      <c r="U52" s="10">
        <f t="shared" si="8"/>
        <v>0</v>
      </c>
    </row>
    <row r="53" spans="1:21">
      <c r="A53" s="46"/>
      <c r="B53" s="10"/>
      <c r="C53" s="9" t="str">
        <f t="shared" si="9"/>
        <v>NOK</v>
      </c>
      <c r="D53" s="10" t="str">
        <f t="shared" si="3"/>
        <v>comandos_operacionais</v>
      </c>
      <c r="E53" s="10" t="str">
        <f t="shared" si="4"/>
        <v>c2rm:responsible_for</v>
      </c>
      <c r="F53" s="10" t="str">
        <f t="shared" si="5"/>
        <v>planejamento_militar</v>
      </c>
      <c r="G53" s="3" t="str">
        <f t="shared" si="6"/>
        <v>NOK</v>
      </c>
      <c r="I53" s="10" t="str">
        <f t="shared" si="1"/>
        <v>comandos_operacionais-planejamento_militar</v>
      </c>
      <c r="J53" s="10"/>
      <c r="K53" s="10"/>
      <c r="L53" s="3" t="e">
        <f>IF(INDEX(GRAFO!$L$2:'GRAFO'!$L$41,MATCH(I53,GRAFO!$L$2:'GRAFO'!$L$41,0),1)&lt;&gt;0,1,0)</f>
        <v>#N/A</v>
      </c>
      <c r="M53" s="3">
        <f t="shared" si="7"/>
        <v>0</v>
      </c>
      <c r="O53" s="10" t="str">
        <f t="shared" si="2"/>
        <v>comandos_operacionais-c2rm:responsible_for-planejamento_militar</v>
      </c>
      <c r="P53" s="10"/>
      <c r="Q53" s="10"/>
      <c r="R53" s="10"/>
      <c r="S53" s="10"/>
      <c r="T53" s="10" t="e">
        <f>IF(INDEX(GRAFO!$M$2:'GRAFO'!$M$41,MATCH(O53,GRAFO!$M$2:'GRAFO'!$M$41,0),1)&lt;&gt;0,1,0)</f>
        <v>#N/A</v>
      </c>
      <c r="U53" s="10">
        <f t="shared" si="8"/>
        <v>0</v>
      </c>
    </row>
    <row r="54" spans="1:21">
      <c r="A54" s="46"/>
      <c r="B54" s="10"/>
      <c r="C54" s="9" t="str">
        <f t="shared" si="9"/>
        <v>NOK</v>
      </c>
      <c r="D54" s="10" t="str">
        <f t="shared" si="3"/>
        <v>comandos_operacionais</v>
      </c>
      <c r="E54" s="10" t="str">
        <f t="shared" si="4"/>
        <v>c2rm:responsible_for</v>
      </c>
      <c r="F54" s="10" t="str">
        <f t="shared" si="5"/>
        <v>objetivos_operacionais</v>
      </c>
      <c r="G54" s="3" t="str">
        <f t="shared" si="6"/>
        <v>NOK</v>
      </c>
      <c r="I54" s="10" t="str">
        <f t="shared" si="1"/>
        <v>comandos_operacionais-objetivos_operacionais</v>
      </c>
      <c r="J54" s="10"/>
      <c r="K54" s="10"/>
      <c r="L54" s="3" t="e">
        <f>IF(INDEX(GRAFO!$L$2:'GRAFO'!$L$41,MATCH(I54,GRAFO!$L$2:'GRAFO'!$L$41,0),1)&lt;&gt;0,1,0)</f>
        <v>#N/A</v>
      </c>
      <c r="M54" s="3">
        <f t="shared" si="7"/>
        <v>0</v>
      </c>
      <c r="O54" s="10" t="str">
        <f t="shared" si="2"/>
        <v>comandos_operacionais-c2rm:responsible_for-objetivos_operacionais</v>
      </c>
      <c r="P54" s="10"/>
      <c r="Q54" s="10"/>
      <c r="R54" s="10"/>
      <c r="S54" s="10"/>
      <c r="T54" s="10" t="e">
        <f>IF(INDEX(GRAFO!$M$2:'GRAFO'!$M$41,MATCH(O54,GRAFO!$M$2:'GRAFO'!$M$41,0),1)&lt;&gt;0,1,0)</f>
        <v>#N/A</v>
      </c>
      <c r="U54" s="10">
        <f t="shared" si="8"/>
        <v>0</v>
      </c>
    </row>
    <row r="55" spans="1:21">
      <c r="A55" s="46"/>
      <c r="B55" s="10"/>
      <c r="C55" s="9" t="str">
        <f t="shared" si="9"/>
        <v>NOK</v>
      </c>
      <c r="D55" s="10" t="str">
        <f t="shared" si="3"/>
        <v>comandos_operacionais</v>
      </c>
      <c r="E55" s="10" t="str">
        <f t="shared" si="4"/>
        <v>c2rm:responsible_for</v>
      </c>
      <c r="F55" s="10" t="str">
        <f t="shared" si="5"/>
        <v>operacao_conjunta</v>
      </c>
      <c r="G55" s="3" t="str">
        <f t="shared" si="6"/>
        <v>OK</v>
      </c>
      <c r="I55" s="10" t="str">
        <f t="shared" si="1"/>
        <v>comandos_operacionais-operacao_conjunta</v>
      </c>
      <c r="J55" s="10"/>
      <c r="K55" s="10"/>
      <c r="L55" s="3" t="e">
        <f>IF(INDEX(GRAFO!$L$2:'GRAFO'!$L$41,MATCH(I55,GRAFO!$L$2:'GRAFO'!$L$41,0),1)&lt;&gt;0,1,0)</f>
        <v>#N/A</v>
      </c>
      <c r="M55" s="3">
        <f t="shared" si="7"/>
        <v>0</v>
      </c>
      <c r="O55" s="10" t="str">
        <f t="shared" si="2"/>
        <v>comandos_operacionais-c2rm:responsible_for-operacao_conjunta</v>
      </c>
      <c r="P55" s="10"/>
      <c r="Q55" s="10"/>
      <c r="R55" s="10"/>
      <c r="S55" s="10"/>
      <c r="T55" s="10" t="e">
        <f>IF(INDEX(GRAFO!$M$2:'GRAFO'!$M$41,MATCH(O55,GRAFO!$M$2:'GRAFO'!$M$41,0),1)&lt;&gt;0,1,0)</f>
        <v>#N/A</v>
      </c>
      <c r="U55" s="10">
        <f t="shared" si="8"/>
        <v>0</v>
      </c>
    </row>
    <row r="56" spans="1:21">
      <c r="A56" s="10"/>
      <c r="B56" s="10"/>
      <c r="C56" s="9" t="str">
        <f t="shared" si="9"/>
        <v>OK</v>
      </c>
      <c r="D56" s="10" t="str">
        <f t="shared" si="3"/>
        <v>forca_componente</v>
      </c>
      <c r="E56" s="10" t="str">
        <f t="shared" si="4"/>
        <v>rdfs:seeAlso</v>
      </c>
      <c r="F56" s="10" t="str">
        <f t="shared" si="5"/>
        <v>estrategico</v>
      </c>
      <c r="G56" s="3" t="str">
        <f t="shared" si="6"/>
        <v>OK</v>
      </c>
      <c r="I56" s="10" t="str">
        <f t="shared" si="1"/>
        <v>forca_componente-estrategico</v>
      </c>
      <c r="J56" s="10"/>
      <c r="K56" s="10"/>
      <c r="L56" s="3" t="e">
        <f>IF(INDEX(GRAFO!$L$2:'GRAFO'!$L$41,MATCH(I56,GRAFO!$L$2:'GRAFO'!$L$41,0),1)&lt;&gt;0,1,0)</f>
        <v>#N/A</v>
      </c>
      <c r="M56" s="3">
        <f t="shared" si="7"/>
        <v>0</v>
      </c>
      <c r="O56" s="10" t="str">
        <f t="shared" si="2"/>
        <v>forca_componente-rdfs:seeAlso-estrategico</v>
      </c>
      <c r="P56" s="10"/>
      <c r="Q56" s="10"/>
      <c r="R56" s="10"/>
      <c r="S56" s="10"/>
      <c r="T56" s="10" t="e">
        <f>IF(INDEX(GRAFO!$M$2:'GRAFO'!$M$41,MATCH(O56,GRAFO!$M$2:'GRAFO'!$M$41,0),1)&lt;&gt;0,1,0)</f>
        <v>#N/A</v>
      </c>
      <c r="U56" s="10">
        <f t="shared" si="8"/>
        <v>0</v>
      </c>
    </row>
    <row r="57" spans="1:21">
      <c r="C57" s="9" t="str">
        <f t="shared" si="9"/>
        <v>OK</v>
      </c>
      <c r="D57" s="10" t="str">
        <f t="shared" si="3"/>
        <v>forca_componente</v>
      </c>
      <c r="E57" s="10" t="str">
        <f t="shared" si="4"/>
        <v>rdfs:seeAlso</v>
      </c>
      <c r="F57" s="10" t="str">
        <f t="shared" si="5"/>
        <v>forcas_armadas</v>
      </c>
      <c r="G57" s="3" t="str">
        <f t="shared" si="6"/>
        <v>OK</v>
      </c>
      <c r="I57" s="10" t="str">
        <f t="shared" si="1"/>
        <v>forca_componente-forcas_armadas</v>
      </c>
      <c r="J57" s="10"/>
      <c r="K57" s="10"/>
      <c r="L57" s="3" t="e">
        <f>IF(INDEX(GRAFO!$L$2:'GRAFO'!$L$41,MATCH(I57,GRAFO!$L$2:'GRAFO'!$L$41,0),1)&lt;&gt;0,1,0)</f>
        <v>#N/A</v>
      </c>
      <c r="M57" s="3">
        <f t="shared" si="7"/>
        <v>0</v>
      </c>
      <c r="O57" s="10" t="str">
        <f t="shared" si="2"/>
        <v>forca_componente-rdfs:seeAlso-forcas_armadas</v>
      </c>
      <c r="P57" s="10"/>
      <c r="Q57" s="10"/>
      <c r="R57" s="10"/>
      <c r="S57" s="10"/>
      <c r="T57" s="10" t="e">
        <f>IF(INDEX(GRAFO!$M$2:'GRAFO'!$M$41,MATCH(O57,GRAFO!$M$2:'GRAFO'!$M$41,0),1)&lt;&gt;0,1,0)</f>
        <v>#N/A</v>
      </c>
      <c r="U57" s="10">
        <f t="shared" si="8"/>
        <v>0</v>
      </c>
    </row>
    <row r="58" spans="1:21">
      <c r="C58" s="9" t="str">
        <f t="shared" si="9"/>
        <v>OK</v>
      </c>
      <c r="D58" s="10" t="str">
        <f t="shared" si="3"/>
        <v>marinha</v>
      </c>
      <c r="E58" s="10" t="str">
        <f t="shared" si="4"/>
        <v>rdfs:subClassOf</v>
      </c>
      <c r="F58" s="10" t="str">
        <f t="shared" si="5"/>
        <v>forcas_armadas</v>
      </c>
      <c r="G58" s="3" t="str">
        <f t="shared" si="6"/>
        <v>OK</v>
      </c>
      <c r="I58" s="10" t="str">
        <f t="shared" si="1"/>
        <v>marinha-forcas_armadas</v>
      </c>
      <c r="J58" s="10"/>
      <c r="K58" s="10"/>
      <c r="L58" s="3">
        <f>IF(INDEX(GRAFO!$L$2:'GRAFO'!$L$41,MATCH(I58,GRAFO!$L$2:'GRAFO'!$L$41,0),1)&lt;&gt;0,1,0)</f>
        <v>1</v>
      </c>
      <c r="M58" s="3">
        <f t="shared" si="7"/>
        <v>1</v>
      </c>
      <c r="O58" s="10" t="str">
        <f t="shared" si="2"/>
        <v>marinha-rdfs:subClassOf-forcas_armadas</v>
      </c>
      <c r="P58" s="10"/>
      <c r="Q58" s="10"/>
      <c r="R58" s="10"/>
      <c r="S58" s="10"/>
      <c r="T58" s="10">
        <f>IF(INDEX(GRAFO!$M$2:'GRAFO'!$M$41,MATCH(O58,GRAFO!$M$2:'GRAFO'!$M$41,0),1)&lt;&gt;0,1,0)</f>
        <v>1</v>
      </c>
      <c r="U58" s="10">
        <f t="shared" si="8"/>
        <v>1</v>
      </c>
    </row>
    <row r="59" spans="1:21">
      <c r="C59" s="9" t="e">
        <f t="shared" si="9"/>
        <v>#N/A</v>
      </c>
      <c r="D59" s="10" t="str">
        <f t="shared" si="3"/>
        <v>exercito</v>
      </c>
      <c r="E59" s="10" t="str">
        <f t="shared" si="4"/>
        <v>rdfs:subClassOf</v>
      </c>
      <c r="F59" s="10" t="str">
        <f t="shared" si="5"/>
        <v>forcas_armadas</v>
      </c>
      <c r="G59" s="3" t="str">
        <f t="shared" si="6"/>
        <v>OK</v>
      </c>
      <c r="I59" s="10" t="str">
        <f t="shared" si="1"/>
        <v>exercito-forcas_armadas</v>
      </c>
      <c r="J59" s="10"/>
      <c r="K59" s="10"/>
      <c r="L59" s="3">
        <f>IF(INDEX(GRAFO!$L$2:'GRAFO'!$L$41,MATCH(I59,GRAFO!$L$2:'GRAFO'!$L$41,0),1)&lt;&gt;0,1,0)</f>
        <v>1</v>
      </c>
      <c r="M59" s="3">
        <f t="shared" si="7"/>
        <v>1</v>
      </c>
      <c r="O59" s="10" t="str">
        <f t="shared" si="2"/>
        <v>exercito-rdfs:subClassOf-forcas_armadas</v>
      </c>
      <c r="P59" s="10"/>
      <c r="Q59" s="10"/>
      <c r="R59" s="10"/>
      <c r="S59" s="10"/>
      <c r="T59" s="10">
        <f>IF(INDEX(GRAFO!$M$2:'GRAFO'!$M$41,MATCH(O59,GRAFO!$M$2:'GRAFO'!$M$41,0),1)&lt;&gt;0,1,0)</f>
        <v>1</v>
      </c>
      <c r="U59" s="10">
        <f t="shared" si="8"/>
        <v>1</v>
      </c>
    </row>
    <row r="60" spans="1:21">
      <c r="C60" s="9" t="str">
        <f t="shared" si="9"/>
        <v>OK</v>
      </c>
      <c r="D60" s="10" t="str">
        <f t="shared" si="3"/>
        <v>aeronautica</v>
      </c>
      <c r="E60" s="10" t="str">
        <f t="shared" si="4"/>
        <v>rdfs:subClassOf</v>
      </c>
      <c r="F60" s="10" t="str">
        <f t="shared" si="5"/>
        <v>forcas_armadas</v>
      </c>
      <c r="G60" s="3" t="str">
        <f t="shared" si="6"/>
        <v>OK</v>
      </c>
      <c r="I60" s="10" t="str">
        <f t="shared" si="1"/>
        <v>aeronautica-forcas_armadas</v>
      </c>
      <c r="J60" s="10"/>
      <c r="K60" s="10"/>
      <c r="L60" s="3">
        <f>IF(INDEX(GRAFO!$L$2:'GRAFO'!$L$41,MATCH(I60,GRAFO!$L$2:'GRAFO'!$L$41,0),1)&lt;&gt;0,1,0)</f>
        <v>1</v>
      </c>
      <c r="M60" s="3">
        <f t="shared" si="7"/>
        <v>1</v>
      </c>
      <c r="O60" s="10" t="str">
        <f t="shared" si="2"/>
        <v>aeronautica-rdfs:subClassOf-forcas_armadas</v>
      </c>
      <c r="P60" s="10"/>
      <c r="Q60" s="10"/>
      <c r="R60" s="10"/>
      <c r="S60" s="10"/>
      <c r="T60" s="10">
        <f>IF(INDEX(GRAFO!$M$2:'GRAFO'!$M$41,MATCH(O60,GRAFO!$M$2:'GRAFO'!$M$41,0),1)&lt;&gt;0,1,0)</f>
        <v>1</v>
      </c>
      <c r="U60" s="10">
        <f t="shared" si="8"/>
        <v>1</v>
      </c>
    </row>
    <row r="61" spans="1:21">
      <c r="C61" s="9" t="str">
        <f t="shared" si="9"/>
        <v>OK</v>
      </c>
      <c r="D61" s="10" t="str">
        <f t="shared" si="3"/>
        <v>operacao_conjunta</v>
      </c>
      <c r="E61" s="10" t="str">
        <f t="shared" si="4"/>
        <v>c2rm:applied_to</v>
      </c>
      <c r="F61" s="10" t="str">
        <f t="shared" si="5"/>
        <v>forcas_armadas</v>
      </c>
      <c r="G61" s="3" t="str">
        <f t="shared" si="6"/>
        <v>OK</v>
      </c>
      <c r="I61" s="10" t="str">
        <f t="shared" si="1"/>
        <v>operacao_conjunta-forcas_armadas</v>
      </c>
      <c r="J61" s="10"/>
      <c r="K61" s="10"/>
      <c r="L61" s="3" t="e">
        <f>IF(INDEX(GRAFO!$L$2:'GRAFO'!$L$41,MATCH(I61,GRAFO!$L$2:'GRAFO'!$L$41,0),1)&lt;&gt;0,1,0)</f>
        <v>#N/A</v>
      </c>
      <c r="M61" s="3">
        <f t="shared" si="7"/>
        <v>0</v>
      </c>
      <c r="O61" s="10" t="str">
        <f t="shared" si="2"/>
        <v>operacao_conjunta-c2rm:applied_to-forcas_armadas</v>
      </c>
      <c r="P61" s="10"/>
      <c r="Q61" s="10"/>
      <c r="R61" s="10"/>
      <c r="S61" s="10"/>
      <c r="T61" s="10" t="e">
        <f>IF(INDEX(GRAFO!$M$2:'GRAFO'!$M$41,MATCH(O61,GRAFO!$M$2:'GRAFO'!$M$41,0),1)&lt;&gt;0,1,0)</f>
        <v>#N/A</v>
      </c>
      <c r="U61" s="10">
        <f t="shared" si="8"/>
        <v>0</v>
      </c>
    </row>
    <row r="62" spans="1:21">
      <c r="C62" s="9" t="str">
        <f t="shared" si="9"/>
        <v>OK</v>
      </c>
      <c r="D62" s="10" t="str">
        <f t="shared" si="3"/>
        <v>c_log</v>
      </c>
      <c r="E62" s="10" t="str">
        <f t="shared" si="4"/>
        <v>rdfs:seeAlso</v>
      </c>
      <c r="F62" s="10" t="str">
        <f t="shared" si="5"/>
        <v>operacao_conjunta</v>
      </c>
      <c r="G62" s="3" t="str">
        <f t="shared" si="6"/>
        <v>OK</v>
      </c>
      <c r="I62" s="10" t="str">
        <f t="shared" si="1"/>
        <v>c_log-operacao_conjunta</v>
      </c>
      <c r="J62" s="10"/>
      <c r="K62" s="10"/>
      <c r="L62" s="3" t="e">
        <f>IF(INDEX(GRAFO!$L$2:'GRAFO'!$L$41,MATCH(I62,GRAFO!$L$2:'GRAFO'!$L$41,0),1)&lt;&gt;0,1,0)</f>
        <v>#N/A</v>
      </c>
      <c r="M62" s="3">
        <f t="shared" si="7"/>
        <v>0</v>
      </c>
      <c r="O62" s="10" t="str">
        <f t="shared" si="2"/>
        <v>c_log-rdfs:seeAlso-operacao_conjunta</v>
      </c>
      <c r="P62" s="10"/>
      <c r="Q62" s="10"/>
      <c r="R62" s="10"/>
      <c r="S62" s="10"/>
      <c r="T62" s="10" t="e">
        <f>IF(INDEX(GRAFO!$M$2:'GRAFO'!$M$41,MATCH(O62,GRAFO!$M$2:'GRAFO'!$M$41,0),1)&lt;&gt;0,1,0)</f>
        <v>#N/A</v>
      </c>
      <c r="U62" s="10">
        <f t="shared" si="8"/>
        <v>0</v>
      </c>
    </row>
    <row r="63" spans="1:21">
      <c r="C63" s="9" t="str">
        <f t="shared" si="9"/>
        <v>OK</v>
      </c>
      <c r="D63" s="10" t="str">
        <f t="shared" si="3"/>
        <v>comando_supremo</v>
      </c>
      <c r="E63" s="10" t="str">
        <f t="shared" si="4"/>
        <v>rdfs:seeAlso</v>
      </c>
      <c r="F63" s="10" t="str">
        <f t="shared" si="5"/>
        <v>politico</v>
      </c>
      <c r="G63" s="3" t="str">
        <f t="shared" si="6"/>
        <v>OK</v>
      </c>
      <c r="I63" s="10" t="str">
        <f t="shared" si="1"/>
        <v>comando_supremo-politico</v>
      </c>
      <c r="J63" s="10"/>
      <c r="K63" s="10"/>
      <c r="L63" s="3" t="e">
        <f>IF(INDEX(GRAFO!$L$2:'GRAFO'!$L$41,MATCH(I63,GRAFO!$L$2:'GRAFO'!$L$41,0),1)&lt;&gt;0,1,0)</f>
        <v>#N/A</v>
      </c>
      <c r="M63" s="3">
        <f t="shared" si="7"/>
        <v>0</v>
      </c>
      <c r="O63" s="10" t="str">
        <f t="shared" si="2"/>
        <v>comando_supremo-rdfs:seeAlso-politico</v>
      </c>
      <c r="P63" s="10"/>
      <c r="Q63" s="10"/>
      <c r="R63" s="10"/>
      <c r="S63" s="10"/>
      <c r="T63" s="10" t="e">
        <f>IF(INDEX(GRAFO!$M$2:'GRAFO'!$M$41,MATCH(O63,GRAFO!$M$2:'GRAFO'!$M$41,0),1)&lt;&gt;0,1,0)</f>
        <v>#N/A</v>
      </c>
      <c r="U63" s="10">
        <f t="shared" si="8"/>
        <v>0</v>
      </c>
    </row>
    <row r="64" spans="1:21">
      <c r="D64" s="10" t="str">
        <f t="shared" si="3"/>
        <v>presidente_da_republica</v>
      </c>
      <c r="E64" s="10" t="str">
        <f t="shared" si="4"/>
        <v>owl:equivalentClass</v>
      </c>
      <c r="F64" s="10" t="str">
        <f t="shared" si="5"/>
        <v>comando_supremo</v>
      </c>
      <c r="G64" s="3" t="str">
        <f t="shared" si="6"/>
        <v>OK</v>
      </c>
      <c r="I64" s="10" t="str">
        <f t="shared" si="1"/>
        <v>presidente_da_republica-comando_supremo</v>
      </c>
      <c r="J64" s="10"/>
      <c r="K64" s="10"/>
      <c r="L64" s="3">
        <f>IF(INDEX(GRAFO!$L$2:'GRAFO'!$L$41,MATCH(I64,GRAFO!$L$2:'GRAFO'!$L$41,0),1)&lt;&gt;0,1,0)</f>
        <v>1</v>
      </c>
      <c r="M64" s="3">
        <f t="shared" si="7"/>
        <v>1</v>
      </c>
      <c r="O64" s="10" t="str">
        <f t="shared" si="2"/>
        <v>presidente_da_republica-owl:equivalentClass-comando_supremo</v>
      </c>
      <c r="P64" s="10"/>
      <c r="Q64" s="10"/>
      <c r="R64" s="10"/>
      <c r="S64" s="10"/>
      <c r="T64" s="10" t="e">
        <f>IF(INDEX(GRAFO!$M$2:'GRAFO'!$M$41,MATCH(O64,GRAFO!$M$2:'GRAFO'!$M$41,0),1)&lt;&gt;0,1,0)</f>
        <v>#N/A</v>
      </c>
      <c r="U64" s="10">
        <f t="shared" si="8"/>
        <v>0</v>
      </c>
    </row>
    <row r="65" spans="4:21">
      <c r="D65" s="10" t="str">
        <f t="shared" si="3"/>
        <v>comando_supremo</v>
      </c>
      <c r="E65" s="10" t="str">
        <f t="shared" si="4"/>
        <v>c2rm:responsible_for</v>
      </c>
      <c r="F65" s="10" t="str">
        <f t="shared" si="5"/>
        <v>dped</v>
      </c>
      <c r="G65" s="3" t="str">
        <f t="shared" si="6"/>
        <v>NOK</v>
      </c>
      <c r="I65" s="10" t="str">
        <f t="shared" ref="I65:I66" si="10">D65 &amp;"-"&amp;F65</f>
        <v>comando_supremo-dped</v>
      </c>
      <c r="J65" s="10"/>
      <c r="K65" s="10"/>
      <c r="L65" s="3" t="e">
        <f>IF(INDEX(GRAFO!$L$2:'GRAFO'!$L$41,MATCH(I65,GRAFO!$L$2:'GRAFO'!$L$41,0),1)&lt;&gt;0,1,0)</f>
        <v>#N/A</v>
      </c>
      <c r="M65" s="3">
        <f t="shared" ref="M65:M66" si="11">IFERROR(L65,0)</f>
        <v>0</v>
      </c>
      <c r="O65" s="10" t="str">
        <f t="shared" ref="O65:O66" si="12">D65 &amp; "-" &amp; E65 &amp; "-" &amp; F65</f>
        <v>comando_supremo-c2rm:responsible_for-dped</v>
      </c>
      <c r="P65" s="10"/>
      <c r="Q65" s="10"/>
      <c r="R65" s="10"/>
      <c r="S65" s="10"/>
      <c r="T65" s="10" t="e">
        <f>IF(INDEX(GRAFO!$M$2:'GRAFO'!$M$41,MATCH(O65,GRAFO!$M$2:'GRAFO'!$M$41,0),1)&lt;&gt;0,1,0)</f>
        <v>#N/A</v>
      </c>
      <c r="U65" s="10">
        <f t="shared" ref="U65:U66" si="13">IFERROR(T65,0)</f>
        <v>0</v>
      </c>
    </row>
    <row r="66" spans="4:21">
      <c r="D66" s="10" t="str">
        <f t="shared" si="3"/>
        <v>comando_supremo</v>
      </c>
      <c r="E66" s="10" t="str">
        <f t="shared" si="4"/>
        <v>c2rm:responsible_for</v>
      </c>
      <c r="F66" s="10" t="str">
        <f t="shared" si="5"/>
        <v>objetivos_politicos</v>
      </c>
      <c r="G66" s="3" t="str">
        <f t="shared" si="6"/>
        <v>OK</v>
      </c>
      <c r="I66" s="10" t="str">
        <f t="shared" si="10"/>
        <v>comando_supremo-objetivos_politicos</v>
      </c>
      <c r="J66" s="10"/>
      <c r="K66" s="10"/>
      <c r="L66" s="3" t="e">
        <f>IF(INDEX(GRAFO!$L$2:'GRAFO'!$L$41,MATCH(I66,GRAFO!$L$2:'GRAFO'!$L$41,0),1)&lt;&gt;0,1,0)</f>
        <v>#N/A</v>
      </c>
      <c r="M66" s="3">
        <f t="shared" si="11"/>
        <v>0</v>
      </c>
      <c r="O66" s="10" t="str">
        <f t="shared" si="12"/>
        <v>comando_supremo-c2rm:responsible_for-objetivos_politicos</v>
      </c>
      <c r="P66" s="10"/>
      <c r="Q66" s="10"/>
      <c r="R66" s="10"/>
      <c r="S66" s="10"/>
      <c r="T66" s="10" t="e">
        <f>IF(INDEX(GRAFO!$M$2:'GRAFO'!$M$41,MATCH(O66,GRAFO!$M$2:'GRAFO'!$M$41,0),1)&lt;&gt;0,1,0)</f>
        <v>#N/A</v>
      </c>
      <c r="U66" s="10">
        <f t="shared" si="13"/>
        <v>0</v>
      </c>
    </row>
    <row r="67" spans="4:21">
      <c r="D67" s="10"/>
      <c r="E67" s="10"/>
      <c r="F67" s="10"/>
      <c r="G67" s="3"/>
      <c r="I67" s="10"/>
      <c r="J67" s="10"/>
      <c r="K67" s="10"/>
      <c r="L67" s="3"/>
      <c r="M67" s="3"/>
      <c r="O67" s="10"/>
      <c r="P67" s="10"/>
      <c r="Q67" s="10"/>
      <c r="R67" s="10"/>
      <c r="S67" s="10"/>
      <c r="T67" s="10"/>
      <c r="U67" s="10"/>
    </row>
    <row r="68" spans="4:21">
      <c r="D68" s="10"/>
      <c r="E68" s="10"/>
      <c r="F68" s="10"/>
      <c r="G68" s="3"/>
      <c r="I68" s="10"/>
      <c r="J68" s="10"/>
      <c r="K68" s="10"/>
      <c r="L68" s="3"/>
      <c r="M68" s="3"/>
      <c r="O68" s="10"/>
      <c r="P68" s="10"/>
      <c r="Q68" s="10"/>
      <c r="R68" s="10"/>
      <c r="S68" s="10"/>
      <c r="T68" s="10"/>
      <c r="U68" s="10"/>
    </row>
    <row r="69" spans="4:21">
      <c r="D69" s="10"/>
      <c r="E69" s="10"/>
      <c r="F69" s="10"/>
      <c r="G69" s="3"/>
      <c r="I69" s="10"/>
      <c r="J69" s="10"/>
      <c r="K69" s="10"/>
      <c r="L69" s="3"/>
      <c r="M69" s="3"/>
      <c r="O69" s="10"/>
      <c r="P69" s="10"/>
      <c r="Q69" s="10"/>
      <c r="R69" s="10"/>
      <c r="S69" s="10"/>
      <c r="T69" s="10"/>
      <c r="U69" s="10"/>
    </row>
    <row r="70" spans="4:21">
      <c r="D70" s="10"/>
      <c r="E70" s="10"/>
      <c r="F70" s="10"/>
      <c r="G70" s="3"/>
      <c r="I70" s="10"/>
      <c r="J70" s="10"/>
      <c r="K70" s="10"/>
      <c r="L70" s="3"/>
      <c r="M70" s="3"/>
      <c r="O70" s="10"/>
      <c r="P70" s="10"/>
      <c r="Q70" s="10"/>
      <c r="R70" s="10"/>
      <c r="S70" s="10"/>
      <c r="T70" s="10"/>
      <c r="U70" s="10"/>
    </row>
    <row r="71" spans="4:21">
      <c r="D71" s="10"/>
      <c r="E71" s="10"/>
      <c r="F71" s="10"/>
      <c r="G71" s="3"/>
      <c r="I71" s="10"/>
      <c r="J71" s="10"/>
      <c r="K71" s="10"/>
      <c r="L71" s="3"/>
      <c r="M71" s="3"/>
      <c r="O71" s="10"/>
      <c r="P71" s="10"/>
      <c r="Q71" s="10"/>
      <c r="R71" s="10"/>
      <c r="S71" s="10"/>
      <c r="T71" s="10"/>
      <c r="U71" s="10"/>
    </row>
    <row r="72" spans="4:21">
      <c r="D72" s="10"/>
      <c r="E72" s="10"/>
      <c r="F72" s="10"/>
      <c r="G72" s="3"/>
      <c r="I72" s="10"/>
      <c r="J72" s="10"/>
      <c r="K72" s="10"/>
      <c r="L72" s="3"/>
      <c r="M72" s="3"/>
      <c r="O72" s="10"/>
      <c r="P72" s="10"/>
      <c r="Q72" s="10"/>
      <c r="R72" s="10"/>
      <c r="S72" s="10"/>
      <c r="T72" s="10"/>
      <c r="U72" s="10"/>
    </row>
    <row r="73" spans="4:21">
      <c r="D73" s="10"/>
      <c r="E73" s="10"/>
      <c r="F73" s="10"/>
      <c r="G73" s="3"/>
      <c r="I73" s="10"/>
      <c r="J73" s="10"/>
      <c r="K73" s="10"/>
      <c r="L73" s="3"/>
      <c r="M73" s="3"/>
      <c r="O73" s="10"/>
      <c r="P73" s="10"/>
      <c r="Q73" s="10"/>
      <c r="R73" s="10"/>
      <c r="S73" s="10"/>
      <c r="T73" s="10"/>
      <c r="U73" s="10"/>
    </row>
  </sheetData>
  <mergeCells count="10">
    <mergeCell ref="I39:K39"/>
    <mergeCell ref="L39:M39"/>
    <mergeCell ref="O39:S39"/>
    <mergeCell ref="T39:U39"/>
    <mergeCell ref="A1:B1"/>
    <mergeCell ref="D1:F1"/>
    <mergeCell ref="K4:K5"/>
    <mergeCell ref="D38:G38"/>
    <mergeCell ref="I38:M38"/>
    <mergeCell ref="O38:U38"/>
  </mergeCells>
  <dataValidations count="10">
    <dataValidation type="list" allowBlank="1" showInputMessage="1" showErrorMessage="1" sqref="E3:E6 E12:E18 E21:E25 E27:E36">
      <formula1>$A$40:$A$53</formula1>
    </dataValidation>
    <dataValidation type="list" allowBlank="1" showInputMessage="1" showErrorMessage="1" sqref="B3">
      <formula1>$Y$3:$Y$31</formula1>
    </dataValidation>
    <dataValidation type="list" allowBlank="1" showInputMessage="1" showErrorMessage="1" sqref="E37">
      <formula1>$A$40:$A$48</formula1>
    </dataValidation>
    <dataValidation type="list" allowBlank="1" showInputMessage="1" showErrorMessage="1" sqref="F27:F37 F7 F9:F10 F12:F18 F20:F25 D7:D37">
      <formula1>$A$3:$A$28</formula1>
    </dataValidation>
    <dataValidation type="list" allowBlank="1" showInputMessage="1" showErrorMessage="1" sqref="B40:B56">
      <formula1>$AE$2:$AE$12</formula1>
    </dataValidation>
    <dataValidation type="list" allowBlank="1" showInputMessage="1" showErrorMessage="1" sqref="H3:H44 G3:G37">
      <formula1>$A$3:$A$22</formula1>
    </dataValidation>
    <dataValidation type="list" allowBlank="1" showInputMessage="1" showErrorMessage="1" sqref="C3:C37 B4:B37">
      <formula1>$Y$3:$Y$39</formula1>
    </dataValidation>
    <dataValidation type="list" allowBlank="1" showInputMessage="1" showErrorMessage="1" sqref="F38:G38">
      <formula1>$A$3:$A$27</formula1>
    </dataValidation>
    <dataValidation type="list" allowBlank="1" showInputMessage="1" showErrorMessage="1" sqref="D3:D6 F3:F6 F8 F11 F19 F26">
      <formula1>$A$3:$A$25</formula1>
    </dataValidation>
    <dataValidation type="list" allowBlank="1" showInputMessage="1" showErrorMessage="1" sqref="E7:E11 E19:E20 E26">
      <formula1>$A$40:$A$50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E73"/>
  <sheetViews>
    <sheetView topLeftCell="N1" zoomScale="85" zoomScaleNormal="85" workbookViewId="0">
      <selection activeCell="X4" sqref="X4:X7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9" t="s">
        <v>184</v>
      </c>
      <c r="AD2" s="9" t="s">
        <v>195</v>
      </c>
      <c r="AE2" s="9" t="s">
        <v>35</v>
      </c>
    </row>
    <row r="3" spans="1:31" ht="16.75">
      <c r="A3" s="46" t="s">
        <v>319</v>
      </c>
      <c r="B3" s="10" t="s">
        <v>9</v>
      </c>
      <c r="D3" s="10" t="s">
        <v>8</v>
      </c>
      <c r="E3" s="10" t="s">
        <v>101</v>
      </c>
      <c r="F3" s="10" t="s">
        <v>319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s="16" t="s">
        <v>33</v>
      </c>
      <c r="AC3" s="9" t="s">
        <v>185</v>
      </c>
      <c r="AD3" s="9" t="s">
        <v>196</v>
      </c>
      <c r="AE3" s="9" t="s">
        <v>4</v>
      </c>
    </row>
    <row r="4" spans="1:31" ht="16.75">
      <c r="A4" s="46" t="s">
        <v>8</v>
      </c>
      <c r="B4" s="10" t="s">
        <v>8</v>
      </c>
      <c r="D4" s="10" t="s">
        <v>10</v>
      </c>
      <c r="E4" s="10" t="s">
        <v>101</v>
      </c>
      <c r="F4" s="10" t="s">
        <v>319</v>
      </c>
      <c r="K4" s="85" t="s">
        <v>80</v>
      </c>
      <c r="L4" s="8" t="s">
        <v>0</v>
      </c>
      <c r="M4" s="4">
        <f>GRAFO!J2</f>
        <v>29</v>
      </c>
      <c r="N4" s="11">
        <f>COUNTA(A3:A18)</f>
        <v>16</v>
      </c>
      <c r="O4" s="11">
        <f>COUNTIF(B3:B18,"&lt;&gt;"&amp;"")</f>
        <v>11</v>
      </c>
      <c r="P4" s="2">
        <f>N4-R4</f>
        <v>11</v>
      </c>
      <c r="Q4" s="2">
        <f>M4-O4</f>
        <v>18</v>
      </c>
      <c r="R4" s="2">
        <f>N4-O4</f>
        <v>5</v>
      </c>
      <c r="S4" s="2">
        <f>O4+P4</f>
        <v>22</v>
      </c>
      <c r="T4" s="2">
        <f>Q4+R4</f>
        <v>23</v>
      </c>
      <c r="U4" s="6">
        <f>O4/(O4+R4)</f>
        <v>0.6875</v>
      </c>
      <c r="V4" s="6">
        <f>O4/(O4+Q4)</f>
        <v>0.37931034482758619</v>
      </c>
      <c r="W4" s="6">
        <f>(O4+P4)/(O4+P4+Q4+R4)</f>
        <v>0.48888888888888887</v>
      </c>
      <c r="X4" s="62">
        <f>AVERAGE(U4:W4)</f>
        <v>0.51856641123882508</v>
      </c>
      <c r="Y4" s="16" t="s">
        <v>21</v>
      </c>
      <c r="AC4" s="9" t="s">
        <v>186</v>
      </c>
      <c r="AD4" s="9" t="s">
        <v>197</v>
      </c>
      <c r="AE4" s="9" t="s">
        <v>205</v>
      </c>
    </row>
    <row r="5" spans="1:31" ht="16.75">
      <c r="A5" s="46" t="s">
        <v>10</v>
      </c>
      <c r="B5" s="10" t="s">
        <v>10</v>
      </c>
      <c r="D5" s="10" t="s">
        <v>12</v>
      </c>
      <c r="E5" s="10" t="s">
        <v>101</v>
      </c>
      <c r="F5" s="10" t="s">
        <v>319</v>
      </c>
      <c r="K5" s="85"/>
      <c r="L5" s="8" t="s">
        <v>100</v>
      </c>
      <c r="M5" s="5">
        <f>GRAFO!J3</f>
        <v>41</v>
      </c>
      <c r="N5" s="12">
        <f>COUNTA(D40:D53)</f>
        <v>14</v>
      </c>
      <c r="O5" s="12">
        <f>COUNTIF(M40:M53,"=1")</f>
        <v>6</v>
      </c>
      <c r="P5" s="2">
        <f>N5-R5</f>
        <v>6</v>
      </c>
      <c r="Q5" s="2">
        <f>M5-O5</f>
        <v>35</v>
      </c>
      <c r="R5" s="2">
        <f>N5-O5</f>
        <v>8</v>
      </c>
      <c r="S5" s="2">
        <f>O5+P5</f>
        <v>12</v>
      </c>
      <c r="T5" s="2">
        <f>Q5+R5</f>
        <v>43</v>
      </c>
      <c r="U5" s="6">
        <f>O5/(O5+R5)</f>
        <v>0.42857142857142855</v>
      </c>
      <c r="V5" s="6">
        <f>O5/(O5+Q5)</f>
        <v>0.14634146341463414</v>
      </c>
      <c r="W5" s="6">
        <f>(O5+P5)/(O5+P5+Q5+R5)</f>
        <v>0.21818181818181817</v>
      </c>
      <c r="X5" s="62">
        <f t="shared" ref="X5:X6" si="0">AVERAGE(U5:W5)</f>
        <v>0.26436490338929358</v>
      </c>
      <c r="Y5" s="16" t="s">
        <v>17</v>
      </c>
      <c r="AC5" s="9" t="s">
        <v>187</v>
      </c>
      <c r="AD5" s="9" t="s">
        <v>198</v>
      </c>
      <c r="AE5" s="9" t="s">
        <v>3</v>
      </c>
    </row>
    <row r="6" spans="1:31" ht="16.75">
      <c r="A6" s="46" t="s">
        <v>12</v>
      </c>
      <c r="B6" s="10" t="s">
        <v>12</v>
      </c>
      <c r="D6" s="10" t="s">
        <v>11</v>
      </c>
      <c r="E6" s="10" t="s">
        <v>101</v>
      </c>
      <c r="F6" s="10" t="s">
        <v>319</v>
      </c>
      <c r="L6" s="8" t="s">
        <v>99</v>
      </c>
      <c r="M6" s="5">
        <v>41</v>
      </c>
      <c r="N6" s="12">
        <f>COUNTA(D40:D53)</f>
        <v>14</v>
      </c>
      <c r="O6" s="12">
        <f>COUNTIF(U40:U53,"=1")</f>
        <v>6</v>
      </c>
      <c r="P6" s="2">
        <f>N6-R6</f>
        <v>6</v>
      </c>
      <c r="Q6" s="2">
        <f>M6-O6</f>
        <v>35</v>
      </c>
      <c r="R6" s="2">
        <f>N6-O6</f>
        <v>8</v>
      </c>
      <c r="S6" s="2">
        <f>O6+P6</f>
        <v>12</v>
      </c>
      <c r="T6" s="2">
        <f>Q6+R6</f>
        <v>43</v>
      </c>
      <c r="U6" s="6">
        <f>O6/(O6+R6)</f>
        <v>0.42857142857142855</v>
      </c>
      <c r="V6" s="6">
        <f>O6/(O6+Q6)</f>
        <v>0.14634146341463414</v>
      </c>
      <c r="W6" s="6">
        <f>(O6+P6)/(O6+P6+Q6+R6)</f>
        <v>0.21818181818181817</v>
      </c>
      <c r="X6" s="62">
        <f t="shared" si="0"/>
        <v>0.26436490338929358</v>
      </c>
      <c r="Y6" s="16" t="s">
        <v>40</v>
      </c>
      <c r="AC6" s="9" t="s">
        <v>188</v>
      </c>
      <c r="AD6" s="9" t="s">
        <v>199</v>
      </c>
      <c r="AE6" s="9" t="s">
        <v>6</v>
      </c>
    </row>
    <row r="7" spans="1:31" ht="16.75">
      <c r="A7" s="46" t="s">
        <v>11</v>
      </c>
      <c r="B7" s="10" t="s">
        <v>11</v>
      </c>
      <c r="D7" s="10" t="s">
        <v>22</v>
      </c>
      <c r="E7" s="10" t="s">
        <v>245</v>
      </c>
      <c r="F7" s="10" t="s">
        <v>28</v>
      </c>
      <c r="X7" s="62">
        <f>AVERAGE(X4:X6)</f>
        <v>0.34909873933913743</v>
      </c>
      <c r="Y7" s="16" t="s">
        <v>13</v>
      </c>
      <c r="AC7" s="9" t="s">
        <v>189</v>
      </c>
      <c r="AD7" s="9" t="s">
        <v>200</v>
      </c>
      <c r="AE7" s="9" t="s">
        <v>206</v>
      </c>
    </row>
    <row r="8" spans="1:31" ht="16.75">
      <c r="A8" s="46" t="s">
        <v>160</v>
      </c>
      <c r="B8" s="10"/>
      <c r="D8" s="10" t="s">
        <v>22</v>
      </c>
      <c r="E8" s="10" t="s">
        <v>367</v>
      </c>
      <c r="F8" s="10" t="s">
        <v>58</v>
      </c>
      <c r="Y8" s="16" t="s">
        <v>39</v>
      </c>
      <c r="AC8" s="9" t="s">
        <v>190</v>
      </c>
      <c r="AD8" s="9" t="s">
        <v>148</v>
      </c>
      <c r="AE8" s="9" t="s">
        <v>36</v>
      </c>
    </row>
    <row r="9" spans="1:31" ht="16.75">
      <c r="A9" s="46" t="s">
        <v>58</v>
      </c>
      <c r="B9" s="10" t="s">
        <v>13</v>
      </c>
      <c r="D9" s="10" t="s">
        <v>22</v>
      </c>
      <c r="E9" s="10" t="s">
        <v>366</v>
      </c>
      <c r="F9" s="10" t="s">
        <v>319</v>
      </c>
      <c r="K9" t="s">
        <v>74</v>
      </c>
      <c r="L9" t="s">
        <v>75</v>
      </c>
      <c r="N9">
        <f>GRAFO!J2</f>
        <v>29</v>
      </c>
      <c r="Y9" s="16" t="s">
        <v>19</v>
      </c>
      <c r="AC9" s="9" t="s">
        <v>191</v>
      </c>
      <c r="AD9" s="9" t="s">
        <v>201</v>
      </c>
      <c r="AE9" s="9" t="s">
        <v>7</v>
      </c>
    </row>
    <row r="10" spans="1:31" ht="16.75">
      <c r="A10" s="46" t="s">
        <v>22</v>
      </c>
      <c r="B10" s="10" t="s">
        <v>22</v>
      </c>
      <c r="D10" s="10" t="s">
        <v>319</v>
      </c>
      <c r="E10" s="10" t="s">
        <v>294</v>
      </c>
      <c r="F10" s="10" t="s">
        <v>299</v>
      </c>
      <c r="K10" t="s">
        <v>80</v>
      </c>
      <c r="L10" t="s">
        <v>76</v>
      </c>
      <c r="N10">
        <f>N4</f>
        <v>16</v>
      </c>
      <c r="Y10" s="16" t="s">
        <v>37</v>
      </c>
      <c r="AC10" s="9" t="s">
        <v>192</v>
      </c>
      <c r="AD10" s="9" t="s">
        <v>202</v>
      </c>
      <c r="AE10" s="9" t="s">
        <v>207</v>
      </c>
    </row>
    <row r="11" spans="1:31" ht="16.75">
      <c r="A11" s="46" t="s">
        <v>28</v>
      </c>
      <c r="B11" s="10" t="s">
        <v>28</v>
      </c>
      <c r="D11" s="10" t="s">
        <v>319</v>
      </c>
      <c r="E11" s="10" t="s">
        <v>368</v>
      </c>
      <c r="F11" s="10" t="s">
        <v>45</v>
      </c>
      <c r="K11" t="s">
        <v>68</v>
      </c>
      <c r="L11" t="s">
        <v>77</v>
      </c>
      <c r="N11">
        <v>16</v>
      </c>
      <c r="Y11" s="16" t="s">
        <v>10</v>
      </c>
      <c r="AC11" s="9" t="s">
        <v>193</v>
      </c>
      <c r="AD11" s="9" t="s">
        <v>203</v>
      </c>
      <c r="AE11" s="9" t="s">
        <v>208</v>
      </c>
    </row>
    <row r="12" spans="1:31" ht="16.75">
      <c r="A12" s="46" t="s">
        <v>55</v>
      </c>
      <c r="B12" s="10" t="s">
        <v>32</v>
      </c>
      <c r="D12" s="10" t="s">
        <v>62</v>
      </c>
      <c r="E12" s="10" t="s">
        <v>369</v>
      </c>
      <c r="F12" s="10" t="s">
        <v>11</v>
      </c>
      <c r="K12" t="s">
        <v>70</v>
      </c>
      <c r="L12" t="s">
        <v>78</v>
      </c>
      <c r="M12" t="s">
        <v>86</v>
      </c>
      <c r="N12">
        <f>N9-N11</f>
        <v>13</v>
      </c>
      <c r="Y12" s="16" t="s">
        <v>14</v>
      </c>
      <c r="AC12" s="9" t="s">
        <v>194</v>
      </c>
      <c r="AD12" s="9" t="s">
        <v>204</v>
      </c>
      <c r="AE12" s="9" t="s">
        <v>5</v>
      </c>
    </row>
    <row r="13" spans="1:31" ht="16.75">
      <c r="A13" s="46" t="s">
        <v>56</v>
      </c>
      <c r="B13" s="10" t="s">
        <v>34</v>
      </c>
      <c r="D13" s="10" t="s">
        <v>62</v>
      </c>
      <c r="E13" s="10" t="s">
        <v>105</v>
      </c>
      <c r="F13" s="10" t="s">
        <v>63</v>
      </c>
      <c r="K13" t="s">
        <v>69</v>
      </c>
      <c r="L13" t="s">
        <v>79</v>
      </c>
      <c r="M13" t="s">
        <v>87</v>
      </c>
      <c r="Y13" s="16" t="s">
        <v>34</v>
      </c>
    </row>
    <row r="14" spans="1:31" ht="16.75">
      <c r="A14" s="46" t="s">
        <v>57</v>
      </c>
      <c r="B14" s="10" t="s">
        <v>33</v>
      </c>
      <c r="D14" s="10" t="s">
        <v>28</v>
      </c>
      <c r="E14" s="10" t="s">
        <v>280</v>
      </c>
      <c r="F14" s="10" t="s">
        <v>11</v>
      </c>
      <c r="K14" t="s">
        <v>83</v>
      </c>
      <c r="M14" t="s">
        <v>88</v>
      </c>
      <c r="Y14" s="16" t="s">
        <v>27</v>
      </c>
    </row>
    <row r="15" spans="1:31" ht="16.75">
      <c r="A15" s="46" t="s">
        <v>63</v>
      </c>
      <c r="B15" s="10"/>
      <c r="D15" s="10" t="s">
        <v>58</v>
      </c>
      <c r="E15" s="10" t="s">
        <v>107</v>
      </c>
      <c r="F15" s="10" t="s">
        <v>12</v>
      </c>
      <c r="K15" t="s">
        <v>89</v>
      </c>
      <c r="M15" t="s">
        <v>92</v>
      </c>
      <c r="Y15" s="16" t="s">
        <v>28</v>
      </c>
    </row>
    <row r="16" spans="1:31" ht="16.75">
      <c r="A16" s="46" t="s">
        <v>62</v>
      </c>
      <c r="B16" s="10"/>
      <c r="D16" s="10" t="s">
        <v>160</v>
      </c>
      <c r="E16" s="10" t="s">
        <v>215</v>
      </c>
      <c r="F16" s="10" t="s">
        <v>58</v>
      </c>
      <c r="K16" t="s">
        <v>90</v>
      </c>
      <c r="M16" t="s">
        <v>93</v>
      </c>
      <c r="Y16" s="16" t="s">
        <v>30</v>
      </c>
    </row>
    <row r="17" spans="1:25" ht="16.75">
      <c r="A17" s="46" t="s">
        <v>299</v>
      </c>
      <c r="B17" s="10"/>
      <c r="D17" s="10"/>
      <c r="E17" s="10"/>
      <c r="F17" s="10"/>
      <c r="K17" t="s">
        <v>91</v>
      </c>
      <c r="M17" t="s">
        <v>94</v>
      </c>
      <c r="Y17" s="16" t="s">
        <v>29</v>
      </c>
    </row>
    <row r="18" spans="1:25" ht="16.75">
      <c r="A18" s="46" t="s">
        <v>45</v>
      </c>
      <c r="B18" s="10"/>
      <c r="D18" s="10"/>
      <c r="E18" s="10"/>
      <c r="F18" s="10"/>
      <c r="K18" t="s">
        <v>84</v>
      </c>
      <c r="M18" t="s">
        <v>95</v>
      </c>
      <c r="Y18" s="16" t="s">
        <v>31</v>
      </c>
    </row>
    <row r="19" spans="1:25" ht="16.75">
      <c r="A19" s="10"/>
      <c r="B19" s="10"/>
      <c r="D19" s="10"/>
      <c r="E19" s="10"/>
      <c r="F19" s="10"/>
      <c r="K19" t="s">
        <v>85</v>
      </c>
      <c r="M19" t="s">
        <v>96</v>
      </c>
      <c r="Y19" s="16" t="s">
        <v>171</v>
      </c>
    </row>
    <row r="20" spans="1:25" ht="16.75">
      <c r="A20" s="10"/>
      <c r="B20" s="10"/>
      <c r="D20" s="10"/>
      <c r="E20" s="10"/>
      <c r="F20" s="10"/>
      <c r="K20" t="s">
        <v>97</v>
      </c>
      <c r="M20" t="s">
        <v>98</v>
      </c>
      <c r="Y20" s="16" t="s">
        <v>15</v>
      </c>
    </row>
    <row r="21" spans="1:25" ht="16.75">
      <c r="A21" s="10"/>
      <c r="B21" s="10"/>
      <c r="D21" s="10"/>
      <c r="E21" s="10"/>
      <c r="F21" s="10"/>
      <c r="Y21" s="16" t="s">
        <v>16</v>
      </c>
    </row>
    <row r="22" spans="1:25" ht="16.75">
      <c r="A22" s="10"/>
      <c r="B22" s="10"/>
      <c r="D22" s="10"/>
      <c r="E22" s="10"/>
      <c r="F22" s="10"/>
      <c r="Y22" s="16" t="s">
        <v>32</v>
      </c>
    </row>
    <row r="23" spans="1:25" ht="16.75">
      <c r="A23" s="10"/>
      <c r="B23" s="10"/>
      <c r="D23" s="10"/>
      <c r="E23" s="10"/>
      <c r="F23" s="10"/>
      <c r="Y23" s="16" t="s">
        <v>9</v>
      </c>
    </row>
    <row r="24" spans="1:25" ht="16.75">
      <c r="A24" s="10"/>
      <c r="B24" s="10"/>
      <c r="D24" s="10"/>
      <c r="E24" s="10"/>
      <c r="F24" s="10"/>
      <c r="Y24" s="16" t="s">
        <v>18</v>
      </c>
    </row>
    <row r="25" spans="1:25" ht="16.75">
      <c r="A25" s="10"/>
      <c r="B25" s="10"/>
      <c r="D25" s="10"/>
      <c r="E25" s="10"/>
      <c r="F25" s="10"/>
      <c r="Y25" s="16" t="s">
        <v>23</v>
      </c>
    </row>
    <row r="26" spans="1:25" ht="16.75">
      <c r="A26" s="10"/>
      <c r="B26" s="10"/>
      <c r="D26" s="10"/>
      <c r="E26" s="10"/>
      <c r="F26" s="10"/>
      <c r="Y26" s="16" t="s">
        <v>22</v>
      </c>
    </row>
    <row r="27" spans="1:25" ht="16.75">
      <c r="A27" s="46"/>
      <c r="B27" s="10"/>
      <c r="D27" s="10"/>
      <c r="E27" s="10"/>
      <c r="F27" s="10"/>
      <c r="Y27" s="16" t="s">
        <v>12</v>
      </c>
    </row>
    <row r="28" spans="1:25" ht="16.75">
      <c r="A28" s="46"/>
      <c r="B28" s="10"/>
      <c r="D28" s="10"/>
      <c r="E28" s="10"/>
      <c r="F28" s="10"/>
      <c r="Y28" s="16" t="s">
        <v>24</v>
      </c>
    </row>
    <row r="29" spans="1:25" ht="16.75">
      <c r="A29" s="10"/>
      <c r="B29" s="10"/>
      <c r="D29" s="10"/>
      <c r="E29" s="10"/>
      <c r="F29" s="10"/>
      <c r="Y29" s="16" t="s">
        <v>8</v>
      </c>
    </row>
    <row r="30" spans="1:25" ht="16.75">
      <c r="A30" s="10"/>
      <c r="B30" s="10"/>
      <c r="D30" s="10"/>
      <c r="E30" s="10"/>
      <c r="F30" s="10"/>
      <c r="Y30" s="16" t="s">
        <v>20</v>
      </c>
    </row>
    <row r="31" spans="1:25" ht="16.75">
      <c r="A31" s="10"/>
      <c r="B31" s="10"/>
      <c r="D31" s="10"/>
      <c r="E31" s="10"/>
      <c r="F31" s="10"/>
      <c r="Y31" s="16" t="s">
        <v>11</v>
      </c>
    </row>
    <row r="32" spans="1:25">
      <c r="A32" s="46"/>
      <c r="B32" s="10"/>
      <c r="D32" s="10"/>
      <c r="E32" s="10"/>
      <c r="F32" s="10"/>
    </row>
    <row r="33" spans="1:21">
      <c r="A33" s="10"/>
      <c r="B33" s="10"/>
      <c r="D33" s="10"/>
      <c r="E33" s="10"/>
      <c r="F33" s="10"/>
    </row>
    <row r="34" spans="1:21">
      <c r="A34" s="10"/>
      <c r="B34" s="10"/>
      <c r="D34" s="10"/>
      <c r="E34" s="10"/>
      <c r="F34" s="10"/>
    </row>
    <row r="35" spans="1:21">
      <c r="A35" s="10"/>
      <c r="B35" s="10"/>
      <c r="D35" s="10"/>
      <c r="E35" s="10"/>
      <c r="F35" s="10"/>
    </row>
    <row r="36" spans="1:21">
      <c r="A36" s="10"/>
      <c r="B36" s="10"/>
      <c r="D36" s="10"/>
      <c r="E36" s="10"/>
      <c r="F36" s="10"/>
    </row>
    <row r="37" spans="1:21">
      <c r="A37" s="10"/>
      <c r="B37" s="10"/>
    </row>
    <row r="38" spans="1:21">
      <c r="A38" s="30" t="s">
        <v>182</v>
      </c>
      <c r="B38" s="30"/>
      <c r="D38" s="104" t="s">
        <v>222</v>
      </c>
      <c r="E38" s="105"/>
      <c r="F38" s="105"/>
      <c r="G38" s="106"/>
      <c r="I38" s="98" t="s">
        <v>224</v>
      </c>
      <c r="J38" s="99"/>
      <c r="K38" s="99"/>
      <c r="L38" s="99"/>
      <c r="M38" s="100"/>
      <c r="O38" s="94" t="s">
        <v>229</v>
      </c>
      <c r="P38" s="94"/>
      <c r="Q38" s="94"/>
      <c r="R38" s="94"/>
      <c r="S38" s="94"/>
      <c r="T38" s="94"/>
      <c r="U38" s="94"/>
    </row>
    <row r="39" spans="1:21">
      <c r="A39" s="32" t="s">
        <v>251</v>
      </c>
      <c r="B39" s="33" t="s">
        <v>252</v>
      </c>
      <c r="D39" s="34" t="s">
        <v>220</v>
      </c>
      <c r="E39" s="34" t="s">
        <v>219</v>
      </c>
      <c r="F39" s="34" t="s">
        <v>221</v>
      </c>
      <c r="G39" s="34" t="s">
        <v>223</v>
      </c>
      <c r="I39" s="101" t="s">
        <v>225</v>
      </c>
      <c r="J39" s="102"/>
      <c r="K39" s="103"/>
      <c r="L39" s="101" t="s">
        <v>226</v>
      </c>
      <c r="M39" s="103"/>
      <c r="O39" s="95" t="s">
        <v>227</v>
      </c>
      <c r="P39" s="96"/>
      <c r="Q39" s="96"/>
      <c r="R39" s="96"/>
      <c r="S39" s="97"/>
      <c r="T39" s="95" t="s">
        <v>228</v>
      </c>
      <c r="U39" s="97"/>
    </row>
    <row r="40" spans="1:21">
      <c r="A40" s="46" t="s">
        <v>101</v>
      </c>
      <c r="B40" s="10" t="s">
        <v>3</v>
      </c>
      <c r="D40" s="10" t="str">
        <f>IF(INDEX($A$3:$B$18,MATCH(D3,$A$3:$A$18,0),2)&lt;&gt;0,INDEX($A$3:$B$18,MATCH(D3,$A$3:$A$18,0),2),D3)</f>
        <v>politico</v>
      </c>
      <c r="E40" s="10" t="str">
        <f>IF(INDEX($A$40:$B$50,MATCH(E3,$A$40:$A$50,0),2)&lt;&gt;0,INDEX($A$40:$B$50,MATCH(E3,$A$40:$A$50,0),2),E3)</f>
        <v>rdfs:subClassOf</v>
      </c>
      <c r="F40" s="10" t="str">
        <f>IF(INDEX($A$3:$B$18,MATCH(F3,$A$3:$A$18,0),2)&lt;&gt;0,INDEX($A$3:$B$18,MATCH(F3,$A$3:$A$18,0),2),F3)</f>
        <v>nivel</v>
      </c>
      <c r="G40" s="3" t="str">
        <f>IF(INDEX($A$3:$B$18,MATCH(F3,$A$3:$A$18,0),2)&lt;&gt;0,"OK","NOK")</f>
        <v>OK</v>
      </c>
      <c r="I40" s="10" t="str">
        <f t="shared" ref="I40:I53" si="1">D40 &amp;"-"&amp;F40</f>
        <v>politico-nivel</v>
      </c>
      <c r="J40" s="10"/>
      <c r="K40" s="10"/>
      <c r="L40" s="3">
        <f>IF(INDEX(GRAFO!$L$2:'GRAFO'!$L$41,MATCH(I40,GRAFO!$L$2:'GRAFO'!$L$41,0),1)&lt;&gt;0,1,0)</f>
        <v>1</v>
      </c>
      <c r="M40" s="3">
        <f>IFERROR(L40,0)</f>
        <v>1</v>
      </c>
      <c r="O40" s="10" t="str">
        <f t="shared" ref="O40:O53" si="2">D40 &amp; "-" &amp; E40 &amp; "-" &amp; F40</f>
        <v>politico-rdfs:subClassOf-nivel</v>
      </c>
      <c r="P40" s="10"/>
      <c r="Q40" s="10"/>
      <c r="R40" s="10"/>
      <c r="S40" s="10"/>
      <c r="T40" s="10">
        <f>IF(INDEX(GRAFO!$M$2:'GRAFO'!$M$41,MATCH(O40,GRAFO!$M$2:'GRAFO'!$M$41,0),1)&lt;&gt;0,1,0)</f>
        <v>1</v>
      </c>
      <c r="U40" s="10">
        <f>IFERROR(T40,0)</f>
        <v>1</v>
      </c>
    </row>
    <row r="41" spans="1:21">
      <c r="A41" s="46" t="s">
        <v>245</v>
      </c>
      <c r="B41" s="10" t="s">
        <v>4</v>
      </c>
      <c r="D41" s="10" t="str">
        <f t="shared" ref="D41:D53" si="3">IF(INDEX($A$3:$B$18,MATCH(D4,$A$3:$A$18,0),2)&lt;&gt;0,INDEX($A$3:$B$18,MATCH(D4,$A$3:$A$18,0),2),D4)</f>
        <v>estrategico</v>
      </c>
      <c r="E41" s="10" t="str">
        <f t="shared" ref="E41:E53" si="4">IF(INDEX($A$40:$B$50,MATCH(E4,$A$40:$A$50,0),2)&lt;&gt;0,INDEX($A$40:$B$50,MATCH(E4,$A$40:$A$50,0),2),E4)</f>
        <v>rdfs:subClassOf</v>
      </c>
      <c r="F41" s="10" t="str">
        <f t="shared" ref="F41:F53" si="5">IF(INDEX($A$3:$B$18,MATCH(F4,$A$3:$A$18,0),2)&lt;&gt;0,INDEX($A$3:$B$18,MATCH(F4,$A$3:$A$18,0),2),F4)</f>
        <v>nivel</v>
      </c>
      <c r="G41" s="3" t="str">
        <f t="shared" ref="G41:G53" si="6">IF(INDEX($A$3:$B$18,MATCH(F4,$A$3:$A$18,0),2)&lt;&gt;0,"OK","NOK")</f>
        <v>OK</v>
      </c>
      <c r="I41" s="10" t="str">
        <f t="shared" si="1"/>
        <v>estrategico-nivel</v>
      </c>
      <c r="J41" s="10"/>
      <c r="K41" s="10"/>
      <c r="L41" s="3">
        <f>IF(INDEX(GRAFO!$L$2:'GRAFO'!$L$41,MATCH(I41,GRAFO!$L$2:'GRAFO'!$L$41,0),1)&lt;&gt;0,1,0)</f>
        <v>1</v>
      </c>
      <c r="M41" s="3">
        <f t="shared" ref="M41:M53" si="7">IFERROR(L41,0)</f>
        <v>1</v>
      </c>
      <c r="O41" s="10" t="str">
        <f t="shared" si="2"/>
        <v>estrategico-rdfs:subClassOf-nivel</v>
      </c>
      <c r="P41" s="10"/>
      <c r="Q41" s="10"/>
      <c r="R41" s="10"/>
      <c r="S41" s="10"/>
      <c r="T41" s="10">
        <f>IF(INDEX(GRAFO!$M$2:'GRAFO'!$M$41,MATCH(O41,GRAFO!$M$2:'GRAFO'!$M$41,0),1)&lt;&gt;0,1,0)</f>
        <v>1</v>
      </c>
      <c r="U41" s="10">
        <f t="shared" ref="U41:U53" si="8">IFERROR(T41,0)</f>
        <v>1</v>
      </c>
    </row>
    <row r="42" spans="1:21">
      <c r="A42" s="46" t="s">
        <v>366</v>
      </c>
      <c r="B42" s="10" t="s">
        <v>4</v>
      </c>
      <c r="D42" s="10" t="str">
        <f t="shared" si="3"/>
        <v>operacional</v>
      </c>
      <c r="E42" s="10" t="str">
        <f t="shared" si="4"/>
        <v>rdfs:subClassOf</v>
      </c>
      <c r="F42" s="10" t="str">
        <f t="shared" si="5"/>
        <v>nivel</v>
      </c>
      <c r="G42" s="3" t="str">
        <f t="shared" si="6"/>
        <v>OK</v>
      </c>
      <c r="I42" s="10" t="str">
        <f t="shared" si="1"/>
        <v>operacional-nivel</v>
      </c>
      <c r="J42" s="10"/>
      <c r="K42" s="10"/>
      <c r="L42" s="3">
        <f>IF(INDEX(GRAFO!$L$2:'GRAFO'!$L$41,MATCH(I42,GRAFO!$L$2:'GRAFO'!$L$41,0),1)&lt;&gt;0,1,0)</f>
        <v>1</v>
      </c>
      <c r="M42" s="3">
        <f t="shared" si="7"/>
        <v>1</v>
      </c>
      <c r="O42" s="10" t="str">
        <f t="shared" si="2"/>
        <v>operacional-rdfs:subClassOf-nivel</v>
      </c>
      <c r="P42" s="10"/>
      <c r="Q42" s="10"/>
      <c r="R42" s="10"/>
      <c r="S42" s="10"/>
      <c r="T42" s="10">
        <f>IF(INDEX(GRAFO!$M$2:'GRAFO'!$M$41,MATCH(O42,GRAFO!$M$2:'GRAFO'!$M$41,0),1)&lt;&gt;0,1,0)</f>
        <v>1</v>
      </c>
      <c r="U42" s="10">
        <f t="shared" si="8"/>
        <v>1</v>
      </c>
    </row>
    <row r="43" spans="1:21">
      <c r="A43" s="46" t="s">
        <v>294</v>
      </c>
      <c r="B43" s="10" t="s">
        <v>4</v>
      </c>
      <c r="D43" s="10" t="str">
        <f t="shared" si="3"/>
        <v>tatico</v>
      </c>
      <c r="E43" s="10" t="str">
        <f t="shared" si="4"/>
        <v>rdfs:subClassOf</v>
      </c>
      <c r="F43" s="10" t="str">
        <f t="shared" si="5"/>
        <v>nivel</v>
      </c>
      <c r="G43" s="3" t="str">
        <f t="shared" si="6"/>
        <v>OK</v>
      </c>
      <c r="I43" s="10" t="str">
        <f t="shared" si="1"/>
        <v>tatico-nivel</v>
      </c>
      <c r="J43" s="10"/>
      <c r="K43" s="10"/>
      <c r="L43" s="3">
        <f>IF(INDEX(GRAFO!$L$2:'GRAFO'!$L$41,MATCH(I43,GRAFO!$L$2:'GRAFO'!$L$41,0),1)&lt;&gt;0,1,0)</f>
        <v>1</v>
      </c>
      <c r="M43" s="3">
        <f t="shared" si="7"/>
        <v>1</v>
      </c>
      <c r="O43" s="10" t="str">
        <f t="shared" si="2"/>
        <v>tatico-rdfs:subClassOf-nivel</v>
      </c>
      <c r="P43" s="10"/>
      <c r="Q43" s="10"/>
      <c r="R43" s="10"/>
      <c r="S43" s="10"/>
      <c r="T43" s="10">
        <f>IF(INDEX(GRAFO!$M$2:'GRAFO'!$M$41,MATCH(O43,GRAFO!$M$2:'GRAFO'!$M$41,0),1)&lt;&gt;0,1,0)</f>
        <v>1</v>
      </c>
      <c r="U43" s="10">
        <f t="shared" si="8"/>
        <v>1</v>
      </c>
    </row>
    <row r="44" spans="1:21">
      <c r="A44" s="46" t="s">
        <v>367</v>
      </c>
      <c r="B44" s="10" t="s">
        <v>7</v>
      </c>
      <c r="D44" s="10" t="str">
        <f t="shared" si="3"/>
        <v>operacao_conjunta</v>
      </c>
      <c r="E44" s="10" t="str">
        <f t="shared" si="4"/>
        <v>rdfs:seeAlso</v>
      </c>
      <c r="F44" s="10" t="str">
        <f t="shared" si="5"/>
        <v>forca_componente</v>
      </c>
      <c r="G44" s="3" t="str">
        <f t="shared" si="6"/>
        <v>OK</v>
      </c>
      <c r="I44" s="10" t="str">
        <f t="shared" si="1"/>
        <v>operacao_conjunta-forca_componente</v>
      </c>
      <c r="J44" s="10"/>
      <c r="K44" s="10"/>
      <c r="L44" s="3" t="e">
        <f>IF(INDEX(GRAFO!$L$2:'GRAFO'!$L$41,MATCH(I44,GRAFO!$L$2:'GRAFO'!$L$41,0),1)&lt;&gt;0,1,0)</f>
        <v>#N/A</v>
      </c>
      <c r="M44" s="3">
        <f t="shared" si="7"/>
        <v>0</v>
      </c>
      <c r="O44" s="10" t="str">
        <f t="shared" si="2"/>
        <v>operacao_conjunta-rdfs:seeAlso-forca_componente</v>
      </c>
      <c r="P44" s="10"/>
      <c r="Q44" s="10"/>
      <c r="R44" s="10"/>
      <c r="S44" s="10"/>
      <c r="T44" s="10" t="e">
        <f>IF(INDEX(GRAFO!$M$2:'GRAFO'!$M$41,MATCH(O44,GRAFO!$M$2:'GRAFO'!$M$41,0),1)&lt;&gt;0,1,0)</f>
        <v>#N/A</v>
      </c>
      <c r="U44" s="10">
        <f t="shared" si="8"/>
        <v>0</v>
      </c>
    </row>
    <row r="45" spans="1:21">
      <c r="A45" s="46" t="s">
        <v>368</v>
      </c>
      <c r="B45" s="10" t="s">
        <v>4</v>
      </c>
      <c r="D45" s="10" t="str">
        <f t="shared" si="3"/>
        <v>operacao_conjunta</v>
      </c>
      <c r="E45" s="10" t="str">
        <f t="shared" si="4"/>
        <v>c2rm:responsible_for</v>
      </c>
      <c r="F45" s="10" t="str">
        <f t="shared" si="5"/>
        <v>comandos_operacionais</v>
      </c>
      <c r="G45" s="3" t="str">
        <f t="shared" si="6"/>
        <v>OK</v>
      </c>
      <c r="H45">
        <f>COUNTIFS(GRAFO!C2:C42,"=D34",GRAFO!E2:E42,"=F34")</f>
        <v>0</v>
      </c>
      <c r="I45" s="10" t="str">
        <f t="shared" si="1"/>
        <v>operacao_conjunta-comandos_operacionais</v>
      </c>
      <c r="J45" s="10"/>
      <c r="K45" s="10"/>
      <c r="L45" s="3" t="e">
        <f>IF(INDEX(GRAFO!$L$2:'GRAFO'!$L$41,MATCH(I45,GRAFO!$L$2:'GRAFO'!$L$41,0),1)&lt;&gt;0,1,0)</f>
        <v>#N/A</v>
      </c>
      <c r="M45" s="3">
        <f t="shared" si="7"/>
        <v>0</v>
      </c>
      <c r="O45" s="10" t="str">
        <f t="shared" si="2"/>
        <v>operacao_conjunta-c2rm:responsible_for-comandos_operacionais</v>
      </c>
      <c r="P45" s="10"/>
      <c r="Q45" s="10"/>
      <c r="R45" s="10"/>
      <c r="S45" s="10"/>
      <c r="T45" s="10" t="e">
        <f>IF(INDEX(GRAFO!$M$2:'GRAFO'!$M$41,MATCH(O45,GRAFO!$M$2:'GRAFO'!$M$41,0),1)&lt;&gt;0,1,0)</f>
        <v>#N/A</v>
      </c>
      <c r="U45" s="10">
        <f t="shared" si="8"/>
        <v>0</v>
      </c>
    </row>
    <row r="46" spans="1:21">
      <c r="A46" s="10" t="s">
        <v>107</v>
      </c>
      <c r="B46" s="10" t="s">
        <v>7</v>
      </c>
      <c r="D46" s="10" t="str">
        <f t="shared" si="3"/>
        <v>operacao_conjunta</v>
      </c>
      <c r="E46" s="10" t="str">
        <f t="shared" si="4"/>
        <v>rdfs:seeAlso</v>
      </c>
      <c r="F46" s="10" t="str">
        <f t="shared" si="5"/>
        <v>nivel</v>
      </c>
      <c r="G46" s="3" t="str">
        <f t="shared" si="6"/>
        <v>OK</v>
      </c>
      <c r="I46" s="10" t="str">
        <f t="shared" si="1"/>
        <v>operacao_conjunta-nivel</v>
      </c>
      <c r="J46" s="10"/>
      <c r="K46" s="10"/>
      <c r="L46" s="3" t="e">
        <f>IF(INDEX(GRAFO!$L$2:'GRAFO'!$L$41,MATCH(I46,GRAFO!$L$2:'GRAFO'!$L$41,0),1)&lt;&gt;0,1,0)</f>
        <v>#N/A</v>
      </c>
      <c r="M46" s="3">
        <f t="shared" si="7"/>
        <v>0</v>
      </c>
      <c r="O46" s="10" t="str">
        <f t="shared" si="2"/>
        <v>operacao_conjunta-rdfs:seeAlso-nivel</v>
      </c>
      <c r="P46" s="10"/>
      <c r="Q46" s="10"/>
      <c r="R46" s="10"/>
      <c r="S46" s="10"/>
      <c r="T46" s="10" t="e">
        <f>IF(INDEX(GRAFO!$M$2:'GRAFO'!$M$41,MATCH(O46,GRAFO!$M$2:'GRAFO'!$M$41,0),1)&lt;&gt;0,1,0)</f>
        <v>#N/A</v>
      </c>
      <c r="U46" s="10">
        <f t="shared" si="8"/>
        <v>0</v>
      </c>
    </row>
    <row r="47" spans="1:21">
      <c r="A47" s="10" t="s">
        <v>280</v>
      </c>
      <c r="B47" s="10" t="s">
        <v>7</v>
      </c>
      <c r="C47" s="24"/>
      <c r="D47" s="10" t="str">
        <f t="shared" si="3"/>
        <v>nivel</v>
      </c>
      <c r="E47" s="10" t="str">
        <f t="shared" si="4"/>
        <v>rdfs:seeAlso</v>
      </c>
      <c r="F47" s="10" t="str">
        <f t="shared" si="5"/>
        <v>objetivos</v>
      </c>
      <c r="G47" s="3" t="str">
        <f t="shared" si="6"/>
        <v>NOK</v>
      </c>
      <c r="I47" s="10" t="str">
        <f t="shared" si="1"/>
        <v>nivel-objetivos</v>
      </c>
      <c r="J47" s="10"/>
      <c r="K47" s="10"/>
      <c r="L47" s="3" t="e">
        <f>IF(INDEX(GRAFO!$L$2:'GRAFO'!$L$41,MATCH(I47,GRAFO!$L$2:'GRAFO'!$L$41,0),1)&lt;&gt;0,1,0)</f>
        <v>#N/A</v>
      </c>
      <c r="M47" s="3">
        <f t="shared" si="7"/>
        <v>0</v>
      </c>
      <c r="O47" s="10" t="str">
        <f t="shared" si="2"/>
        <v>nivel-rdfs:seeAlso-objetivos</v>
      </c>
      <c r="P47" s="10"/>
      <c r="Q47" s="10"/>
      <c r="R47" s="10"/>
      <c r="S47" s="10"/>
      <c r="T47" s="10" t="e">
        <f>IF(INDEX(GRAFO!$M$2:'GRAFO'!$M$41,MATCH(O47,GRAFO!$M$2:'GRAFO'!$M$41,0),1)&lt;&gt;0,1,0)</f>
        <v>#N/A</v>
      </c>
      <c r="U47" s="10">
        <f t="shared" si="8"/>
        <v>0</v>
      </c>
    </row>
    <row r="48" spans="1:21">
      <c r="A48" s="10" t="s">
        <v>369</v>
      </c>
      <c r="B48" s="10" t="s">
        <v>4</v>
      </c>
      <c r="C48" s="9" t="str">
        <f t="shared" ref="C48:C63" si="9">IF(INDEX($A$3:$B$18,MATCH(D3,$A$3:$A$17,0),2)&lt;&gt;0,"OK","NOK")</f>
        <v>OK</v>
      </c>
      <c r="D48" s="10" t="str">
        <f t="shared" si="3"/>
        <v>nivel</v>
      </c>
      <c r="E48" s="10" t="str">
        <f t="shared" si="4"/>
        <v>rdfs:seeAlso</v>
      </c>
      <c r="F48" s="10" t="str">
        <f t="shared" si="5"/>
        <v>documento</v>
      </c>
      <c r="G48" s="3" t="str">
        <f t="shared" si="6"/>
        <v>NOK</v>
      </c>
      <c r="I48" s="10" t="str">
        <f t="shared" si="1"/>
        <v>nivel-documento</v>
      </c>
      <c r="J48" s="10"/>
      <c r="K48" s="10"/>
      <c r="L48" s="3" t="e">
        <f>IF(INDEX(GRAFO!$L$2:'GRAFO'!$L$41,MATCH(I48,GRAFO!$L$2:'GRAFO'!$L$41,0),1)&lt;&gt;0,1,0)</f>
        <v>#N/A</v>
      </c>
      <c r="M48" s="3">
        <f t="shared" si="7"/>
        <v>0</v>
      </c>
      <c r="O48" s="10" t="str">
        <f t="shared" si="2"/>
        <v>nivel-rdfs:seeAlso-documento</v>
      </c>
      <c r="P48" s="10"/>
      <c r="Q48" s="10"/>
      <c r="R48" s="10"/>
      <c r="S48" s="10"/>
      <c r="T48" s="10" t="e">
        <f>IF(INDEX(GRAFO!$M$2:'GRAFO'!$M$41,MATCH(O48,GRAFO!$M$2:'GRAFO'!$M$41,0),1)&lt;&gt;0,1,0)</f>
        <v>#N/A</v>
      </c>
      <c r="U48" s="10">
        <f t="shared" si="8"/>
        <v>0</v>
      </c>
    </row>
    <row r="49" spans="1:21">
      <c r="A49" s="10" t="s">
        <v>105</v>
      </c>
      <c r="B49" s="10" t="s">
        <v>7</v>
      </c>
      <c r="C49" s="9" t="str">
        <f t="shared" si="9"/>
        <v>OK</v>
      </c>
      <c r="D49" s="10" t="str">
        <f t="shared" si="3"/>
        <v>ar</v>
      </c>
      <c r="E49" s="10" t="str">
        <f t="shared" si="4"/>
        <v>rdfs:seeAlso</v>
      </c>
      <c r="F49" s="10" t="str">
        <f t="shared" si="5"/>
        <v>tatico</v>
      </c>
      <c r="G49" s="3" t="str">
        <f t="shared" si="6"/>
        <v>OK</v>
      </c>
      <c r="I49" s="10" t="str">
        <f t="shared" si="1"/>
        <v>ar-tatico</v>
      </c>
      <c r="J49" s="10"/>
      <c r="K49" s="10"/>
      <c r="L49" s="3" t="e">
        <f>IF(INDEX(GRAFO!$L$2:'GRAFO'!$L$41,MATCH(I49,GRAFO!$L$2:'GRAFO'!$L$41,0),1)&lt;&gt;0,1,0)</f>
        <v>#N/A</v>
      </c>
      <c r="M49" s="3">
        <f t="shared" si="7"/>
        <v>0</v>
      </c>
      <c r="O49" s="10" t="str">
        <f t="shared" si="2"/>
        <v>ar-rdfs:seeAlso-tatico</v>
      </c>
      <c r="P49" s="10"/>
      <c r="Q49" s="10"/>
      <c r="R49" s="10"/>
      <c r="S49" s="10"/>
      <c r="T49" s="10" t="e">
        <f>IF(INDEX(GRAFO!$M$2:'GRAFO'!$M$41,MATCH(O49,GRAFO!$M$2:'GRAFO'!$M$41,0),1)&lt;&gt;0,1,0)</f>
        <v>#N/A</v>
      </c>
      <c r="U49" s="10">
        <f t="shared" si="8"/>
        <v>0</v>
      </c>
    </row>
    <row r="50" spans="1:21">
      <c r="A50" s="10" t="s">
        <v>215</v>
      </c>
      <c r="B50" s="10" t="s">
        <v>7</v>
      </c>
      <c r="C50" s="9" t="str">
        <f t="shared" si="9"/>
        <v>OK</v>
      </c>
      <c r="D50" s="10" t="str">
        <f t="shared" si="3"/>
        <v>ar</v>
      </c>
      <c r="E50" s="10" t="str">
        <f t="shared" si="4"/>
        <v>c2rm:responsible_for</v>
      </c>
      <c r="F50" s="10" t="str">
        <f t="shared" si="5"/>
        <v>meios</v>
      </c>
      <c r="G50" s="3" t="str">
        <f t="shared" si="6"/>
        <v>NOK</v>
      </c>
      <c r="I50" s="10" t="str">
        <f t="shared" si="1"/>
        <v>ar-meios</v>
      </c>
      <c r="J50" s="10"/>
      <c r="K50" s="10"/>
      <c r="L50" s="3" t="e">
        <f>IF(INDEX(GRAFO!$L$2:'GRAFO'!$L$41,MATCH(I50,GRAFO!$L$2:'GRAFO'!$L$41,0),1)&lt;&gt;0,1,0)</f>
        <v>#N/A</v>
      </c>
      <c r="M50" s="3">
        <f t="shared" si="7"/>
        <v>0</v>
      </c>
      <c r="O50" s="10" t="str">
        <f t="shared" si="2"/>
        <v>ar-c2rm:responsible_for-meios</v>
      </c>
      <c r="P50" s="10"/>
      <c r="Q50" s="10"/>
      <c r="R50" s="10"/>
      <c r="S50" s="10"/>
      <c r="T50" s="10" t="e">
        <f>IF(INDEX(GRAFO!$M$2:'GRAFO'!$M$41,MATCH(O50,GRAFO!$M$2:'GRAFO'!$M$41,0),1)&lt;&gt;0,1,0)</f>
        <v>#N/A</v>
      </c>
      <c r="U50" s="10">
        <f t="shared" si="8"/>
        <v>0</v>
      </c>
    </row>
    <row r="51" spans="1:21">
      <c r="A51" s="10"/>
      <c r="B51" s="10"/>
      <c r="C51" s="9" t="str">
        <f t="shared" si="9"/>
        <v>OK</v>
      </c>
      <c r="D51" s="10" t="str">
        <f t="shared" si="3"/>
        <v>forca_componente</v>
      </c>
      <c r="E51" s="10" t="str">
        <f t="shared" si="4"/>
        <v>c2rm:responsible_for</v>
      </c>
      <c r="F51" s="10" t="str">
        <f t="shared" si="5"/>
        <v>tatico</v>
      </c>
      <c r="G51" s="3" t="str">
        <f t="shared" si="6"/>
        <v>OK</v>
      </c>
      <c r="I51" s="10" t="str">
        <f t="shared" si="1"/>
        <v>forca_componente-tatico</v>
      </c>
      <c r="J51" s="10"/>
      <c r="K51" s="10"/>
      <c r="L51" s="3">
        <f>IF(INDEX(GRAFO!$L$2:'GRAFO'!$L$41,MATCH(I51,GRAFO!$L$2:'GRAFO'!$L$41,0),1)&lt;&gt;0,1,0)</f>
        <v>1</v>
      </c>
      <c r="M51" s="3">
        <f t="shared" si="7"/>
        <v>1</v>
      </c>
      <c r="O51" s="10" t="str">
        <f t="shared" si="2"/>
        <v>forca_componente-c2rm:responsible_for-tatico</v>
      </c>
      <c r="P51" s="10"/>
      <c r="Q51" s="10"/>
      <c r="R51" s="10"/>
      <c r="S51" s="10"/>
      <c r="T51" s="10">
        <f>IF(INDEX(GRAFO!$M$2:'GRAFO'!$M$41,MATCH(O51,GRAFO!$M$2:'GRAFO'!$M$41,0),1)&lt;&gt;0,1,0)</f>
        <v>1</v>
      </c>
      <c r="U51" s="10">
        <f t="shared" si="8"/>
        <v>1</v>
      </c>
    </row>
    <row r="52" spans="1:21">
      <c r="A52" s="10"/>
      <c r="B52" s="10"/>
      <c r="C52" s="9" t="str">
        <f t="shared" si="9"/>
        <v>OK</v>
      </c>
      <c r="D52" s="10" t="str">
        <f t="shared" si="3"/>
        <v>comandos_operacionais</v>
      </c>
      <c r="E52" s="10" t="str">
        <f t="shared" si="4"/>
        <v>c2rm:responsible_for</v>
      </c>
      <c r="F52" s="10" t="str">
        <f t="shared" si="5"/>
        <v>operacional</v>
      </c>
      <c r="G52" s="3" t="str">
        <f t="shared" si="6"/>
        <v>OK</v>
      </c>
      <c r="I52" s="10" t="str">
        <f t="shared" si="1"/>
        <v>comandos_operacionais-operacional</v>
      </c>
      <c r="J52" s="10"/>
      <c r="K52" s="10"/>
      <c r="L52" s="3">
        <f>IF(INDEX(GRAFO!$L$2:'GRAFO'!$L$41,MATCH(I52,GRAFO!$L$2:'GRAFO'!$L$41,0),1)&lt;&gt;0,1,0)</f>
        <v>1</v>
      </c>
      <c r="M52" s="3">
        <f t="shared" si="7"/>
        <v>1</v>
      </c>
      <c r="O52" s="10" t="str">
        <f t="shared" si="2"/>
        <v>comandos_operacionais-c2rm:responsible_for-operacional</v>
      </c>
      <c r="P52" s="10"/>
      <c r="Q52" s="10"/>
      <c r="R52" s="10"/>
      <c r="S52" s="10"/>
      <c r="T52" s="10">
        <f>IF(INDEX(GRAFO!$M$2:'GRAFO'!$M$41,MATCH(O52,GRAFO!$M$2:'GRAFO'!$M$41,0),1)&lt;&gt;0,1,0)</f>
        <v>1</v>
      </c>
      <c r="U52" s="10">
        <f t="shared" si="8"/>
        <v>1</v>
      </c>
    </row>
    <row r="53" spans="1:21">
      <c r="A53" s="46"/>
      <c r="B53" s="10"/>
      <c r="C53" s="9" t="str">
        <f t="shared" si="9"/>
        <v>OK</v>
      </c>
      <c r="D53" s="10" t="str">
        <f t="shared" si="3"/>
        <v>comando_logistico</v>
      </c>
      <c r="E53" s="10" t="str">
        <f t="shared" si="4"/>
        <v>c2rm:responsible_for</v>
      </c>
      <c r="F53" s="10" t="str">
        <f t="shared" si="5"/>
        <v>comandos_operacionais</v>
      </c>
      <c r="G53" s="3" t="str">
        <f t="shared" si="6"/>
        <v>OK</v>
      </c>
      <c r="I53" s="10" t="str">
        <f t="shared" si="1"/>
        <v>comando_logistico-comandos_operacionais</v>
      </c>
      <c r="J53" s="10"/>
      <c r="K53" s="10"/>
      <c r="L53" s="3" t="e">
        <f>IF(INDEX(GRAFO!$L$2:'GRAFO'!$L$41,MATCH(I53,GRAFO!$L$2:'GRAFO'!$L$41,0),1)&lt;&gt;0,1,0)</f>
        <v>#N/A</v>
      </c>
      <c r="M53" s="3">
        <f t="shared" si="7"/>
        <v>0</v>
      </c>
      <c r="O53" s="10" t="str">
        <f t="shared" si="2"/>
        <v>comando_logistico-c2rm:responsible_for-comandos_operacionais</v>
      </c>
      <c r="P53" s="10"/>
      <c r="Q53" s="10"/>
      <c r="R53" s="10"/>
      <c r="S53" s="10"/>
      <c r="T53" s="10" t="e">
        <f>IF(INDEX(GRAFO!$M$2:'GRAFO'!$M$41,MATCH(O53,GRAFO!$M$2:'GRAFO'!$M$41,0),1)&lt;&gt;0,1,0)</f>
        <v>#N/A</v>
      </c>
      <c r="U53" s="10">
        <f t="shared" si="8"/>
        <v>0</v>
      </c>
    </row>
    <row r="54" spans="1:21">
      <c r="A54" s="46"/>
      <c r="B54" s="10"/>
      <c r="C54" s="9" t="str">
        <f t="shared" si="9"/>
        <v>OK</v>
      </c>
      <c r="D54" s="10"/>
      <c r="E54" s="10"/>
      <c r="F54" s="10"/>
      <c r="G54" s="3"/>
      <c r="I54" s="10"/>
      <c r="J54" s="10"/>
      <c r="K54" s="10"/>
      <c r="L54" s="3"/>
      <c r="M54" s="3"/>
      <c r="O54" s="10"/>
      <c r="P54" s="10"/>
      <c r="Q54" s="10"/>
      <c r="R54" s="10"/>
      <c r="S54" s="10"/>
      <c r="T54" s="10"/>
      <c r="U54" s="10"/>
    </row>
    <row r="55" spans="1:21">
      <c r="A55" s="46"/>
      <c r="B55" s="10"/>
      <c r="C55" s="9" t="str">
        <f t="shared" si="9"/>
        <v>OK</v>
      </c>
      <c r="D55" s="10"/>
      <c r="E55" s="10"/>
      <c r="F55" s="10"/>
      <c r="G55" s="3"/>
      <c r="I55" s="10"/>
      <c r="J55" s="10"/>
      <c r="K55" s="10"/>
      <c r="L55" s="3"/>
      <c r="M55" s="3"/>
      <c r="O55" s="10"/>
      <c r="P55" s="10"/>
      <c r="Q55" s="10"/>
      <c r="R55" s="10"/>
      <c r="S55" s="10"/>
      <c r="T55" s="10"/>
      <c r="U55" s="10"/>
    </row>
    <row r="56" spans="1:21">
      <c r="A56" s="10"/>
      <c r="B56" s="10"/>
      <c r="C56" s="9" t="str">
        <f t="shared" si="9"/>
        <v>OK</v>
      </c>
      <c r="D56" s="10"/>
      <c r="E56" s="10"/>
      <c r="F56" s="10"/>
      <c r="G56" s="3"/>
      <c r="I56" s="10"/>
      <c r="J56" s="10"/>
      <c r="K56" s="10"/>
      <c r="L56" s="3"/>
      <c r="M56" s="3"/>
      <c r="O56" s="10"/>
      <c r="P56" s="10"/>
      <c r="Q56" s="10"/>
      <c r="R56" s="10"/>
      <c r="S56" s="10"/>
      <c r="T56" s="10"/>
      <c r="U56" s="10"/>
    </row>
    <row r="57" spans="1:21">
      <c r="C57" s="9" t="str">
        <f t="shared" si="9"/>
        <v>NOK</v>
      </c>
      <c r="D57" s="10"/>
      <c r="E57" s="10"/>
      <c r="F57" s="10"/>
      <c r="G57" s="3"/>
      <c r="I57" s="10"/>
      <c r="J57" s="10"/>
      <c r="K57" s="10"/>
      <c r="L57" s="3"/>
      <c r="M57" s="3"/>
      <c r="O57" s="10"/>
      <c r="P57" s="10"/>
      <c r="Q57" s="10"/>
      <c r="R57" s="10"/>
      <c r="S57" s="10"/>
      <c r="T57" s="10"/>
      <c r="U57" s="10"/>
    </row>
    <row r="58" spans="1:21">
      <c r="C58" s="9" t="str">
        <f t="shared" si="9"/>
        <v>NOK</v>
      </c>
      <c r="D58" s="10"/>
      <c r="E58" s="10"/>
      <c r="F58" s="10"/>
      <c r="G58" s="3"/>
      <c r="I58" s="10"/>
      <c r="J58" s="10"/>
      <c r="K58" s="10"/>
      <c r="L58" s="3"/>
      <c r="M58" s="3"/>
      <c r="O58" s="10"/>
      <c r="P58" s="10"/>
      <c r="Q58" s="10"/>
      <c r="R58" s="10"/>
      <c r="S58" s="10"/>
      <c r="T58" s="10"/>
      <c r="U58" s="10"/>
    </row>
    <row r="59" spans="1:21">
      <c r="C59" s="9" t="str">
        <f t="shared" si="9"/>
        <v>OK</v>
      </c>
      <c r="D59" s="10"/>
      <c r="E59" s="10"/>
      <c r="F59" s="10"/>
      <c r="G59" s="3"/>
      <c r="I59" s="10"/>
      <c r="J59" s="10"/>
      <c r="K59" s="10"/>
      <c r="L59" s="3"/>
      <c r="M59" s="3"/>
      <c r="O59" s="10"/>
      <c r="P59" s="10"/>
      <c r="Q59" s="10"/>
      <c r="R59" s="10"/>
      <c r="S59" s="10"/>
      <c r="T59" s="10"/>
      <c r="U59" s="10"/>
    </row>
    <row r="60" spans="1:21">
      <c r="C60" s="9" t="str">
        <f t="shared" si="9"/>
        <v>OK</v>
      </c>
      <c r="D60" s="10"/>
      <c r="E60" s="10"/>
      <c r="F60" s="10"/>
      <c r="G60" s="3"/>
      <c r="I60" s="10"/>
      <c r="J60" s="10"/>
      <c r="K60" s="10"/>
      <c r="L60" s="3"/>
      <c r="M60" s="3"/>
      <c r="O60" s="10"/>
      <c r="P60" s="10"/>
      <c r="Q60" s="10"/>
      <c r="R60" s="10"/>
      <c r="S60" s="10"/>
      <c r="T60" s="10"/>
      <c r="U60" s="10"/>
    </row>
    <row r="61" spans="1:21">
      <c r="C61" s="9" t="str">
        <f t="shared" si="9"/>
        <v>NOK</v>
      </c>
      <c r="D61" s="10"/>
      <c r="E61" s="10"/>
      <c r="F61" s="10"/>
      <c r="G61" s="3"/>
      <c r="I61" s="10"/>
      <c r="J61" s="10"/>
      <c r="K61" s="10"/>
      <c r="L61" s="3"/>
      <c r="M61" s="3"/>
      <c r="O61" s="10"/>
      <c r="P61" s="10"/>
      <c r="Q61" s="10"/>
      <c r="R61" s="10"/>
      <c r="S61" s="10"/>
      <c r="T61" s="10"/>
      <c r="U61" s="10"/>
    </row>
    <row r="62" spans="1:21">
      <c r="C62" s="9" t="e">
        <f t="shared" si="9"/>
        <v>#N/A</v>
      </c>
      <c r="D62" s="10"/>
      <c r="E62" s="10"/>
      <c r="F62" s="10"/>
      <c r="G62" s="3"/>
      <c r="I62" s="10"/>
      <c r="J62" s="10"/>
      <c r="K62" s="10"/>
      <c r="L62" s="3"/>
      <c r="M62" s="3"/>
      <c r="O62" s="10"/>
      <c r="P62" s="10"/>
      <c r="Q62" s="10"/>
      <c r="R62" s="10"/>
      <c r="S62" s="10"/>
      <c r="T62" s="10"/>
      <c r="U62" s="10"/>
    </row>
    <row r="63" spans="1:21">
      <c r="C63" s="9" t="e">
        <f t="shared" si="9"/>
        <v>#N/A</v>
      </c>
      <c r="D63" s="10"/>
      <c r="E63" s="10"/>
      <c r="F63" s="10"/>
      <c r="G63" s="3"/>
      <c r="I63" s="10"/>
      <c r="J63" s="10"/>
      <c r="K63" s="10"/>
      <c r="L63" s="3"/>
      <c r="M63" s="3"/>
      <c r="O63" s="10"/>
      <c r="P63" s="10"/>
      <c r="Q63" s="10"/>
      <c r="R63" s="10"/>
      <c r="S63" s="10"/>
      <c r="T63" s="10"/>
      <c r="U63" s="10"/>
    </row>
    <row r="64" spans="1:21">
      <c r="D64" s="10"/>
      <c r="E64" s="10"/>
      <c r="F64" s="10"/>
      <c r="G64" s="3"/>
      <c r="I64" s="10"/>
      <c r="J64" s="10"/>
      <c r="K64" s="10"/>
      <c r="L64" s="3"/>
      <c r="M64" s="3"/>
      <c r="O64" s="10"/>
      <c r="P64" s="10"/>
      <c r="Q64" s="10"/>
      <c r="R64" s="10"/>
      <c r="S64" s="10"/>
      <c r="T64" s="10"/>
      <c r="U64" s="10"/>
    </row>
    <row r="65" spans="4:21">
      <c r="D65" s="10"/>
      <c r="E65" s="10"/>
      <c r="F65" s="10"/>
      <c r="G65" s="3"/>
      <c r="I65" s="10"/>
      <c r="J65" s="10"/>
      <c r="K65" s="10"/>
      <c r="L65" s="3"/>
      <c r="M65" s="3"/>
      <c r="O65" s="10"/>
      <c r="P65" s="10"/>
      <c r="Q65" s="10"/>
      <c r="R65" s="10"/>
      <c r="S65" s="10"/>
      <c r="T65" s="10"/>
      <c r="U65" s="10"/>
    </row>
    <row r="66" spans="4:21">
      <c r="D66" s="10"/>
      <c r="E66" s="10"/>
      <c r="F66" s="10"/>
      <c r="G66" s="3"/>
      <c r="I66" s="10"/>
      <c r="J66" s="10"/>
      <c r="K66" s="10"/>
      <c r="L66" s="3"/>
      <c r="M66" s="3"/>
      <c r="O66" s="10"/>
      <c r="P66" s="10"/>
      <c r="Q66" s="10"/>
      <c r="R66" s="10"/>
      <c r="S66" s="10"/>
      <c r="T66" s="10"/>
      <c r="U66" s="10"/>
    </row>
    <row r="67" spans="4:21">
      <c r="D67" s="10"/>
      <c r="E67" s="10"/>
      <c r="F67" s="10"/>
      <c r="G67" s="3"/>
      <c r="I67" s="10"/>
      <c r="J67" s="10"/>
      <c r="K67" s="10"/>
      <c r="L67" s="3"/>
      <c r="M67" s="3"/>
      <c r="O67" s="10"/>
      <c r="P67" s="10"/>
      <c r="Q67" s="10"/>
      <c r="R67" s="10"/>
      <c r="S67" s="10"/>
      <c r="T67" s="10"/>
      <c r="U67" s="10"/>
    </row>
    <row r="68" spans="4:21">
      <c r="D68" s="10"/>
      <c r="E68" s="10"/>
      <c r="F68" s="10"/>
      <c r="G68" s="3"/>
      <c r="I68" s="10"/>
      <c r="J68" s="10"/>
      <c r="K68" s="10"/>
      <c r="L68" s="3"/>
      <c r="M68" s="3"/>
      <c r="O68" s="10"/>
      <c r="P68" s="10"/>
      <c r="Q68" s="10"/>
      <c r="R68" s="10"/>
      <c r="S68" s="10"/>
      <c r="T68" s="10"/>
      <c r="U68" s="10"/>
    </row>
    <row r="69" spans="4:21">
      <c r="D69" s="10"/>
      <c r="E69" s="10"/>
      <c r="F69" s="10"/>
      <c r="G69" s="3"/>
      <c r="I69" s="10"/>
      <c r="J69" s="10"/>
      <c r="K69" s="10"/>
      <c r="L69" s="3"/>
      <c r="M69" s="3"/>
      <c r="O69" s="10"/>
      <c r="P69" s="10"/>
      <c r="Q69" s="10"/>
      <c r="R69" s="10"/>
      <c r="S69" s="10"/>
      <c r="T69" s="10"/>
      <c r="U69" s="10"/>
    </row>
    <row r="70" spans="4:21">
      <c r="D70" s="10"/>
      <c r="E70" s="10"/>
      <c r="F70" s="10"/>
      <c r="G70" s="3"/>
      <c r="I70" s="10"/>
      <c r="J70" s="10"/>
      <c r="K70" s="10"/>
      <c r="L70" s="3"/>
      <c r="M70" s="3"/>
      <c r="O70" s="10"/>
      <c r="P70" s="10"/>
      <c r="Q70" s="10"/>
      <c r="R70" s="10"/>
      <c r="S70" s="10"/>
      <c r="T70" s="10"/>
      <c r="U70" s="10"/>
    </row>
    <row r="71" spans="4:21">
      <c r="D71" s="10"/>
      <c r="E71" s="10"/>
      <c r="F71" s="10"/>
      <c r="G71" s="3"/>
      <c r="I71" s="10"/>
      <c r="J71" s="10"/>
      <c r="K71" s="10"/>
      <c r="L71" s="3"/>
      <c r="M71" s="3"/>
      <c r="O71" s="10"/>
      <c r="P71" s="10"/>
      <c r="Q71" s="10"/>
      <c r="R71" s="10"/>
      <c r="S71" s="10"/>
      <c r="T71" s="10"/>
      <c r="U71" s="10"/>
    </row>
    <row r="72" spans="4:21">
      <c r="D72" s="10"/>
      <c r="E72" s="10"/>
      <c r="F72" s="10"/>
      <c r="G72" s="3"/>
      <c r="I72" s="10"/>
      <c r="J72" s="10"/>
      <c r="K72" s="10"/>
      <c r="L72" s="3"/>
      <c r="M72" s="3"/>
      <c r="O72" s="10"/>
      <c r="P72" s="10"/>
      <c r="Q72" s="10"/>
      <c r="R72" s="10"/>
      <c r="S72" s="10"/>
      <c r="T72" s="10"/>
      <c r="U72" s="10"/>
    </row>
    <row r="73" spans="4:21">
      <c r="D73" s="10"/>
      <c r="E73" s="10"/>
      <c r="F73" s="10"/>
      <c r="G73" s="3"/>
      <c r="I73" s="10"/>
      <c r="J73" s="10"/>
      <c r="K73" s="10"/>
      <c r="L73" s="3"/>
      <c r="M73" s="3"/>
      <c r="O73" s="10"/>
      <c r="P73" s="10"/>
      <c r="Q73" s="10"/>
      <c r="R73" s="10"/>
      <c r="S73" s="10"/>
      <c r="T73" s="10"/>
      <c r="U73" s="10"/>
    </row>
  </sheetData>
  <mergeCells count="10">
    <mergeCell ref="I39:K39"/>
    <mergeCell ref="L39:M39"/>
    <mergeCell ref="O39:S39"/>
    <mergeCell ref="T39:U39"/>
    <mergeCell ref="A1:B1"/>
    <mergeCell ref="D1:F1"/>
    <mergeCell ref="K4:K5"/>
    <mergeCell ref="D38:G38"/>
    <mergeCell ref="I38:M38"/>
    <mergeCell ref="O38:U38"/>
  </mergeCells>
  <dataValidations count="11">
    <dataValidation type="list" allowBlank="1" showInputMessage="1" showErrorMessage="1" sqref="E16">
      <formula1>$A$40:$A$50</formula1>
    </dataValidation>
    <dataValidation type="list" allowBlank="1" showInputMessage="1" showErrorMessage="1" sqref="F38:G38">
      <formula1>$A$3:$A$27</formula1>
    </dataValidation>
    <dataValidation type="list" allowBlank="1" showInputMessage="1" showErrorMessage="1" sqref="C3:C37 B4:B37">
      <formula1>$Y$3:$Y$39</formula1>
    </dataValidation>
    <dataValidation type="list" allowBlank="1" showInputMessage="1" showErrorMessage="1" sqref="H3:H44 G3:G37">
      <formula1>$A$3:$A$22</formula1>
    </dataValidation>
    <dataValidation type="list" allowBlank="1" showInputMessage="1" showErrorMessage="1" sqref="B40:B56">
      <formula1>$AE$2:$AE$12</formula1>
    </dataValidation>
    <dataValidation type="list" allowBlank="1" showInputMessage="1" showErrorMessage="1" sqref="D37 F37">
      <formula1>$A$3:$A$28</formula1>
    </dataValidation>
    <dataValidation type="list" allowBlank="1" showInputMessage="1" showErrorMessage="1" sqref="E3:E12 E14:E15 E17:E37">
      <formula1>$A$40:$A$48</formula1>
    </dataValidation>
    <dataValidation type="list" allowBlank="1" showInputMessage="1" showErrorMessage="1" sqref="B3">
      <formula1>$Y$3:$Y$31</formula1>
    </dataValidation>
    <dataValidation type="list" allowBlank="1" showInputMessage="1" showErrorMessage="1" sqref="F12:F36 F3:F10 D3:D36">
      <formula1>$A$3:$A$17</formula1>
    </dataValidation>
    <dataValidation type="list" allowBlank="1" showInputMessage="1" showErrorMessage="1" sqref="F11">
      <formula1>$A$3:$A$18</formula1>
    </dataValidation>
    <dataValidation type="list" allowBlank="1" showInputMessage="1" showErrorMessage="1" sqref="E13">
      <formula1>$A$40:$A$49</formula1>
    </dataValidation>
  </dataValidation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E73"/>
  <sheetViews>
    <sheetView topLeftCell="O1" zoomScale="130" zoomScaleNormal="130" workbookViewId="0">
      <selection activeCell="X4" sqref="X4:X7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9" t="s">
        <v>184</v>
      </c>
      <c r="AD2" s="9" t="s">
        <v>195</v>
      </c>
      <c r="AE2" s="9" t="s">
        <v>35</v>
      </c>
    </row>
    <row r="3" spans="1:31" ht="16.75">
      <c r="A3" s="46" t="s">
        <v>160</v>
      </c>
      <c r="B3" s="10"/>
      <c r="D3" s="10" t="s">
        <v>160</v>
      </c>
      <c r="E3" s="10" t="s">
        <v>374</v>
      </c>
      <c r="F3" s="10" t="s">
        <v>58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s="16" t="s">
        <v>33</v>
      </c>
      <c r="AC3" s="9" t="s">
        <v>185</v>
      </c>
      <c r="AD3" s="9" t="s">
        <v>196</v>
      </c>
      <c r="AE3" s="9" t="s">
        <v>4</v>
      </c>
    </row>
    <row r="4" spans="1:31" ht="16.75">
      <c r="A4" s="46" t="s">
        <v>256</v>
      </c>
      <c r="B4" s="10"/>
      <c r="D4" s="10" t="s">
        <v>124</v>
      </c>
      <c r="E4" s="10" t="s">
        <v>327</v>
      </c>
      <c r="F4" s="10" t="s">
        <v>58</v>
      </c>
      <c r="K4" s="85" t="s">
        <v>80</v>
      </c>
      <c r="L4" s="8" t="s">
        <v>0</v>
      </c>
      <c r="M4" s="4">
        <f>GRAFO!J2</f>
        <v>29</v>
      </c>
      <c r="N4" s="11">
        <f>COUNTA(A3:A19)</f>
        <v>17</v>
      </c>
      <c r="O4" s="11">
        <f>COUNTIF(B3:B19,"&lt;&gt;"&amp;"")</f>
        <v>8</v>
      </c>
      <c r="P4" s="2">
        <f>N4-R4</f>
        <v>8</v>
      </c>
      <c r="Q4" s="2">
        <f>M4-O4</f>
        <v>21</v>
      </c>
      <c r="R4" s="2">
        <f>N4-O4</f>
        <v>9</v>
      </c>
      <c r="S4" s="2">
        <f>O4+P4</f>
        <v>16</v>
      </c>
      <c r="T4" s="2">
        <f>Q4+R4</f>
        <v>30</v>
      </c>
      <c r="U4" s="6">
        <f>O4/(O4+R4)</f>
        <v>0.47058823529411764</v>
      </c>
      <c r="V4" s="6">
        <f>O4/(O4+Q4)</f>
        <v>0.27586206896551724</v>
      </c>
      <c r="W4" s="6">
        <f>(O4+P4)/(O4+P4+Q4+R4)</f>
        <v>0.34782608695652173</v>
      </c>
      <c r="X4" s="62">
        <f>AVERAGE(U4:W4)</f>
        <v>0.36475879707205222</v>
      </c>
      <c r="Y4" s="16" t="s">
        <v>21</v>
      </c>
      <c r="AC4" s="9" t="s">
        <v>186</v>
      </c>
      <c r="AD4" s="9" t="s">
        <v>197</v>
      </c>
      <c r="AE4" s="9" t="s">
        <v>205</v>
      </c>
    </row>
    <row r="5" spans="1:31" ht="16.75">
      <c r="A5" s="46" t="s">
        <v>58</v>
      </c>
      <c r="B5" s="10" t="s">
        <v>13</v>
      </c>
      <c r="D5" s="10" t="s">
        <v>256</v>
      </c>
      <c r="E5" s="10" t="s">
        <v>375</v>
      </c>
      <c r="F5" s="10" t="s">
        <v>124</v>
      </c>
      <c r="K5" s="85"/>
      <c r="L5" s="8" t="s">
        <v>100</v>
      </c>
      <c r="M5" s="5">
        <f>GRAFO!J3</f>
        <v>41</v>
      </c>
      <c r="N5" s="12">
        <f>COUNTA(D40:D54)</f>
        <v>15</v>
      </c>
      <c r="O5" s="12">
        <f>COUNTIF(M40:M54,"=1")</f>
        <v>3</v>
      </c>
      <c r="P5" s="2">
        <f>N5-R5</f>
        <v>3</v>
      </c>
      <c r="Q5" s="2">
        <f>M5-O5</f>
        <v>38</v>
      </c>
      <c r="R5" s="2">
        <f>N5-O5</f>
        <v>12</v>
      </c>
      <c r="S5" s="2">
        <f>O5+P5</f>
        <v>6</v>
      </c>
      <c r="T5" s="2">
        <f>Q5+R5</f>
        <v>50</v>
      </c>
      <c r="U5" s="6">
        <f>O5/(O5+R5)</f>
        <v>0.2</v>
      </c>
      <c r="V5" s="6">
        <f>O5/(O5+Q5)</f>
        <v>7.3170731707317069E-2</v>
      </c>
      <c r="W5" s="6">
        <f>(O5+P5)/(O5+P5+Q5+R5)</f>
        <v>0.10714285714285714</v>
      </c>
      <c r="X5" s="62">
        <f t="shared" ref="X5:X6" si="0">AVERAGE(U5:W5)</f>
        <v>0.12677119628339142</v>
      </c>
      <c r="Y5" s="16" t="s">
        <v>17</v>
      </c>
      <c r="AC5" s="9" t="s">
        <v>187</v>
      </c>
      <c r="AD5" s="9" t="s">
        <v>198</v>
      </c>
      <c r="AE5" s="9" t="s">
        <v>3</v>
      </c>
    </row>
    <row r="6" spans="1:31" ht="16.75">
      <c r="A6" s="46" t="s">
        <v>124</v>
      </c>
      <c r="B6" s="10"/>
      <c r="D6" s="10" t="s">
        <v>256</v>
      </c>
      <c r="E6" s="10" t="s">
        <v>379</v>
      </c>
      <c r="F6" s="10" t="s">
        <v>40</v>
      </c>
      <c r="L6" s="8" t="s">
        <v>99</v>
      </c>
      <c r="M6" s="5">
        <v>41</v>
      </c>
      <c r="N6" s="12">
        <f>COUNTA(D40:D54)</f>
        <v>15</v>
      </c>
      <c r="O6" s="12">
        <f>COUNTIF(U40:U54,"=1")</f>
        <v>3</v>
      </c>
      <c r="P6" s="2">
        <f>N6-R6</f>
        <v>3</v>
      </c>
      <c r="Q6" s="2">
        <f>M6-O6</f>
        <v>38</v>
      </c>
      <c r="R6" s="2">
        <f>N6-O6</f>
        <v>12</v>
      </c>
      <c r="S6" s="2">
        <f>O6+P6</f>
        <v>6</v>
      </c>
      <c r="T6" s="2">
        <f>Q6+R6</f>
        <v>50</v>
      </c>
      <c r="U6" s="6">
        <f>O6/(O6+R6)</f>
        <v>0.2</v>
      </c>
      <c r="V6" s="6">
        <f>O6/(O6+Q6)</f>
        <v>7.3170731707317069E-2</v>
      </c>
      <c r="W6" s="6">
        <f>(O6+P6)/(O6+P6+Q6+R6)</f>
        <v>0.10714285714285714</v>
      </c>
      <c r="X6" s="62">
        <f t="shared" si="0"/>
        <v>0.12677119628339142</v>
      </c>
      <c r="Y6" s="16" t="s">
        <v>40</v>
      </c>
      <c r="AC6" s="9" t="s">
        <v>188</v>
      </c>
      <c r="AD6" s="9" t="s">
        <v>199</v>
      </c>
      <c r="AE6" s="9" t="s">
        <v>6</v>
      </c>
    </row>
    <row r="7" spans="1:31" ht="16.75">
      <c r="A7" s="46" t="s">
        <v>22</v>
      </c>
      <c r="B7" s="10" t="s">
        <v>22</v>
      </c>
      <c r="D7" s="10" t="s">
        <v>40</v>
      </c>
      <c r="E7" s="10" t="s">
        <v>141</v>
      </c>
      <c r="F7" s="10" t="s">
        <v>123</v>
      </c>
      <c r="X7" s="62">
        <f>AVERAGE(X4:X6)</f>
        <v>0.20610039654627835</v>
      </c>
      <c r="Y7" s="16" t="s">
        <v>13</v>
      </c>
      <c r="AC7" s="9" t="s">
        <v>189</v>
      </c>
      <c r="AD7" s="9" t="s">
        <v>200</v>
      </c>
      <c r="AE7" s="9" t="s">
        <v>206</v>
      </c>
    </row>
    <row r="8" spans="1:31" ht="16.75">
      <c r="A8" s="46" t="s">
        <v>40</v>
      </c>
      <c r="B8" s="10" t="s">
        <v>40</v>
      </c>
      <c r="D8" s="10" t="s">
        <v>58</v>
      </c>
      <c r="E8" s="10" t="s">
        <v>242</v>
      </c>
      <c r="F8" s="10" t="s">
        <v>22</v>
      </c>
      <c r="Y8" s="16" t="s">
        <v>39</v>
      </c>
      <c r="AC8" s="9" t="s">
        <v>190</v>
      </c>
      <c r="AD8" s="9" t="s">
        <v>148</v>
      </c>
      <c r="AE8" s="9" t="s">
        <v>36</v>
      </c>
    </row>
    <row r="9" spans="1:31" ht="16.75">
      <c r="A9" s="46" t="s">
        <v>28</v>
      </c>
      <c r="B9" s="10" t="s">
        <v>28</v>
      </c>
      <c r="D9" s="10" t="s">
        <v>22</v>
      </c>
      <c r="E9" s="10" t="s">
        <v>378</v>
      </c>
      <c r="F9" s="10" t="s">
        <v>373</v>
      </c>
      <c r="K9" t="s">
        <v>74</v>
      </c>
      <c r="L9" t="s">
        <v>75</v>
      </c>
      <c r="N9">
        <f>GRAFO!J2</f>
        <v>29</v>
      </c>
      <c r="Y9" s="16" t="s">
        <v>19</v>
      </c>
      <c r="AC9" s="9" t="s">
        <v>191</v>
      </c>
      <c r="AD9" s="9" t="s">
        <v>201</v>
      </c>
      <c r="AE9" s="9" t="s">
        <v>7</v>
      </c>
    </row>
    <row r="10" spans="1:31" ht="16.75">
      <c r="A10" s="46" t="s">
        <v>32</v>
      </c>
      <c r="B10" s="10" t="s">
        <v>32</v>
      </c>
      <c r="D10" s="10" t="s">
        <v>22</v>
      </c>
      <c r="E10" s="10" t="s">
        <v>246</v>
      </c>
      <c r="F10" s="10" t="s">
        <v>54</v>
      </c>
      <c r="K10" t="s">
        <v>80</v>
      </c>
      <c r="L10" t="s">
        <v>76</v>
      </c>
      <c r="N10">
        <f>N4</f>
        <v>17</v>
      </c>
      <c r="Y10" s="16" t="s">
        <v>37</v>
      </c>
      <c r="AC10" s="9" t="s">
        <v>192</v>
      </c>
      <c r="AD10" s="9" t="s">
        <v>202</v>
      </c>
      <c r="AE10" s="9" t="s">
        <v>207</v>
      </c>
    </row>
    <row r="11" spans="1:31" ht="16.75">
      <c r="A11" s="46" t="s">
        <v>34</v>
      </c>
      <c r="B11" s="10" t="s">
        <v>34</v>
      </c>
      <c r="D11" s="10" t="s">
        <v>32</v>
      </c>
      <c r="E11" s="10" t="s">
        <v>101</v>
      </c>
      <c r="F11" s="10" t="s">
        <v>54</v>
      </c>
      <c r="K11" t="s">
        <v>68</v>
      </c>
      <c r="L11" t="s">
        <v>77</v>
      </c>
      <c r="N11">
        <v>16</v>
      </c>
      <c r="Y11" s="16" t="s">
        <v>10</v>
      </c>
      <c r="AC11" s="9" t="s">
        <v>193</v>
      </c>
      <c r="AD11" s="9" t="s">
        <v>203</v>
      </c>
      <c r="AE11" s="9" t="s">
        <v>208</v>
      </c>
    </row>
    <row r="12" spans="1:31" ht="16.75">
      <c r="A12" s="46" t="s">
        <v>33</v>
      </c>
      <c r="B12" s="10" t="s">
        <v>33</v>
      </c>
      <c r="D12" s="10" t="s">
        <v>34</v>
      </c>
      <c r="E12" s="10" t="s">
        <v>101</v>
      </c>
      <c r="F12" s="10" t="s">
        <v>54</v>
      </c>
      <c r="K12" t="s">
        <v>70</v>
      </c>
      <c r="L12" t="s">
        <v>78</v>
      </c>
      <c r="M12" t="s">
        <v>86</v>
      </c>
      <c r="N12">
        <f>N9-N11</f>
        <v>13</v>
      </c>
      <c r="Y12" s="16" t="s">
        <v>14</v>
      </c>
      <c r="AC12" s="9" t="s">
        <v>194</v>
      </c>
      <c r="AD12" s="9" t="s">
        <v>204</v>
      </c>
      <c r="AE12" s="9" t="s">
        <v>5</v>
      </c>
    </row>
    <row r="13" spans="1:31" ht="16.75">
      <c r="A13" s="46" t="s">
        <v>54</v>
      </c>
      <c r="B13" s="10" t="s">
        <v>31</v>
      </c>
      <c r="D13" s="10" t="s">
        <v>33</v>
      </c>
      <c r="E13" s="10" t="s">
        <v>101</v>
      </c>
      <c r="F13" s="10" t="s">
        <v>54</v>
      </c>
      <c r="K13" t="s">
        <v>69</v>
      </c>
      <c r="L13" t="s">
        <v>79</v>
      </c>
      <c r="M13" t="s">
        <v>87</v>
      </c>
      <c r="Y13" s="16" t="s">
        <v>34</v>
      </c>
    </row>
    <row r="14" spans="1:31" ht="16.75">
      <c r="A14" s="46" t="s">
        <v>123</v>
      </c>
      <c r="B14" s="10"/>
      <c r="D14" s="10" t="s">
        <v>28</v>
      </c>
      <c r="E14" s="10" t="s">
        <v>245</v>
      </c>
      <c r="F14" s="10" t="s">
        <v>54</v>
      </c>
      <c r="K14" t="s">
        <v>83</v>
      </c>
      <c r="M14" t="s">
        <v>88</v>
      </c>
      <c r="Y14" s="16" t="s">
        <v>27</v>
      </c>
    </row>
    <row r="15" spans="1:31" ht="16.75">
      <c r="A15" s="46" t="s">
        <v>370</v>
      </c>
      <c r="B15" s="10"/>
      <c r="D15" s="10" t="s">
        <v>370</v>
      </c>
      <c r="E15" s="10" t="s">
        <v>376</v>
      </c>
      <c r="F15" s="10" t="s">
        <v>28</v>
      </c>
      <c r="K15" t="s">
        <v>89</v>
      </c>
      <c r="M15" t="s">
        <v>92</v>
      </c>
      <c r="Y15" s="16" t="s">
        <v>28</v>
      </c>
    </row>
    <row r="16" spans="1:31" ht="16.75">
      <c r="A16" s="46" t="s">
        <v>62</v>
      </c>
      <c r="B16" s="10"/>
      <c r="D16" s="10" t="s">
        <v>370</v>
      </c>
      <c r="E16" s="10" t="s">
        <v>377</v>
      </c>
      <c r="F16" s="10" t="s">
        <v>62</v>
      </c>
      <c r="K16" t="s">
        <v>90</v>
      </c>
      <c r="M16" t="s">
        <v>93</v>
      </c>
      <c r="Y16" s="16" t="s">
        <v>30</v>
      </c>
    </row>
    <row r="17" spans="1:25" ht="16.75">
      <c r="A17" s="46" t="s">
        <v>371</v>
      </c>
      <c r="B17" s="10"/>
      <c r="D17" s="10" t="s">
        <v>370</v>
      </c>
      <c r="E17" s="10" t="s">
        <v>168</v>
      </c>
      <c r="F17" s="10" t="s">
        <v>371</v>
      </c>
      <c r="K17" t="s">
        <v>91</v>
      </c>
      <c r="M17" t="s">
        <v>94</v>
      </c>
      <c r="Y17" s="16" t="s">
        <v>29</v>
      </c>
    </row>
    <row r="18" spans="1:25" ht="16.75">
      <c r="A18" s="46" t="s">
        <v>373</v>
      </c>
      <c r="B18" s="10"/>
      <c r="D18" s="10" t="s">
        <v>372</v>
      </c>
      <c r="E18" s="10" t="s">
        <v>294</v>
      </c>
      <c r="F18" s="10" t="s">
        <v>371</v>
      </c>
      <c r="K18" t="s">
        <v>84</v>
      </c>
      <c r="M18" t="s">
        <v>95</v>
      </c>
      <c r="Y18" s="16" t="s">
        <v>31</v>
      </c>
    </row>
    <row r="19" spans="1:25" ht="16.75">
      <c r="A19" s="46" t="s">
        <v>372</v>
      </c>
      <c r="B19" s="10"/>
      <c r="D19" s="10" t="s">
        <v>58</v>
      </c>
      <c r="E19" s="10" t="s">
        <v>142</v>
      </c>
      <c r="F19" s="10" t="s">
        <v>372</v>
      </c>
      <c r="K19" t="s">
        <v>85</v>
      </c>
      <c r="M19" t="s">
        <v>96</v>
      </c>
      <c r="Y19" s="16" t="s">
        <v>171</v>
      </c>
    </row>
    <row r="20" spans="1:25" ht="16.75">
      <c r="A20" s="10"/>
      <c r="B20" s="10"/>
      <c r="D20" s="10"/>
      <c r="E20" s="10"/>
      <c r="F20" s="10"/>
      <c r="K20" t="s">
        <v>97</v>
      </c>
      <c r="M20" t="s">
        <v>98</v>
      </c>
      <c r="Y20" s="16" t="s">
        <v>15</v>
      </c>
    </row>
    <row r="21" spans="1:25" ht="16.75">
      <c r="A21" s="10"/>
      <c r="B21" s="10"/>
      <c r="D21" s="10"/>
      <c r="E21" s="10"/>
      <c r="F21" s="10"/>
      <c r="Y21" s="16" t="s">
        <v>16</v>
      </c>
    </row>
    <row r="22" spans="1:25" ht="16.75">
      <c r="A22" s="46"/>
      <c r="B22" s="10"/>
      <c r="D22" s="10"/>
      <c r="E22" s="10"/>
      <c r="F22" s="10"/>
      <c r="Y22" s="16" t="s">
        <v>32</v>
      </c>
    </row>
    <row r="23" spans="1:25" ht="16.75">
      <c r="A23" s="46"/>
      <c r="B23" s="10"/>
      <c r="D23" s="10"/>
      <c r="E23" s="10"/>
      <c r="F23" s="10"/>
      <c r="Y23" s="16" t="s">
        <v>9</v>
      </c>
    </row>
    <row r="24" spans="1:25" ht="16.75">
      <c r="A24" s="46"/>
      <c r="B24" s="10"/>
      <c r="D24" s="10"/>
      <c r="E24" s="10"/>
      <c r="F24" s="10"/>
      <c r="Y24" s="16" t="s">
        <v>18</v>
      </c>
    </row>
    <row r="25" spans="1:25" ht="16.75">
      <c r="A25" s="46"/>
      <c r="B25" s="10"/>
      <c r="D25" s="10"/>
      <c r="E25" s="10"/>
      <c r="F25" s="10"/>
      <c r="Y25" s="16" t="s">
        <v>23</v>
      </c>
    </row>
    <row r="26" spans="1:25" ht="16.75">
      <c r="A26" s="46"/>
      <c r="B26" s="10"/>
      <c r="D26" s="10"/>
      <c r="E26" s="10"/>
      <c r="F26" s="10"/>
      <c r="Y26" s="16" t="s">
        <v>22</v>
      </c>
    </row>
    <row r="27" spans="1:25" ht="16.75">
      <c r="A27" s="46"/>
      <c r="B27" s="10"/>
      <c r="D27" s="10"/>
      <c r="E27" s="10"/>
      <c r="F27" s="10"/>
      <c r="Y27" s="16" t="s">
        <v>12</v>
      </c>
    </row>
    <row r="28" spans="1:25" ht="16.75">
      <c r="A28" s="46"/>
      <c r="B28" s="10"/>
      <c r="D28" s="10"/>
      <c r="E28" s="10"/>
      <c r="F28" s="10"/>
      <c r="Y28" s="16" t="s">
        <v>24</v>
      </c>
    </row>
    <row r="29" spans="1:25" ht="16.75">
      <c r="A29" s="10"/>
      <c r="B29" s="10"/>
      <c r="D29" s="10"/>
      <c r="E29" s="10"/>
      <c r="F29" s="10"/>
      <c r="Y29" s="16" t="s">
        <v>8</v>
      </c>
    </row>
    <row r="30" spans="1:25" ht="16.75">
      <c r="A30" s="10"/>
      <c r="B30" s="10"/>
      <c r="D30" s="10"/>
      <c r="E30" s="10"/>
      <c r="F30" s="10"/>
      <c r="Y30" s="16" t="s">
        <v>20</v>
      </c>
    </row>
    <row r="31" spans="1:25" ht="16.75">
      <c r="A31" s="10"/>
      <c r="B31" s="10"/>
      <c r="D31" s="10"/>
      <c r="E31" s="10"/>
      <c r="F31" s="10"/>
      <c r="Y31" s="16" t="s">
        <v>11</v>
      </c>
    </row>
    <row r="32" spans="1:25">
      <c r="A32" s="46"/>
      <c r="B32" s="10"/>
      <c r="D32" s="10"/>
      <c r="E32" s="10"/>
      <c r="F32" s="10"/>
    </row>
    <row r="33" spans="1:21">
      <c r="A33" s="10"/>
      <c r="B33" s="10"/>
      <c r="D33" s="10"/>
      <c r="E33" s="10"/>
      <c r="F33" s="10"/>
    </row>
    <row r="34" spans="1:21">
      <c r="A34" s="10"/>
      <c r="B34" s="10"/>
      <c r="D34" s="10"/>
      <c r="E34" s="10"/>
      <c r="F34" s="10"/>
    </row>
    <row r="35" spans="1:21">
      <c r="A35" s="10"/>
      <c r="B35" s="10"/>
      <c r="D35" s="10"/>
      <c r="E35" s="10"/>
      <c r="F35" s="10"/>
    </row>
    <row r="36" spans="1:21">
      <c r="A36" s="10"/>
      <c r="B36" s="10"/>
      <c r="D36" s="10"/>
      <c r="E36" s="10"/>
      <c r="F36" s="10"/>
    </row>
    <row r="37" spans="1:21">
      <c r="A37" s="10"/>
      <c r="B37" s="10"/>
    </row>
    <row r="38" spans="1:21">
      <c r="A38" s="30" t="s">
        <v>182</v>
      </c>
      <c r="B38" s="30"/>
      <c r="D38" s="104" t="s">
        <v>222</v>
      </c>
      <c r="E38" s="105"/>
      <c r="F38" s="105"/>
      <c r="G38" s="106"/>
      <c r="I38" s="98" t="s">
        <v>224</v>
      </c>
      <c r="J38" s="99"/>
      <c r="K38" s="99"/>
      <c r="L38" s="99"/>
      <c r="M38" s="100"/>
      <c r="O38" s="94" t="s">
        <v>229</v>
      </c>
      <c r="P38" s="94"/>
      <c r="Q38" s="94"/>
      <c r="R38" s="94"/>
      <c r="S38" s="94"/>
      <c r="T38" s="94"/>
      <c r="U38" s="94"/>
    </row>
    <row r="39" spans="1:21">
      <c r="A39" s="32" t="s">
        <v>251</v>
      </c>
      <c r="B39" s="33" t="s">
        <v>252</v>
      </c>
      <c r="D39" s="34" t="s">
        <v>220</v>
      </c>
      <c r="E39" s="34" t="s">
        <v>219</v>
      </c>
      <c r="F39" s="34" t="s">
        <v>221</v>
      </c>
      <c r="G39" s="34" t="s">
        <v>223</v>
      </c>
      <c r="I39" s="101" t="s">
        <v>225</v>
      </c>
      <c r="J39" s="102"/>
      <c r="K39" s="103"/>
      <c r="L39" s="101" t="s">
        <v>226</v>
      </c>
      <c r="M39" s="103"/>
      <c r="O39" s="95" t="s">
        <v>227</v>
      </c>
      <c r="P39" s="96"/>
      <c r="Q39" s="96"/>
      <c r="R39" s="96"/>
      <c r="S39" s="97"/>
      <c r="T39" s="95" t="s">
        <v>228</v>
      </c>
      <c r="U39" s="97"/>
    </row>
    <row r="40" spans="1:21">
      <c r="A40" s="46" t="s">
        <v>101</v>
      </c>
      <c r="B40" s="10" t="s">
        <v>3</v>
      </c>
      <c r="D40" s="10" t="str">
        <f>IF(INDEX($A$3:$B$19,MATCH(D3,$A$3:$A$19,0),2)&lt;&gt;0,INDEX($A$3:$B$19,MATCH(D3,$A$3:$A$19,0),2),D3)</f>
        <v>comando_logistico</v>
      </c>
      <c r="E40" s="10" t="str">
        <f>IF(INDEX($A$40:$B$54,MATCH(E3,$A$40:$A$54,0),2)&lt;&gt;0,INDEX($A$40:$B$54,MATCH(E3,$A$40:$A$54,0),2),E3)</f>
        <v>c2rm:responsible_for</v>
      </c>
      <c r="F40" s="10" t="str">
        <f>IF(INDEX($A$3:$B$19,MATCH(F3,$A$3:$A$19,0),2)&lt;&gt;0,INDEX($A$3:$B$19,MATCH(F3,$A$3:$A$19,0),2),F3)</f>
        <v>comandos_operacionais</v>
      </c>
      <c r="G40" s="3" t="str">
        <f>IF(INDEX($A$3:$B$19,MATCH(F3,$A$3:$A$19,0),2)&lt;&gt;0,"OK","NOK")</f>
        <v>OK</v>
      </c>
      <c r="I40" s="10" t="str">
        <f t="shared" ref="I40:I56" si="1">D40 &amp;"-"&amp;F40</f>
        <v>comando_logistico-comandos_operacionais</v>
      </c>
      <c r="J40" s="10"/>
      <c r="K40" s="10"/>
      <c r="L40" s="3" t="e">
        <f>IF(INDEX(GRAFO!$L$2:'GRAFO'!$L$41,MATCH(I40,GRAFO!$L$2:'GRAFO'!$L$41,0),1)&lt;&gt;0,1,0)</f>
        <v>#N/A</v>
      </c>
      <c r="M40" s="3">
        <f>IFERROR(L40,0)</f>
        <v>0</v>
      </c>
      <c r="O40" s="10" t="str">
        <f t="shared" ref="O40:O56" si="2">D40 &amp; "-" &amp; E40 &amp; "-" &amp; F40</f>
        <v>comando_logistico-c2rm:responsible_for-comandos_operacionais</v>
      </c>
      <c r="P40" s="10"/>
      <c r="Q40" s="10"/>
      <c r="R40" s="10"/>
      <c r="S40" s="10"/>
      <c r="T40" s="10" t="e">
        <f>IF(INDEX(GRAFO!$M$2:'GRAFO'!$M$41,MATCH(O40,GRAFO!$M$2:'GRAFO'!$M$41,0),1)&lt;&gt;0,1,0)</f>
        <v>#N/A</v>
      </c>
      <c r="U40" s="10">
        <f>IFERROR(T40,0)</f>
        <v>0</v>
      </c>
    </row>
    <row r="41" spans="1:21">
      <c r="A41" s="46" t="s">
        <v>168</v>
      </c>
      <c r="B41" s="10" t="s">
        <v>5</v>
      </c>
      <c r="D41" s="10" t="str">
        <f t="shared" ref="D41:D56" si="3">IF(INDEX($A$3:$B$19,MATCH(D4,$A$3:$A$19,0),2)&lt;&gt;0,INDEX($A$3:$B$19,MATCH(D4,$A$3:$A$19,0),2),D4)</f>
        <v>dmed</v>
      </c>
      <c r="E41" s="10" t="str">
        <f t="shared" ref="E41:E56" si="4">IF(INDEX($A$40:$B$54,MATCH(E4,$A$40:$A$54,0),2)&lt;&gt;0,INDEX($A$40:$B$54,MATCH(E4,$A$40:$A$54,0),2),E4)</f>
        <v>rdfs:seeAlso</v>
      </c>
      <c r="F41" s="10" t="str">
        <f t="shared" ref="F41:F56" si="5">IF(INDEX($A$3:$B$19,MATCH(F4,$A$3:$A$19,0),2)&lt;&gt;0,INDEX($A$3:$B$19,MATCH(F4,$A$3:$A$19,0),2),F4)</f>
        <v>comandos_operacionais</v>
      </c>
      <c r="G41" s="3" t="str">
        <f t="shared" ref="G41:G56" si="6">IF(INDEX($A$3:$B$19,MATCH(F4,$A$3:$A$19,0),2)&lt;&gt;0,"OK","NOK")</f>
        <v>OK</v>
      </c>
      <c r="I41" s="10" t="str">
        <f t="shared" si="1"/>
        <v>dmed-comandos_operacionais</v>
      </c>
      <c r="J41" s="10"/>
      <c r="K41" s="10"/>
      <c r="L41" s="3" t="e">
        <f>IF(INDEX(GRAFO!$L$2:'GRAFO'!$L$41,MATCH(I41,GRAFO!$L$2:'GRAFO'!$L$41,0),1)&lt;&gt;0,1,0)</f>
        <v>#N/A</v>
      </c>
      <c r="M41" s="3">
        <f t="shared" ref="M41:M56" si="7">IFERROR(L41,0)</f>
        <v>0</v>
      </c>
      <c r="O41" s="10" t="str">
        <f t="shared" si="2"/>
        <v>dmed-rdfs:seeAlso-comandos_operacionais</v>
      </c>
      <c r="P41" s="10"/>
      <c r="Q41" s="10"/>
      <c r="R41" s="10"/>
      <c r="S41" s="10"/>
      <c r="T41" s="10" t="e">
        <f>IF(INDEX(GRAFO!$M$2:'GRAFO'!$M$41,MATCH(O41,GRAFO!$M$2:'GRAFO'!$M$41,0),1)&lt;&gt;0,1,0)</f>
        <v>#N/A</v>
      </c>
      <c r="U41" s="10">
        <f t="shared" ref="U41:U56" si="8">IFERROR(T41,0)</f>
        <v>0</v>
      </c>
    </row>
    <row r="42" spans="1:21">
      <c r="A42" s="46" t="s">
        <v>294</v>
      </c>
      <c r="B42" s="10" t="s">
        <v>4</v>
      </c>
      <c r="D42" s="10" t="str">
        <f t="shared" si="3"/>
        <v>ministerio_da_defesa</v>
      </c>
      <c r="E42" s="10" t="str">
        <f t="shared" si="4"/>
        <v>rdfs:seeAlso</v>
      </c>
      <c r="F42" s="10" t="str">
        <f t="shared" si="5"/>
        <v>dmed</v>
      </c>
      <c r="G42" s="3" t="str">
        <f t="shared" si="6"/>
        <v>NOK</v>
      </c>
      <c r="I42" s="10" t="str">
        <f t="shared" si="1"/>
        <v>ministerio_da_defesa-dmed</v>
      </c>
      <c r="J42" s="10"/>
      <c r="K42" s="10"/>
      <c r="L42" s="3" t="e">
        <f>IF(INDEX(GRAFO!$L$2:'GRAFO'!$L$41,MATCH(I42,GRAFO!$L$2:'GRAFO'!$L$41,0),1)&lt;&gt;0,1,0)</f>
        <v>#N/A</v>
      </c>
      <c r="M42" s="3">
        <f t="shared" si="7"/>
        <v>0</v>
      </c>
      <c r="O42" s="10" t="str">
        <f t="shared" si="2"/>
        <v>ministerio_da_defesa-rdfs:seeAlso-dmed</v>
      </c>
      <c r="P42" s="10"/>
      <c r="Q42" s="10"/>
      <c r="R42" s="10"/>
      <c r="S42" s="10"/>
      <c r="T42" s="10" t="e">
        <f>IF(INDEX(GRAFO!$M$2:'GRAFO'!$M$41,MATCH(O42,GRAFO!$M$2:'GRAFO'!$M$41,0),1)&lt;&gt;0,1,0)</f>
        <v>#N/A</v>
      </c>
      <c r="U42" s="10">
        <f t="shared" si="8"/>
        <v>0</v>
      </c>
    </row>
    <row r="43" spans="1:21">
      <c r="A43" s="46" t="s">
        <v>374</v>
      </c>
      <c r="B43" s="10" t="s">
        <v>7</v>
      </c>
      <c r="D43" s="10" t="str">
        <f t="shared" si="3"/>
        <v>ministerio_da_defesa</v>
      </c>
      <c r="E43" s="10" t="str">
        <f t="shared" si="4"/>
        <v>rdfs:seeAlso</v>
      </c>
      <c r="F43" s="10" t="str">
        <f t="shared" si="5"/>
        <v>comando_supremo</v>
      </c>
      <c r="G43" s="3" t="str">
        <f t="shared" si="6"/>
        <v>OK</v>
      </c>
      <c r="I43" s="10" t="str">
        <f t="shared" si="1"/>
        <v>ministerio_da_defesa-comando_supremo</v>
      </c>
      <c r="J43" s="10"/>
      <c r="K43" s="10"/>
      <c r="L43" s="3" t="e">
        <f>IF(INDEX(GRAFO!$L$2:'GRAFO'!$L$41,MATCH(I43,GRAFO!$L$2:'GRAFO'!$L$41,0),1)&lt;&gt;0,1,0)</f>
        <v>#N/A</v>
      </c>
      <c r="M43" s="3">
        <f t="shared" si="7"/>
        <v>0</v>
      </c>
      <c r="O43" s="10" t="str">
        <f t="shared" si="2"/>
        <v>ministerio_da_defesa-rdfs:seeAlso-comando_supremo</v>
      </c>
      <c r="P43" s="10"/>
      <c r="Q43" s="10"/>
      <c r="R43" s="10"/>
      <c r="S43" s="10"/>
      <c r="T43" s="10" t="e">
        <f>IF(INDEX(GRAFO!$M$2:'GRAFO'!$M$41,MATCH(O43,GRAFO!$M$2:'GRAFO'!$M$41,0),1)&lt;&gt;0,1,0)</f>
        <v>#N/A</v>
      </c>
      <c r="U43" s="10">
        <f t="shared" si="8"/>
        <v>0</v>
      </c>
    </row>
    <row r="44" spans="1:21">
      <c r="A44" s="46" t="s">
        <v>327</v>
      </c>
      <c r="B44" s="10" t="s">
        <v>4</v>
      </c>
      <c r="D44" s="10" t="str">
        <f t="shared" si="3"/>
        <v>comando_supremo</v>
      </c>
      <c r="E44" s="10" t="str">
        <f t="shared" si="4"/>
        <v>rdfs:seeAlso</v>
      </c>
      <c r="F44" s="10" t="str">
        <f t="shared" si="5"/>
        <v>dped</v>
      </c>
      <c r="G44" s="3" t="str">
        <f t="shared" si="6"/>
        <v>NOK</v>
      </c>
      <c r="I44" s="10" t="str">
        <f t="shared" si="1"/>
        <v>comando_supremo-dped</v>
      </c>
      <c r="J44" s="10"/>
      <c r="K44" s="10"/>
      <c r="L44" s="3" t="e">
        <f>IF(INDEX(GRAFO!$L$2:'GRAFO'!$L$41,MATCH(I44,GRAFO!$L$2:'GRAFO'!$L$41,0),1)&lt;&gt;0,1,0)</f>
        <v>#N/A</v>
      </c>
      <c r="M44" s="3">
        <f t="shared" si="7"/>
        <v>0</v>
      </c>
      <c r="O44" s="10" t="str">
        <f t="shared" si="2"/>
        <v>comando_supremo-rdfs:seeAlso-dped</v>
      </c>
      <c r="P44" s="10"/>
      <c r="Q44" s="10"/>
      <c r="R44" s="10"/>
      <c r="S44" s="10"/>
      <c r="T44" s="10" t="e">
        <f>IF(INDEX(GRAFO!$M$2:'GRAFO'!$M$41,MATCH(O44,GRAFO!$M$2:'GRAFO'!$M$41,0),1)&lt;&gt;0,1,0)</f>
        <v>#N/A</v>
      </c>
      <c r="U44" s="10">
        <f t="shared" si="8"/>
        <v>0</v>
      </c>
    </row>
    <row r="45" spans="1:21">
      <c r="A45" s="46" t="s">
        <v>375</v>
      </c>
      <c r="B45" s="10" t="s">
        <v>4</v>
      </c>
      <c r="D45" s="10" t="str">
        <f t="shared" si="3"/>
        <v>comandos_operacionais</v>
      </c>
      <c r="E45" s="10" t="str">
        <f t="shared" si="4"/>
        <v>c2rm:responsible_for</v>
      </c>
      <c r="F45" s="10" t="str">
        <f t="shared" si="5"/>
        <v>operacao_conjunta</v>
      </c>
      <c r="G45" s="3" t="str">
        <f t="shared" si="6"/>
        <v>OK</v>
      </c>
      <c r="H45">
        <f>COUNTIFS(GRAFO!C2:C42,"=D34",GRAFO!E2:E42,"=F34")</f>
        <v>0</v>
      </c>
      <c r="I45" s="10" t="str">
        <f t="shared" si="1"/>
        <v>comandos_operacionais-operacao_conjunta</v>
      </c>
      <c r="J45" s="10"/>
      <c r="K45" s="10"/>
      <c r="L45" s="3" t="e">
        <f>IF(INDEX(GRAFO!$L$2:'GRAFO'!$L$41,MATCH(I45,GRAFO!$L$2:'GRAFO'!$L$41,0),1)&lt;&gt;0,1,0)</f>
        <v>#N/A</v>
      </c>
      <c r="M45" s="3">
        <f t="shared" si="7"/>
        <v>0</v>
      </c>
      <c r="O45" s="10" t="str">
        <f t="shared" si="2"/>
        <v>comandos_operacionais-c2rm:responsible_for-operacao_conjunta</v>
      </c>
      <c r="P45" s="10"/>
      <c r="Q45" s="10"/>
      <c r="R45" s="10"/>
      <c r="S45" s="10"/>
      <c r="T45" s="10" t="e">
        <f>IF(INDEX(GRAFO!$M$2:'GRAFO'!$M$41,MATCH(O45,GRAFO!$M$2:'GRAFO'!$M$41,0),1)&lt;&gt;0,1,0)</f>
        <v>#N/A</v>
      </c>
      <c r="U45" s="10">
        <f t="shared" si="8"/>
        <v>0</v>
      </c>
    </row>
    <row r="46" spans="1:21">
      <c r="A46" s="46" t="s">
        <v>242</v>
      </c>
      <c r="B46" s="10" t="s">
        <v>7</v>
      </c>
      <c r="D46" s="10" t="str">
        <f t="shared" si="3"/>
        <v>operacao_conjunta</v>
      </c>
      <c r="E46" s="10" t="str">
        <f t="shared" si="4"/>
        <v>rdfs:seeAlso</v>
      </c>
      <c r="F46" s="10" t="str">
        <f t="shared" si="5"/>
        <v>obj_est</v>
      </c>
      <c r="G46" s="3" t="str">
        <f t="shared" si="6"/>
        <v>NOK</v>
      </c>
      <c r="I46" s="10" t="str">
        <f t="shared" si="1"/>
        <v>operacao_conjunta-obj_est</v>
      </c>
      <c r="J46" s="10"/>
      <c r="K46" s="10"/>
      <c r="L46" s="3" t="e">
        <f>IF(INDEX(GRAFO!$L$2:'GRAFO'!$L$41,MATCH(I46,GRAFO!$L$2:'GRAFO'!$L$41,0),1)&lt;&gt;0,1,0)</f>
        <v>#N/A</v>
      </c>
      <c r="M46" s="3">
        <f t="shared" si="7"/>
        <v>0</v>
      </c>
      <c r="O46" s="10" t="str">
        <f t="shared" si="2"/>
        <v>operacao_conjunta-rdfs:seeAlso-obj_est</v>
      </c>
      <c r="P46" s="10"/>
      <c r="Q46" s="10"/>
      <c r="R46" s="10"/>
      <c r="S46" s="10"/>
      <c r="T46" s="10" t="e">
        <f>IF(INDEX(GRAFO!$M$2:'GRAFO'!$M$41,MATCH(O46,GRAFO!$M$2:'GRAFO'!$M$41,0),1)&lt;&gt;0,1,0)</f>
        <v>#N/A</v>
      </c>
      <c r="U46" s="10">
        <f t="shared" si="8"/>
        <v>0</v>
      </c>
    </row>
    <row r="47" spans="1:21">
      <c r="A47" s="46" t="s">
        <v>376</v>
      </c>
      <c r="B47" s="10" t="s">
        <v>7</v>
      </c>
      <c r="C47" s="24"/>
      <c r="D47" s="10" t="str">
        <f t="shared" si="3"/>
        <v>operacao_conjunta</v>
      </c>
      <c r="E47" s="10" t="str">
        <f t="shared" si="4"/>
        <v>rdfs:seeAlso</v>
      </c>
      <c r="F47" s="10" t="str">
        <f t="shared" si="5"/>
        <v>forcas_armadas</v>
      </c>
      <c r="G47" s="3" t="str">
        <f t="shared" si="6"/>
        <v>OK</v>
      </c>
      <c r="I47" s="10" t="str">
        <f t="shared" si="1"/>
        <v>operacao_conjunta-forcas_armadas</v>
      </c>
      <c r="J47" s="10"/>
      <c r="K47" s="10"/>
      <c r="L47" s="3" t="e">
        <f>IF(INDEX(GRAFO!$L$2:'GRAFO'!$L$41,MATCH(I47,GRAFO!$L$2:'GRAFO'!$L$41,0),1)&lt;&gt;0,1,0)</f>
        <v>#N/A</v>
      </c>
      <c r="M47" s="3">
        <f t="shared" si="7"/>
        <v>0</v>
      </c>
      <c r="O47" s="10" t="str">
        <f t="shared" si="2"/>
        <v>operacao_conjunta-rdfs:seeAlso-forcas_armadas</v>
      </c>
      <c r="P47" s="10"/>
      <c r="Q47" s="10"/>
      <c r="R47" s="10"/>
      <c r="S47" s="10"/>
      <c r="T47" s="10" t="e">
        <f>IF(INDEX(GRAFO!$M$2:'GRAFO'!$M$41,MATCH(O47,GRAFO!$M$2:'GRAFO'!$M$41,0),1)&lt;&gt;0,1,0)</f>
        <v>#N/A</v>
      </c>
      <c r="U47" s="10">
        <f t="shared" si="8"/>
        <v>0</v>
      </c>
    </row>
    <row r="48" spans="1:21">
      <c r="A48" s="46" t="s">
        <v>377</v>
      </c>
      <c r="B48" s="10" t="s">
        <v>4</v>
      </c>
      <c r="C48" s="9" t="str">
        <f t="shared" ref="C48:C63" si="9">IF(INDEX($A$3:$B$18,MATCH(D3,$A$3:$A$17,0),2)&lt;&gt;0,"OK","NOK")</f>
        <v>NOK</v>
      </c>
      <c r="D48" s="10" t="str">
        <f t="shared" si="3"/>
        <v>marinha</v>
      </c>
      <c r="E48" s="10" t="str">
        <f t="shared" si="4"/>
        <v>rdfs:subClassOf</v>
      </c>
      <c r="F48" s="10" t="str">
        <f t="shared" si="5"/>
        <v>forcas_armadas</v>
      </c>
      <c r="G48" s="3" t="str">
        <f t="shared" si="6"/>
        <v>OK</v>
      </c>
      <c r="I48" s="10" t="str">
        <f t="shared" si="1"/>
        <v>marinha-forcas_armadas</v>
      </c>
      <c r="J48" s="10"/>
      <c r="K48" s="10"/>
      <c r="L48" s="3">
        <f>IF(INDEX(GRAFO!$L$2:'GRAFO'!$L$41,MATCH(I48,GRAFO!$L$2:'GRAFO'!$L$41,0),1)&lt;&gt;0,1,0)</f>
        <v>1</v>
      </c>
      <c r="M48" s="3">
        <f t="shared" si="7"/>
        <v>1</v>
      </c>
      <c r="O48" s="10" t="str">
        <f t="shared" si="2"/>
        <v>marinha-rdfs:subClassOf-forcas_armadas</v>
      </c>
      <c r="P48" s="10"/>
      <c r="Q48" s="10"/>
      <c r="R48" s="10"/>
      <c r="S48" s="10"/>
      <c r="T48" s="10">
        <f>IF(INDEX(GRAFO!$M$2:'GRAFO'!$M$41,MATCH(O48,GRAFO!$M$2:'GRAFO'!$M$41,0),1)&lt;&gt;0,1,0)</f>
        <v>1</v>
      </c>
      <c r="U48" s="10">
        <f t="shared" si="8"/>
        <v>1</v>
      </c>
    </row>
    <row r="49" spans="1:21">
      <c r="A49" s="46" t="s">
        <v>245</v>
      </c>
      <c r="B49" s="10" t="s">
        <v>4</v>
      </c>
      <c r="C49" s="9" t="str">
        <f t="shared" si="9"/>
        <v>NOK</v>
      </c>
      <c r="D49" s="10" t="str">
        <f t="shared" si="3"/>
        <v>exercito</v>
      </c>
      <c r="E49" s="10" t="str">
        <f t="shared" si="4"/>
        <v>rdfs:subClassOf</v>
      </c>
      <c r="F49" s="10" t="str">
        <f t="shared" si="5"/>
        <v>forcas_armadas</v>
      </c>
      <c r="G49" s="3" t="str">
        <f t="shared" si="6"/>
        <v>OK</v>
      </c>
      <c r="I49" s="10" t="str">
        <f t="shared" si="1"/>
        <v>exercito-forcas_armadas</v>
      </c>
      <c r="J49" s="10"/>
      <c r="K49" s="10"/>
      <c r="L49" s="3">
        <f>IF(INDEX(GRAFO!$L$2:'GRAFO'!$L$41,MATCH(I49,GRAFO!$L$2:'GRAFO'!$L$41,0),1)&lt;&gt;0,1,0)</f>
        <v>1</v>
      </c>
      <c r="M49" s="3">
        <f t="shared" si="7"/>
        <v>1</v>
      </c>
      <c r="O49" s="10" t="str">
        <f t="shared" si="2"/>
        <v>exercito-rdfs:subClassOf-forcas_armadas</v>
      </c>
      <c r="P49" s="10"/>
      <c r="Q49" s="10"/>
      <c r="R49" s="10"/>
      <c r="S49" s="10"/>
      <c r="T49" s="10">
        <f>IF(INDEX(GRAFO!$M$2:'GRAFO'!$M$41,MATCH(O49,GRAFO!$M$2:'GRAFO'!$M$41,0),1)&lt;&gt;0,1,0)</f>
        <v>1</v>
      </c>
      <c r="U49" s="10">
        <f t="shared" si="8"/>
        <v>1</v>
      </c>
    </row>
    <row r="50" spans="1:21">
      <c r="A50" s="46" t="s">
        <v>246</v>
      </c>
      <c r="B50" s="10" t="s">
        <v>4</v>
      </c>
      <c r="C50" s="9" t="str">
        <f t="shared" si="9"/>
        <v>NOK</v>
      </c>
      <c r="D50" s="10" t="str">
        <f t="shared" si="3"/>
        <v>aeronautica</v>
      </c>
      <c r="E50" s="10" t="str">
        <f t="shared" si="4"/>
        <v>rdfs:subClassOf</v>
      </c>
      <c r="F50" s="10" t="str">
        <f t="shared" si="5"/>
        <v>forcas_armadas</v>
      </c>
      <c r="G50" s="3" t="str">
        <f t="shared" si="6"/>
        <v>OK</v>
      </c>
      <c r="I50" s="10" t="str">
        <f t="shared" si="1"/>
        <v>aeronautica-forcas_armadas</v>
      </c>
      <c r="J50" s="10"/>
      <c r="K50" s="10"/>
      <c r="L50" s="3">
        <f>IF(INDEX(GRAFO!$L$2:'GRAFO'!$L$41,MATCH(I50,GRAFO!$L$2:'GRAFO'!$L$41,0),1)&lt;&gt;0,1,0)</f>
        <v>1</v>
      </c>
      <c r="M50" s="3">
        <f t="shared" si="7"/>
        <v>1</v>
      </c>
      <c r="O50" s="10" t="str">
        <f t="shared" si="2"/>
        <v>aeronautica-rdfs:subClassOf-forcas_armadas</v>
      </c>
      <c r="P50" s="10"/>
      <c r="Q50" s="10"/>
      <c r="R50" s="10"/>
      <c r="S50" s="10"/>
      <c r="T50" s="10">
        <f>IF(INDEX(GRAFO!$M$2:'GRAFO'!$M$41,MATCH(O50,GRAFO!$M$2:'GRAFO'!$M$41,0),1)&lt;&gt;0,1,0)</f>
        <v>1</v>
      </c>
      <c r="U50" s="10">
        <f t="shared" si="8"/>
        <v>1</v>
      </c>
    </row>
    <row r="51" spans="1:21">
      <c r="A51" s="46" t="s">
        <v>378</v>
      </c>
      <c r="B51" s="10" t="s">
        <v>4</v>
      </c>
      <c r="C51" s="9" t="str">
        <f t="shared" si="9"/>
        <v>NOK</v>
      </c>
      <c r="D51" s="10" t="str">
        <f t="shared" si="3"/>
        <v>forca_componente</v>
      </c>
      <c r="E51" s="10" t="str">
        <f t="shared" si="4"/>
        <v>rdfs:seeAlso</v>
      </c>
      <c r="F51" s="10" t="str">
        <f t="shared" si="5"/>
        <v>forcas_armadas</v>
      </c>
      <c r="G51" s="3" t="str">
        <f t="shared" si="6"/>
        <v>OK</v>
      </c>
      <c r="I51" s="10" t="str">
        <f t="shared" si="1"/>
        <v>forca_componente-forcas_armadas</v>
      </c>
      <c r="J51" s="10"/>
      <c r="K51" s="10"/>
      <c r="L51" s="3" t="e">
        <f>IF(INDEX(GRAFO!$L$2:'GRAFO'!$L$41,MATCH(I51,GRAFO!$L$2:'GRAFO'!$L$41,0),1)&lt;&gt;0,1,0)</f>
        <v>#N/A</v>
      </c>
      <c r="M51" s="3">
        <f t="shared" si="7"/>
        <v>0</v>
      </c>
      <c r="O51" s="10" t="str">
        <f t="shared" si="2"/>
        <v>forca_componente-rdfs:seeAlso-forcas_armadas</v>
      </c>
      <c r="P51" s="10"/>
      <c r="Q51" s="10"/>
      <c r="R51" s="10"/>
      <c r="S51" s="10"/>
      <c r="T51" s="10" t="e">
        <f>IF(INDEX(GRAFO!$M$2:'GRAFO'!$M$41,MATCH(O51,GRAFO!$M$2:'GRAFO'!$M$41,0),1)&lt;&gt;0,1,0)</f>
        <v>#N/A</v>
      </c>
      <c r="U51" s="10">
        <f t="shared" si="8"/>
        <v>0</v>
      </c>
    </row>
    <row r="52" spans="1:21">
      <c r="A52" s="46" t="s">
        <v>142</v>
      </c>
      <c r="B52" s="10" t="s">
        <v>7</v>
      </c>
      <c r="C52" s="9" t="str">
        <f t="shared" si="9"/>
        <v>OK</v>
      </c>
      <c r="D52" s="10" t="str">
        <f t="shared" si="3"/>
        <v>c_f_cte</v>
      </c>
      <c r="E52" s="10" t="str">
        <f t="shared" si="4"/>
        <v>c2rm:responsible_for</v>
      </c>
      <c r="F52" s="10" t="str">
        <f t="shared" si="5"/>
        <v>forca_componente</v>
      </c>
      <c r="G52" s="3" t="str">
        <f t="shared" si="6"/>
        <v>OK</v>
      </c>
      <c r="I52" s="10" t="str">
        <f t="shared" si="1"/>
        <v>c_f_cte-forca_componente</v>
      </c>
      <c r="J52" s="10"/>
      <c r="K52" s="10"/>
      <c r="L52" s="3" t="e">
        <f>IF(INDEX(GRAFO!$L$2:'GRAFO'!$L$41,MATCH(I52,GRAFO!$L$2:'GRAFO'!$L$41,0),1)&lt;&gt;0,1,0)</f>
        <v>#N/A</v>
      </c>
      <c r="M52" s="3">
        <f t="shared" si="7"/>
        <v>0</v>
      </c>
      <c r="O52" s="10" t="str">
        <f t="shared" si="2"/>
        <v>c_f_cte-c2rm:responsible_for-forca_componente</v>
      </c>
      <c r="P52" s="10"/>
      <c r="Q52" s="10"/>
      <c r="R52" s="10"/>
      <c r="S52" s="10"/>
      <c r="T52" s="10" t="e">
        <f>IF(INDEX(GRAFO!$M$2:'GRAFO'!$M$41,MATCH(O52,GRAFO!$M$2:'GRAFO'!$M$41,0),1)&lt;&gt;0,1,0)</f>
        <v>#N/A</v>
      </c>
      <c r="U52" s="10">
        <f t="shared" si="8"/>
        <v>0</v>
      </c>
    </row>
    <row r="53" spans="1:21">
      <c r="A53" s="46" t="s">
        <v>379</v>
      </c>
      <c r="B53" s="10" t="s">
        <v>4</v>
      </c>
      <c r="C53" s="9" t="str">
        <f t="shared" si="9"/>
        <v>OK</v>
      </c>
      <c r="D53" s="10" t="str">
        <f t="shared" si="3"/>
        <v>c_f_cte</v>
      </c>
      <c r="E53" s="10" t="str">
        <f t="shared" si="4"/>
        <v>rdfs:seeAlso</v>
      </c>
      <c r="F53" s="10" t="str">
        <f t="shared" si="5"/>
        <v>ar</v>
      </c>
      <c r="G53" s="3" t="str">
        <f t="shared" si="6"/>
        <v>NOK</v>
      </c>
      <c r="I53" s="10" t="str">
        <f t="shared" si="1"/>
        <v>c_f_cte-ar</v>
      </c>
      <c r="J53" s="10"/>
      <c r="K53" s="10"/>
      <c r="L53" s="3" t="e">
        <f>IF(INDEX(GRAFO!$L$2:'GRAFO'!$L$41,MATCH(I53,GRAFO!$L$2:'GRAFO'!$L$41,0),1)&lt;&gt;0,1,0)</f>
        <v>#N/A</v>
      </c>
      <c r="M53" s="3">
        <f t="shared" si="7"/>
        <v>0</v>
      </c>
      <c r="O53" s="10" t="str">
        <f t="shared" si="2"/>
        <v>c_f_cte-rdfs:seeAlso-ar</v>
      </c>
      <c r="P53" s="10"/>
      <c r="Q53" s="10"/>
      <c r="R53" s="10"/>
      <c r="S53" s="10"/>
      <c r="T53" s="10" t="e">
        <f>IF(INDEX(GRAFO!$M$2:'GRAFO'!$M$41,MATCH(O53,GRAFO!$M$2:'GRAFO'!$M$41,0),1)&lt;&gt;0,1,0)</f>
        <v>#N/A</v>
      </c>
      <c r="U53" s="10">
        <f t="shared" si="8"/>
        <v>0</v>
      </c>
    </row>
    <row r="54" spans="1:21">
      <c r="A54" s="46" t="s">
        <v>141</v>
      </c>
      <c r="B54" s="10" t="s">
        <v>4</v>
      </c>
      <c r="C54" s="9" t="str">
        <f t="shared" si="9"/>
        <v>OK</v>
      </c>
      <c r="D54" s="10" t="str">
        <f t="shared" si="3"/>
        <v>c_f_cte</v>
      </c>
      <c r="E54" s="10" t="str">
        <f t="shared" si="4"/>
        <v>c2rm:applied_to</v>
      </c>
      <c r="F54" s="10" t="str">
        <f t="shared" si="5"/>
        <v>missao</v>
      </c>
      <c r="G54" s="3" t="str">
        <f t="shared" si="6"/>
        <v>NOK</v>
      </c>
      <c r="I54" s="10" t="str">
        <f t="shared" si="1"/>
        <v>c_f_cte-missao</v>
      </c>
      <c r="J54" s="10"/>
      <c r="K54" s="10"/>
      <c r="L54" s="3" t="e">
        <f>IF(INDEX(GRAFO!$L$2:'GRAFO'!$L$41,MATCH(I54,GRAFO!$L$2:'GRAFO'!$L$41,0),1)&lt;&gt;0,1,0)</f>
        <v>#N/A</v>
      </c>
      <c r="M54" s="3">
        <f t="shared" si="7"/>
        <v>0</v>
      </c>
      <c r="O54" s="10" t="str">
        <f t="shared" si="2"/>
        <v>c_f_cte-c2rm:applied_to-missao</v>
      </c>
      <c r="P54" s="10"/>
      <c r="Q54" s="10"/>
      <c r="R54" s="10"/>
      <c r="S54" s="10"/>
      <c r="T54" s="10" t="e">
        <f>IF(INDEX(GRAFO!$M$2:'GRAFO'!$M$41,MATCH(O54,GRAFO!$M$2:'GRAFO'!$M$41,0),1)&lt;&gt;0,1,0)</f>
        <v>#N/A</v>
      </c>
      <c r="U54" s="10">
        <f t="shared" si="8"/>
        <v>0</v>
      </c>
    </row>
    <row r="55" spans="1:21">
      <c r="A55" s="46"/>
      <c r="B55" s="10"/>
      <c r="C55" s="9" t="str">
        <f t="shared" si="9"/>
        <v>OK</v>
      </c>
      <c r="D55" s="10" t="str">
        <f t="shared" si="3"/>
        <v>obj_op</v>
      </c>
      <c r="E55" s="10" t="str">
        <f t="shared" si="4"/>
        <v>rdfs:seeAlso</v>
      </c>
      <c r="F55" s="10" t="str">
        <f t="shared" si="5"/>
        <v>missao</v>
      </c>
      <c r="G55" s="3" t="str">
        <f t="shared" si="6"/>
        <v>NOK</v>
      </c>
      <c r="I55" s="10" t="str">
        <f t="shared" si="1"/>
        <v>obj_op-missao</v>
      </c>
      <c r="J55" s="10"/>
      <c r="K55" s="10"/>
      <c r="L55" s="3" t="e">
        <f>IF(INDEX(GRAFO!$L$2:'GRAFO'!$L$41,MATCH(I55,GRAFO!$L$2:'GRAFO'!$L$41,0),1)&lt;&gt;0,1,0)</f>
        <v>#N/A</v>
      </c>
      <c r="M55" s="3">
        <f t="shared" si="7"/>
        <v>0</v>
      </c>
      <c r="O55" s="10" t="str">
        <f t="shared" si="2"/>
        <v>obj_op-rdfs:seeAlso-missao</v>
      </c>
      <c r="P55" s="10"/>
      <c r="Q55" s="10"/>
      <c r="R55" s="10"/>
      <c r="S55" s="10"/>
      <c r="T55" s="10" t="e">
        <f>IF(INDEX(GRAFO!$M$2:'GRAFO'!$M$41,MATCH(O55,GRAFO!$M$2:'GRAFO'!$M$41,0),1)&lt;&gt;0,1,0)</f>
        <v>#N/A</v>
      </c>
      <c r="U55" s="10">
        <f t="shared" si="8"/>
        <v>0</v>
      </c>
    </row>
    <row r="56" spans="1:21">
      <c r="A56" s="10"/>
      <c r="B56" s="10"/>
      <c r="C56" s="9" t="str">
        <f t="shared" si="9"/>
        <v>OK</v>
      </c>
      <c r="D56" s="10" t="str">
        <f t="shared" si="3"/>
        <v>comandos_operacionais</v>
      </c>
      <c r="E56" s="10" t="str">
        <f t="shared" si="4"/>
        <v>c2rm:responsible_for</v>
      </c>
      <c r="F56" s="10" t="str">
        <f t="shared" si="5"/>
        <v>obj_op</v>
      </c>
      <c r="G56" s="3" t="str">
        <f t="shared" si="6"/>
        <v>NOK</v>
      </c>
      <c r="I56" s="10" t="str">
        <f t="shared" si="1"/>
        <v>comandos_operacionais-obj_op</v>
      </c>
      <c r="J56" s="10"/>
      <c r="K56" s="10"/>
      <c r="L56" s="3" t="e">
        <f>IF(INDEX(GRAFO!$L$2:'GRAFO'!$L$41,MATCH(I56,GRAFO!$L$2:'GRAFO'!$L$41,0),1)&lt;&gt;0,1,0)</f>
        <v>#N/A</v>
      </c>
      <c r="M56" s="3">
        <f t="shared" si="7"/>
        <v>0</v>
      </c>
      <c r="O56" s="10" t="str">
        <f t="shared" si="2"/>
        <v>comandos_operacionais-c2rm:responsible_for-obj_op</v>
      </c>
      <c r="P56" s="10"/>
      <c r="Q56" s="10"/>
      <c r="R56" s="10"/>
      <c r="S56" s="10"/>
      <c r="T56" s="10" t="e">
        <f>IF(INDEX(GRAFO!$M$2:'GRAFO'!$M$41,MATCH(O56,GRAFO!$M$2:'GRAFO'!$M$41,0),1)&lt;&gt;0,1,0)</f>
        <v>#N/A</v>
      </c>
      <c r="U56" s="10">
        <f t="shared" si="8"/>
        <v>0</v>
      </c>
    </row>
    <row r="57" spans="1:21">
      <c r="C57" s="9" t="str">
        <f t="shared" si="9"/>
        <v>OK</v>
      </c>
      <c r="D57" s="10"/>
      <c r="E57" s="10"/>
      <c r="F57" s="10"/>
      <c r="G57" s="3"/>
      <c r="I57" s="10"/>
      <c r="J57" s="10"/>
      <c r="K57" s="10"/>
      <c r="L57" s="3"/>
      <c r="M57" s="3"/>
      <c r="O57" s="10"/>
      <c r="P57" s="10"/>
      <c r="Q57" s="10"/>
      <c r="R57" s="10"/>
      <c r="S57" s="10"/>
      <c r="T57" s="10"/>
      <c r="U57" s="10"/>
    </row>
    <row r="58" spans="1:21">
      <c r="C58" s="9" t="str">
        <f t="shared" si="9"/>
        <v>OK</v>
      </c>
      <c r="D58" s="10"/>
      <c r="E58" s="10"/>
      <c r="F58" s="10"/>
      <c r="G58" s="3"/>
      <c r="I58" s="10"/>
      <c r="J58" s="10"/>
      <c r="K58" s="10"/>
      <c r="L58" s="3"/>
      <c r="M58" s="3"/>
      <c r="O58" s="10"/>
      <c r="P58" s="10"/>
      <c r="Q58" s="10"/>
      <c r="R58" s="10"/>
      <c r="S58" s="10"/>
      <c r="T58" s="10"/>
      <c r="U58" s="10"/>
    </row>
    <row r="59" spans="1:21">
      <c r="C59" s="9" t="str">
        <f t="shared" si="9"/>
        <v>OK</v>
      </c>
      <c r="D59" s="10"/>
      <c r="E59" s="10"/>
      <c r="F59" s="10"/>
      <c r="G59" s="3"/>
      <c r="I59" s="10"/>
      <c r="J59" s="10"/>
      <c r="K59" s="10"/>
      <c r="L59" s="3"/>
      <c r="M59" s="3"/>
      <c r="O59" s="10"/>
      <c r="P59" s="10"/>
      <c r="Q59" s="10"/>
      <c r="R59" s="10"/>
      <c r="S59" s="10"/>
      <c r="T59" s="10"/>
      <c r="U59" s="10"/>
    </row>
    <row r="60" spans="1:21">
      <c r="C60" s="9" t="str">
        <f t="shared" si="9"/>
        <v>NOK</v>
      </c>
      <c r="D60" s="10"/>
      <c r="E60" s="10"/>
      <c r="F60" s="10"/>
      <c r="G60" s="3"/>
      <c r="I60" s="10"/>
      <c r="J60" s="10"/>
      <c r="K60" s="10"/>
      <c r="L60" s="3"/>
      <c r="M60" s="3"/>
      <c r="O60" s="10"/>
      <c r="P60" s="10"/>
      <c r="Q60" s="10"/>
      <c r="R60" s="10"/>
      <c r="S60" s="10"/>
      <c r="T60" s="10"/>
      <c r="U60" s="10"/>
    </row>
    <row r="61" spans="1:21">
      <c r="C61" s="9" t="str">
        <f t="shared" si="9"/>
        <v>NOK</v>
      </c>
      <c r="D61" s="10"/>
      <c r="E61" s="10"/>
      <c r="F61" s="10"/>
      <c r="G61" s="3"/>
      <c r="I61" s="10"/>
      <c r="J61" s="10"/>
      <c r="K61" s="10"/>
      <c r="L61" s="3"/>
      <c r="M61" s="3"/>
      <c r="O61" s="10"/>
      <c r="P61" s="10"/>
      <c r="Q61" s="10"/>
      <c r="R61" s="10"/>
      <c r="S61" s="10"/>
      <c r="T61" s="10"/>
      <c r="U61" s="10"/>
    </row>
    <row r="62" spans="1:21">
      <c r="C62" s="9" t="str">
        <f t="shared" si="9"/>
        <v>NOK</v>
      </c>
      <c r="D62" s="10"/>
      <c r="E62" s="10"/>
      <c r="F62" s="10"/>
      <c r="G62" s="3"/>
      <c r="I62" s="10"/>
      <c r="J62" s="10"/>
      <c r="K62" s="10"/>
      <c r="L62" s="3"/>
      <c r="M62" s="3"/>
      <c r="O62" s="10"/>
      <c r="P62" s="10"/>
      <c r="Q62" s="10"/>
      <c r="R62" s="10"/>
      <c r="S62" s="10"/>
      <c r="T62" s="10"/>
      <c r="U62" s="10"/>
    </row>
    <row r="63" spans="1:21">
      <c r="C63" s="9" t="e">
        <f t="shared" si="9"/>
        <v>#N/A</v>
      </c>
      <c r="D63" s="10"/>
      <c r="E63" s="10"/>
      <c r="F63" s="10"/>
      <c r="G63" s="3"/>
      <c r="I63" s="10"/>
      <c r="J63" s="10"/>
      <c r="K63" s="10"/>
      <c r="L63" s="3"/>
      <c r="M63" s="3"/>
      <c r="O63" s="10"/>
      <c r="P63" s="10"/>
      <c r="Q63" s="10"/>
      <c r="R63" s="10"/>
      <c r="S63" s="10"/>
      <c r="T63" s="10"/>
      <c r="U63" s="10"/>
    </row>
    <row r="64" spans="1:21">
      <c r="D64" s="10"/>
      <c r="E64" s="10"/>
      <c r="F64" s="10"/>
      <c r="G64" s="3"/>
      <c r="I64" s="10"/>
      <c r="J64" s="10"/>
      <c r="K64" s="10"/>
      <c r="L64" s="3"/>
      <c r="M64" s="3"/>
      <c r="O64" s="10"/>
      <c r="P64" s="10"/>
      <c r="Q64" s="10"/>
      <c r="R64" s="10"/>
      <c r="S64" s="10"/>
      <c r="T64" s="10"/>
      <c r="U64" s="10"/>
    </row>
    <row r="65" spans="4:21">
      <c r="D65" s="10"/>
      <c r="E65" s="10"/>
      <c r="F65" s="10"/>
      <c r="G65" s="3"/>
      <c r="I65" s="10"/>
      <c r="J65" s="10"/>
      <c r="K65" s="10"/>
      <c r="L65" s="3"/>
      <c r="M65" s="3"/>
      <c r="O65" s="10"/>
      <c r="P65" s="10"/>
      <c r="Q65" s="10"/>
      <c r="R65" s="10"/>
      <c r="S65" s="10"/>
      <c r="T65" s="10"/>
      <c r="U65" s="10"/>
    </row>
    <row r="66" spans="4:21">
      <c r="D66" s="10"/>
      <c r="E66" s="10"/>
      <c r="F66" s="10"/>
      <c r="G66" s="3"/>
      <c r="I66" s="10"/>
      <c r="J66" s="10"/>
      <c r="K66" s="10"/>
      <c r="L66" s="3"/>
      <c r="M66" s="3"/>
      <c r="O66" s="10"/>
      <c r="P66" s="10"/>
      <c r="Q66" s="10"/>
      <c r="R66" s="10"/>
      <c r="S66" s="10"/>
      <c r="T66" s="10"/>
      <c r="U66" s="10"/>
    </row>
    <row r="67" spans="4:21">
      <c r="D67" s="10"/>
      <c r="E67" s="10"/>
      <c r="F67" s="10"/>
      <c r="G67" s="3"/>
      <c r="I67" s="10"/>
      <c r="J67" s="10"/>
      <c r="K67" s="10"/>
      <c r="L67" s="3"/>
      <c r="M67" s="3"/>
      <c r="O67" s="10"/>
      <c r="P67" s="10"/>
      <c r="Q67" s="10"/>
      <c r="R67" s="10"/>
      <c r="S67" s="10"/>
      <c r="T67" s="10"/>
      <c r="U67" s="10"/>
    </row>
    <row r="68" spans="4:21">
      <c r="D68" s="10"/>
      <c r="E68" s="10"/>
      <c r="F68" s="10"/>
      <c r="G68" s="3"/>
      <c r="I68" s="10"/>
      <c r="J68" s="10"/>
      <c r="K68" s="10"/>
      <c r="L68" s="3"/>
      <c r="M68" s="3"/>
      <c r="O68" s="10"/>
      <c r="P68" s="10"/>
      <c r="Q68" s="10"/>
      <c r="R68" s="10"/>
      <c r="S68" s="10"/>
      <c r="T68" s="10"/>
      <c r="U68" s="10"/>
    </row>
    <row r="69" spans="4:21">
      <c r="D69" s="10"/>
      <c r="E69" s="10"/>
      <c r="F69" s="10"/>
      <c r="G69" s="3"/>
      <c r="I69" s="10"/>
      <c r="J69" s="10"/>
      <c r="K69" s="10"/>
      <c r="L69" s="3"/>
      <c r="M69" s="3"/>
      <c r="O69" s="10"/>
      <c r="P69" s="10"/>
      <c r="Q69" s="10"/>
      <c r="R69" s="10"/>
      <c r="S69" s="10"/>
      <c r="T69" s="10"/>
      <c r="U69" s="10"/>
    </row>
    <row r="70" spans="4:21">
      <c r="D70" s="10"/>
      <c r="E70" s="10"/>
      <c r="F70" s="10"/>
      <c r="G70" s="3"/>
      <c r="I70" s="10"/>
      <c r="J70" s="10"/>
      <c r="K70" s="10"/>
      <c r="L70" s="3"/>
      <c r="M70" s="3"/>
      <c r="O70" s="10"/>
      <c r="P70" s="10"/>
      <c r="Q70" s="10"/>
      <c r="R70" s="10"/>
      <c r="S70" s="10"/>
      <c r="T70" s="10"/>
      <c r="U70" s="10"/>
    </row>
    <row r="71" spans="4:21">
      <c r="D71" s="10"/>
      <c r="E71" s="10"/>
      <c r="F71" s="10"/>
      <c r="G71" s="3"/>
      <c r="I71" s="10"/>
      <c r="J71" s="10"/>
      <c r="K71" s="10"/>
      <c r="L71" s="3"/>
      <c r="M71" s="3"/>
      <c r="O71" s="10"/>
      <c r="P71" s="10"/>
      <c r="Q71" s="10"/>
      <c r="R71" s="10"/>
      <c r="S71" s="10"/>
      <c r="T71" s="10"/>
      <c r="U71" s="10"/>
    </row>
    <row r="72" spans="4:21">
      <c r="D72" s="10"/>
      <c r="E72" s="10"/>
      <c r="F72" s="10"/>
      <c r="G72" s="3"/>
      <c r="I72" s="10"/>
      <c r="J72" s="10"/>
      <c r="K72" s="10"/>
      <c r="L72" s="3"/>
      <c r="M72" s="3"/>
      <c r="O72" s="10"/>
      <c r="P72" s="10"/>
      <c r="Q72" s="10"/>
      <c r="R72" s="10"/>
      <c r="S72" s="10"/>
      <c r="T72" s="10"/>
      <c r="U72" s="10"/>
    </row>
    <row r="73" spans="4:21">
      <c r="D73" s="10"/>
      <c r="E73" s="10"/>
      <c r="F73" s="10"/>
      <c r="G73" s="3"/>
      <c r="I73" s="10"/>
      <c r="J73" s="10"/>
      <c r="K73" s="10"/>
      <c r="L73" s="3"/>
      <c r="M73" s="3"/>
      <c r="O73" s="10"/>
      <c r="P73" s="10"/>
      <c r="Q73" s="10"/>
      <c r="R73" s="10"/>
      <c r="S73" s="10"/>
      <c r="T73" s="10"/>
      <c r="U73" s="10"/>
    </row>
  </sheetData>
  <mergeCells count="10">
    <mergeCell ref="I39:K39"/>
    <mergeCell ref="L39:M39"/>
    <mergeCell ref="O39:S39"/>
    <mergeCell ref="T39:U39"/>
    <mergeCell ref="A1:B1"/>
    <mergeCell ref="D1:F1"/>
    <mergeCell ref="K4:K5"/>
    <mergeCell ref="D38:G38"/>
    <mergeCell ref="I38:M38"/>
    <mergeCell ref="O38:U38"/>
  </mergeCells>
  <dataValidations count="10">
    <dataValidation type="list" allowBlank="1" showInputMessage="1" showErrorMessage="1" sqref="F38:G38">
      <formula1>$A$3:$A$27</formula1>
    </dataValidation>
    <dataValidation type="list" allowBlank="1" showInputMessage="1" showErrorMessage="1" sqref="B3:C37">
      <formula1>$Y$3:$Y$39</formula1>
    </dataValidation>
    <dataValidation type="list" allowBlank="1" showInputMessage="1" showErrorMessage="1" sqref="H3:H44 G3:G37">
      <formula1>$A$3:$A$22</formula1>
    </dataValidation>
    <dataValidation type="list" allowBlank="1" showInputMessage="1" showErrorMessage="1" sqref="B40:B56">
      <formula1>$AE$2:$AE$12</formula1>
    </dataValidation>
    <dataValidation type="list" allowBlank="1" showInputMessage="1" showErrorMessage="1" sqref="D37 F37">
      <formula1>$A$3:$A$28</formula1>
    </dataValidation>
    <dataValidation type="list" allowBlank="1" showInputMessage="1" showErrorMessage="1" sqref="E37">
      <formula1>$A$40:$A$48</formula1>
    </dataValidation>
    <dataValidation type="list" allowBlank="1" showInputMessage="1" showErrorMessage="1" sqref="E3:E6 E8:E36">
      <formula1>$A$40:$A$53</formula1>
    </dataValidation>
    <dataValidation type="list" allowBlank="1" showInputMessage="1" showErrorMessage="1" sqref="D19:D36 D3:D17 F3:F18 F20:F36">
      <formula1>$A$3:$A$18</formula1>
    </dataValidation>
    <dataValidation type="list" allowBlank="1" showInputMessage="1" showErrorMessage="1" sqref="E7">
      <formula1>$A$40:$A$54</formula1>
    </dataValidation>
    <dataValidation type="list" allowBlank="1" showInputMessage="1" showErrorMessage="1" sqref="D18 F19">
      <formula1>$A$3:$A$19</formula1>
    </dataValidation>
  </dataValidation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E73"/>
  <sheetViews>
    <sheetView topLeftCell="O1" zoomScale="130" zoomScaleNormal="130" workbookViewId="0">
      <selection activeCell="X4" sqref="X4:X7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9" t="s">
        <v>184</v>
      </c>
      <c r="AD2" s="9" t="s">
        <v>195</v>
      </c>
      <c r="AE2" s="9" t="s">
        <v>35</v>
      </c>
    </row>
    <row r="3" spans="1:31" ht="16.75">
      <c r="A3" s="46" t="s">
        <v>9</v>
      </c>
      <c r="B3" s="10" t="s">
        <v>9</v>
      </c>
      <c r="D3" s="10" t="s">
        <v>9</v>
      </c>
      <c r="E3" s="10" t="s">
        <v>141</v>
      </c>
      <c r="F3" s="10" t="s">
        <v>47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s="16" t="s">
        <v>33</v>
      </c>
      <c r="AC3" s="9" t="s">
        <v>185</v>
      </c>
      <c r="AD3" s="9" t="s">
        <v>196</v>
      </c>
      <c r="AE3" s="9" t="s">
        <v>4</v>
      </c>
    </row>
    <row r="4" spans="1:31" ht="16.75">
      <c r="A4" s="46" t="s">
        <v>49</v>
      </c>
      <c r="B4" s="10"/>
      <c r="D4" s="10" t="s">
        <v>47</v>
      </c>
      <c r="E4" s="10" t="s">
        <v>294</v>
      </c>
      <c r="F4" s="10" t="s">
        <v>46</v>
      </c>
      <c r="K4" s="85" t="s">
        <v>80</v>
      </c>
      <c r="L4" s="8" t="s">
        <v>0</v>
      </c>
      <c r="M4" s="4">
        <f>GRAFO!J2</f>
        <v>29</v>
      </c>
      <c r="N4" s="11">
        <f>COUNTA(A3:A28)</f>
        <v>26</v>
      </c>
      <c r="O4" s="11">
        <f>COUNTIF(B3:B28,"&lt;&gt;"&amp;"")</f>
        <v>13</v>
      </c>
      <c r="P4" s="2">
        <f>N4-R4</f>
        <v>13</v>
      </c>
      <c r="Q4" s="2">
        <f>M4-O4</f>
        <v>16</v>
      </c>
      <c r="R4" s="2">
        <f>N4-O4</f>
        <v>13</v>
      </c>
      <c r="S4" s="2">
        <f>O4+P4</f>
        <v>26</v>
      </c>
      <c r="T4" s="2">
        <f>Q4+R4</f>
        <v>29</v>
      </c>
      <c r="U4" s="6">
        <f>O4/(O4+R4)</f>
        <v>0.5</v>
      </c>
      <c r="V4" s="6">
        <f>O4/(O4+Q4)</f>
        <v>0.44827586206896552</v>
      </c>
      <c r="W4" s="6">
        <f>(O4+P4)/(O4+P4+Q4+R4)</f>
        <v>0.47272727272727272</v>
      </c>
      <c r="X4" s="62">
        <f>AVERAGE(U4:W4)</f>
        <v>0.47366771159874604</v>
      </c>
      <c r="Y4" s="16" t="s">
        <v>21</v>
      </c>
      <c r="AC4" s="9" t="s">
        <v>186</v>
      </c>
      <c r="AD4" s="9" t="s">
        <v>197</v>
      </c>
      <c r="AE4" s="9" t="s">
        <v>205</v>
      </c>
    </row>
    <row r="5" spans="1:31" ht="16.75">
      <c r="A5" s="46" t="s">
        <v>47</v>
      </c>
      <c r="B5" s="10"/>
      <c r="D5" s="10" t="s">
        <v>46</v>
      </c>
      <c r="E5" s="10" t="s">
        <v>146</v>
      </c>
      <c r="F5" s="10" t="s">
        <v>362</v>
      </c>
      <c r="K5" s="85"/>
      <c r="L5" s="8" t="s">
        <v>100</v>
      </c>
      <c r="M5" s="5">
        <f>GRAFO!J3</f>
        <v>41</v>
      </c>
      <c r="N5" s="12">
        <f>COUNTA(D40:D64)</f>
        <v>25</v>
      </c>
      <c r="O5" s="12">
        <f>COUNTIF(M40:M64,"=1")</f>
        <v>4</v>
      </c>
      <c r="P5" s="2">
        <f>N5-R5</f>
        <v>4</v>
      </c>
      <c r="Q5" s="2">
        <f>M5-O5</f>
        <v>37</v>
      </c>
      <c r="R5" s="2">
        <f>N5-O5</f>
        <v>21</v>
      </c>
      <c r="S5" s="2">
        <f>O5+P5</f>
        <v>8</v>
      </c>
      <c r="T5" s="2">
        <f>Q5+R5</f>
        <v>58</v>
      </c>
      <c r="U5" s="6">
        <f>O5/(O5+R5)</f>
        <v>0.16</v>
      </c>
      <c r="V5" s="6">
        <f>O5/(O5+Q5)</f>
        <v>9.7560975609756101E-2</v>
      </c>
      <c r="W5" s="6">
        <f>(O5+P5)/(O5+P5+Q5+R5)</f>
        <v>0.12121212121212122</v>
      </c>
      <c r="X5" s="62">
        <f t="shared" ref="X5:X6" si="0">AVERAGE(U5:W5)</f>
        <v>0.12625769894062577</v>
      </c>
      <c r="Y5" s="16" t="s">
        <v>17</v>
      </c>
      <c r="AC5" s="9" t="s">
        <v>187</v>
      </c>
      <c r="AD5" s="9" t="s">
        <v>198</v>
      </c>
      <c r="AE5" s="9" t="s">
        <v>3</v>
      </c>
    </row>
    <row r="6" spans="1:31" ht="16.75">
      <c r="A6" s="46" t="s">
        <v>123</v>
      </c>
      <c r="B6" s="10"/>
      <c r="D6" s="10" t="s">
        <v>233</v>
      </c>
      <c r="E6" s="10" t="s">
        <v>101</v>
      </c>
      <c r="F6" s="10" t="s">
        <v>362</v>
      </c>
      <c r="L6" s="8" t="s">
        <v>99</v>
      </c>
      <c r="M6" s="5">
        <v>41</v>
      </c>
      <c r="N6" s="12">
        <f>COUNTA(D40:D64)</f>
        <v>25</v>
      </c>
      <c r="O6" s="12">
        <f>COUNTIF(U40:U64,"=1")</f>
        <v>3</v>
      </c>
      <c r="P6" s="2">
        <f>N6-R6</f>
        <v>3</v>
      </c>
      <c r="Q6" s="2">
        <f>M6-O6</f>
        <v>38</v>
      </c>
      <c r="R6" s="2">
        <f>N6-O6</f>
        <v>22</v>
      </c>
      <c r="S6" s="2">
        <f>O6+P6</f>
        <v>6</v>
      </c>
      <c r="T6" s="2">
        <f>Q6+R6</f>
        <v>60</v>
      </c>
      <c r="U6" s="6">
        <f>O6/(O6+R6)</f>
        <v>0.12</v>
      </c>
      <c r="V6" s="6">
        <f>O6/(O6+Q6)</f>
        <v>7.3170731707317069E-2</v>
      </c>
      <c r="W6" s="6">
        <f>(O6+P6)/(O6+P6+Q6+R6)</f>
        <v>9.0909090909090912E-2</v>
      </c>
      <c r="X6" s="62">
        <f t="shared" si="0"/>
        <v>9.4693274205469316E-2</v>
      </c>
      <c r="Y6" s="16" t="s">
        <v>40</v>
      </c>
      <c r="AC6" s="9" t="s">
        <v>188</v>
      </c>
      <c r="AD6" s="9" t="s">
        <v>199</v>
      </c>
      <c r="AE6" s="9" t="s">
        <v>6</v>
      </c>
    </row>
    <row r="7" spans="1:31" ht="16.75">
      <c r="A7" s="46" t="s">
        <v>124</v>
      </c>
      <c r="B7" s="10"/>
      <c r="D7" s="10" t="s">
        <v>53</v>
      </c>
      <c r="E7" s="10" t="s">
        <v>101</v>
      </c>
      <c r="F7" s="10" t="s">
        <v>362</v>
      </c>
      <c r="X7" s="62">
        <f>AVERAGE(X4:X6)</f>
        <v>0.23153956158161373</v>
      </c>
      <c r="Y7" s="16" t="s">
        <v>13</v>
      </c>
      <c r="AC7" s="9" t="s">
        <v>189</v>
      </c>
      <c r="AD7" s="9" t="s">
        <v>200</v>
      </c>
      <c r="AE7" s="9" t="s">
        <v>206</v>
      </c>
    </row>
    <row r="8" spans="1:31" ht="16.75">
      <c r="A8" s="46" t="s">
        <v>382</v>
      </c>
      <c r="B8" s="10"/>
      <c r="D8" s="10" t="s">
        <v>59</v>
      </c>
      <c r="E8" s="10" t="s">
        <v>101</v>
      </c>
      <c r="F8" s="10" t="s">
        <v>362</v>
      </c>
      <c r="Y8" s="16" t="s">
        <v>39</v>
      </c>
      <c r="AC8" s="9" t="s">
        <v>190</v>
      </c>
      <c r="AD8" s="9" t="s">
        <v>148</v>
      </c>
      <c r="AE8" s="9" t="s">
        <v>36</v>
      </c>
    </row>
    <row r="9" spans="1:31" ht="16.75">
      <c r="A9" s="46" t="s">
        <v>383</v>
      </c>
      <c r="B9" s="10"/>
      <c r="D9" s="10" t="s">
        <v>384</v>
      </c>
      <c r="E9" s="10" t="s">
        <v>101</v>
      </c>
      <c r="F9" s="10" t="s">
        <v>362</v>
      </c>
      <c r="K9" t="s">
        <v>74</v>
      </c>
      <c r="L9" t="s">
        <v>75</v>
      </c>
      <c r="N9">
        <f>GRAFO!J2</f>
        <v>29</v>
      </c>
      <c r="Y9" s="16" t="s">
        <v>19</v>
      </c>
      <c r="AC9" s="9" t="s">
        <v>191</v>
      </c>
      <c r="AD9" s="9" t="s">
        <v>201</v>
      </c>
      <c r="AE9" s="9" t="s">
        <v>7</v>
      </c>
    </row>
    <row r="10" spans="1:31" ht="16.75">
      <c r="A10" s="46" t="s">
        <v>362</v>
      </c>
      <c r="B10" s="10" t="s">
        <v>13</v>
      </c>
      <c r="D10" s="10" t="s">
        <v>362</v>
      </c>
      <c r="E10" s="10" t="s">
        <v>139</v>
      </c>
      <c r="F10" s="10" t="s">
        <v>383</v>
      </c>
      <c r="K10" t="s">
        <v>80</v>
      </c>
      <c r="L10" t="s">
        <v>76</v>
      </c>
      <c r="N10">
        <f>N4</f>
        <v>26</v>
      </c>
      <c r="Y10" s="16" t="s">
        <v>37</v>
      </c>
      <c r="AC10" s="9" t="s">
        <v>192</v>
      </c>
      <c r="AD10" s="9" t="s">
        <v>202</v>
      </c>
      <c r="AE10" s="9" t="s">
        <v>207</v>
      </c>
    </row>
    <row r="11" spans="1:31" ht="16.75">
      <c r="A11" s="46" t="s">
        <v>46</v>
      </c>
      <c r="B11" s="10"/>
      <c r="D11" s="10" t="s">
        <v>62</v>
      </c>
      <c r="E11" s="10" t="s">
        <v>101</v>
      </c>
      <c r="F11" s="10" t="s">
        <v>383</v>
      </c>
      <c r="K11" t="s">
        <v>68</v>
      </c>
      <c r="L11" t="s">
        <v>77</v>
      </c>
      <c r="N11">
        <v>16</v>
      </c>
      <c r="Y11" s="16" t="s">
        <v>10</v>
      </c>
      <c r="AC11" s="9" t="s">
        <v>193</v>
      </c>
      <c r="AD11" s="9" t="s">
        <v>203</v>
      </c>
      <c r="AE11" s="9" t="s">
        <v>208</v>
      </c>
    </row>
    <row r="12" spans="1:31" ht="16.75">
      <c r="A12" s="46" t="s">
        <v>66</v>
      </c>
      <c r="B12" s="10" t="s">
        <v>22</v>
      </c>
      <c r="D12" s="10" t="s">
        <v>385</v>
      </c>
      <c r="E12" s="10" t="s">
        <v>101</v>
      </c>
      <c r="F12" s="10" t="s">
        <v>383</v>
      </c>
      <c r="K12" t="s">
        <v>70</v>
      </c>
      <c r="L12" t="s">
        <v>78</v>
      </c>
      <c r="M12" t="s">
        <v>86</v>
      </c>
      <c r="N12">
        <f>N9-N11</f>
        <v>13</v>
      </c>
      <c r="Y12" s="16" t="s">
        <v>14</v>
      </c>
      <c r="AC12" s="9" t="s">
        <v>194</v>
      </c>
      <c r="AD12" s="9" t="s">
        <v>204</v>
      </c>
      <c r="AE12" s="9" t="s">
        <v>5</v>
      </c>
    </row>
    <row r="13" spans="1:31" ht="16.75">
      <c r="A13" s="46" t="s">
        <v>233</v>
      </c>
      <c r="B13" s="10" t="s">
        <v>40</v>
      </c>
      <c r="D13" s="10" t="s">
        <v>292</v>
      </c>
      <c r="E13" s="10" t="s">
        <v>101</v>
      </c>
      <c r="F13" s="10" t="s">
        <v>383</v>
      </c>
      <c r="K13" t="s">
        <v>69</v>
      </c>
      <c r="L13" t="s">
        <v>79</v>
      </c>
      <c r="M13" t="s">
        <v>87</v>
      </c>
      <c r="Y13" s="16" t="s">
        <v>34</v>
      </c>
    </row>
    <row r="14" spans="1:31" ht="16.75">
      <c r="A14" s="46" t="s">
        <v>332</v>
      </c>
      <c r="B14" s="10" t="s">
        <v>28</v>
      </c>
      <c r="D14" s="10" t="s">
        <v>382</v>
      </c>
      <c r="E14" s="10" t="s">
        <v>381</v>
      </c>
      <c r="F14" s="10" t="s">
        <v>383</v>
      </c>
      <c r="K14" t="s">
        <v>83</v>
      </c>
      <c r="M14" t="s">
        <v>88</v>
      </c>
      <c r="Y14" s="16" t="s">
        <v>27</v>
      </c>
    </row>
    <row r="15" spans="1:31" ht="16.75">
      <c r="A15" s="46" t="s">
        <v>55</v>
      </c>
      <c r="B15" s="10" t="s">
        <v>32</v>
      </c>
      <c r="D15" s="10" t="s">
        <v>123</v>
      </c>
      <c r="E15" s="10" t="s">
        <v>101</v>
      </c>
      <c r="F15" s="10" t="s">
        <v>47</v>
      </c>
      <c r="K15" t="s">
        <v>89</v>
      </c>
      <c r="M15" t="s">
        <v>92</v>
      </c>
      <c r="Y15" s="16" t="s">
        <v>28</v>
      </c>
    </row>
    <row r="16" spans="1:31" ht="16.75">
      <c r="A16" s="46" t="s">
        <v>56</v>
      </c>
      <c r="B16" s="10" t="s">
        <v>34</v>
      </c>
      <c r="D16" s="10" t="s">
        <v>124</v>
      </c>
      <c r="E16" s="10" t="s">
        <v>101</v>
      </c>
      <c r="F16" s="10" t="s">
        <v>47</v>
      </c>
      <c r="K16" t="s">
        <v>90</v>
      </c>
      <c r="M16" t="s">
        <v>93</v>
      </c>
      <c r="Y16" s="16" t="s">
        <v>30</v>
      </c>
    </row>
    <row r="17" spans="1:25" ht="16.75">
      <c r="A17" s="46" t="s">
        <v>57</v>
      </c>
      <c r="B17" s="10" t="s">
        <v>33</v>
      </c>
      <c r="D17" s="10" t="s">
        <v>9</v>
      </c>
      <c r="E17" s="10" t="s">
        <v>142</v>
      </c>
      <c r="F17" s="10" t="s">
        <v>49</v>
      </c>
      <c r="K17" t="s">
        <v>91</v>
      </c>
      <c r="M17" t="s">
        <v>94</v>
      </c>
      <c r="Y17" s="16" t="s">
        <v>29</v>
      </c>
    </row>
    <row r="18" spans="1:25" ht="16.75">
      <c r="A18" s="46" t="s">
        <v>54</v>
      </c>
      <c r="B18" s="10" t="s">
        <v>31</v>
      </c>
      <c r="D18" s="10" t="s">
        <v>10</v>
      </c>
      <c r="E18" s="10" t="s">
        <v>101</v>
      </c>
      <c r="F18" s="10" t="s">
        <v>49</v>
      </c>
      <c r="K18" t="s">
        <v>84</v>
      </c>
      <c r="M18" t="s">
        <v>95</v>
      </c>
      <c r="Y18" s="16" t="s">
        <v>31</v>
      </c>
    </row>
    <row r="19" spans="1:25" ht="16.75">
      <c r="A19" s="46" t="s">
        <v>59</v>
      </c>
      <c r="B19" s="10"/>
      <c r="D19" s="10" t="s">
        <v>8</v>
      </c>
      <c r="E19" s="10" t="s">
        <v>101</v>
      </c>
      <c r="F19" s="10" t="s">
        <v>49</v>
      </c>
      <c r="K19" t="s">
        <v>85</v>
      </c>
      <c r="M19" t="s">
        <v>96</v>
      </c>
      <c r="Y19" s="16" t="s">
        <v>171</v>
      </c>
    </row>
    <row r="20" spans="1:25" ht="16.75">
      <c r="A20" s="46" t="s">
        <v>384</v>
      </c>
      <c r="B20" s="10"/>
      <c r="D20" s="10" t="s">
        <v>12</v>
      </c>
      <c r="E20" s="10" t="s">
        <v>101</v>
      </c>
      <c r="F20" s="10" t="s">
        <v>49</v>
      </c>
      <c r="K20" t="s">
        <v>97</v>
      </c>
      <c r="M20" t="s">
        <v>98</v>
      </c>
      <c r="Y20" s="16" t="s">
        <v>15</v>
      </c>
    </row>
    <row r="21" spans="1:25" ht="16.75">
      <c r="A21" s="46" t="s">
        <v>62</v>
      </c>
      <c r="B21" s="10"/>
      <c r="D21" s="10" t="s">
        <v>11</v>
      </c>
      <c r="E21" s="10" t="s">
        <v>101</v>
      </c>
      <c r="F21" s="10" t="s">
        <v>49</v>
      </c>
      <c r="Y21" s="16" t="s">
        <v>16</v>
      </c>
    </row>
    <row r="22" spans="1:25" ht="16.75">
      <c r="A22" s="46" t="s">
        <v>53</v>
      </c>
      <c r="B22" s="10"/>
      <c r="D22" s="10" t="s">
        <v>66</v>
      </c>
      <c r="E22" s="10" t="s">
        <v>242</v>
      </c>
      <c r="F22" s="10" t="s">
        <v>12</v>
      </c>
      <c r="Y22" s="16" t="s">
        <v>32</v>
      </c>
    </row>
    <row r="23" spans="1:25" ht="16.75">
      <c r="A23" s="46" t="s">
        <v>385</v>
      </c>
      <c r="B23" s="10"/>
      <c r="D23" s="10" t="s">
        <v>54</v>
      </c>
      <c r="E23" s="10" t="s">
        <v>380</v>
      </c>
      <c r="F23" s="10" t="s">
        <v>332</v>
      </c>
      <c r="Y23" s="16" t="s">
        <v>9</v>
      </c>
    </row>
    <row r="24" spans="1:25" ht="16.75">
      <c r="A24" s="46" t="s">
        <v>292</v>
      </c>
      <c r="B24" s="10"/>
      <c r="D24" s="10" t="s">
        <v>66</v>
      </c>
      <c r="E24" s="10" t="s">
        <v>105</v>
      </c>
      <c r="F24" s="10" t="s">
        <v>54</v>
      </c>
      <c r="Y24" s="16" t="s">
        <v>18</v>
      </c>
    </row>
    <row r="25" spans="1:25" ht="16.75">
      <c r="A25" s="46" t="s">
        <v>10</v>
      </c>
      <c r="B25" s="10" t="s">
        <v>10</v>
      </c>
      <c r="D25" s="10" t="s">
        <v>55</v>
      </c>
      <c r="E25" s="10" t="s">
        <v>101</v>
      </c>
      <c r="F25" s="10" t="s">
        <v>54</v>
      </c>
      <c r="Y25" s="16" t="s">
        <v>23</v>
      </c>
    </row>
    <row r="26" spans="1:25" ht="16.75">
      <c r="A26" s="46" t="s">
        <v>8</v>
      </c>
      <c r="B26" s="10" t="s">
        <v>8</v>
      </c>
      <c r="D26" s="10" t="s">
        <v>56</v>
      </c>
      <c r="E26" s="10" t="s">
        <v>101</v>
      </c>
      <c r="F26" s="10" t="s">
        <v>54</v>
      </c>
      <c r="Y26" s="16" t="s">
        <v>22</v>
      </c>
    </row>
    <row r="27" spans="1:25" ht="16.75">
      <c r="A27" s="46" t="s">
        <v>12</v>
      </c>
      <c r="B27" s="10" t="s">
        <v>12</v>
      </c>
      <c r="D27" s="10" t="s">
        <v>57</v>
      </c>
      <c r="E27" s="10" t="s">
        <v>101</v>
      </c>
      <c r="F27" s="10" t="s">
        <v>54</v>
      </c>
      <c r="Y27" s="16" t="s">
        <v>12</v>
      </c>
    </row>
    <row r="28" spans="1:25" ht="16.75">
      <c r="A28" s="46" t="s">
        <v>11</v>
      </c>
      <c r="B28" s="10" t="s">
        <v>11</v>
      </c>
      <c r="D28" s="10"/>
      <c r="E28" s="10"/>
      <c r="F28" s="10"/>
      <c r="Y28" s="16" t="s">
        <v>24</v>
      </c>
    </row>
    <row r="29" spans="1:25" ht="16.75">
      <c r="A29" s="46"/>
      <c r="B29" s="10"/>
      <c r="D29" s="10"/>
      <c r="E29" s="10"/>
      <c r="F29" s="10"/>
      <c r="Y29" s="16" t="s">
        <v>8</v>
      </c>
    </row>
    <row r="30" spans="1:25" ht="16.75">
      <c r="A30" s="46"/>
      <c r="B30" s="10"/>
      <c r="D30" s="10"/>
      <c r="E30" s="10"/>
      <c r="F30" s="10"/>
      <c r="Y30" s="16" t="s">
        <v>20</v>
      </c>
    </row>
    <row r="31" spans="1:25" ht="16.75">
      <c r="A31" s="46"/>
      <c r="B31" s="10"/>
      <c r="D31" s="10"/>
      <c r="E31" s="10"/>
      <c r="F31" s="10"/>
      <c r="Y31" s="16" t="s">
        <v>11</v>
      </c>
    </row>
    <row r="32" spans="1:25">
      <c r="A32" s="46"/>
      <c r="B32" s="10"/>
      <c r="D32" s="10"/>
      <c r="E32" s="10"/>
      <c r="F32" s="10"/>
    </row>
    <row r="33" spans="1:21">
      <c r="A33" s="10"/>
      <c r="B33" s="10"/>
      <c r="D33" s="10"/>
      <c r="E33" s="10"/>
      <c r="F33" s="10"/>
    </row>
    <row r="34" spans="1:21">
      <c r="A34" s="10"/>
      <c r="B34" s="10"/>
      <c r="D34" s="10"/>
      <c r="E34" s="10"/>
      <c r="F34" s="10"/>
    </row>
    <row r="35" spans="1:21">
      <c r="A35" s="10"/>
      <c r="B35" s="10"/>
      <c r="D35" s="10"/>
      <c r="E35" s="10"/>
      <c r="F35" s="10"/>
    </row>
    <row r="36" spans="1:21">
      <c r="A36" s="10"/>
      <c r="B36" s="10"/>
      <c r="D36" s="10"/>
      <c r="E36" s="10"/>
      <c r="F36" s="10"/>
    </row>
    <row r="37" spans="1:21">
      <c r="A37" s="10"/>
      <c r="B37" s="10"/>
    </row>
    <row r="38" spans="1:21">
      <c r="A38" s="30" t="s">
        <v>182</v>
      </c>
      <c r="B38" s="30"/>
      <c r="D38" s="104" t="s">
        <v>222</v>
      </c>
      <c r="E38" s="105"/>
      <c r="F38" s="105"/>
      <c r="G38" s="106"/>
      <c r="I38" s="98" t="s">
        <v>224</v>
      </c>
      <c r="J38" s="99"/>
      <c r="K38" s="99"/>
      <c r="L38" s="99"/>
      <c r="M38" s="100"/>
      <c r="O38" s="94" t="s">
        <v>229</v>
      </c>
      <c r="P38" s="94"/>
      <c r="Q38" s="94"/>
      <c r="R38" s="94"/>
      <c r="S38" s="94"/>
      <c r="T38" s="94"/>
      <c r="U38" s="94"/>
    </row>
    <row r="39" spans="1:21">
      <c r="A39" s="32" t="s">
        <v>251</v>
      </c>
      <c r="B39" s="33" t="s">
        <v>252</v>
      </c>
      <c r="D39" s="34" t="s">
        <v>220</v>
      </c>
      <c r="E39" s="34" t="s">
        <v>219</v>
      </c>
      <c r="F39" s="34" t="s">
        <v>221</v>
      </c>
      <c r="G39" s="34" t="s">
        <v>223</v>
      </c>
      <c r="I39" s="101" t="s">
        <v>225</v>
      </c>
      <c r="J39" s="102"/>
      <c r="K39" s="103"/>
      <c r="L39" s="101" t="s">
        <v>226</v>
      </c>
      <c r="M39" s="103"/>
      <c r="O39" s="95" t="s">
        <v>227</v>
      </c>
      <c r="P39" s="96"/>
      <c r="Q39" s="96"/>
      <c r="R39" s="96"/>
      <c r="S39" s="97"/>
      <c r="T39" s="95" t="s">
        <v>228</v>
      </c>
      <c r="U39" s="97"/>
    </row>
    <row r="40" spans="1:21">
      <c r="A40" s="46" t="s">
        <v>101</v>
      </c>
      <c r="B40" s="10" t="s">
        <v>3</v>
      </c>
      <c r="D40" s="10" t="str">
        <f>IF(INDEX($A$3:$B$28,MATCH(D3,$A$3:$A$28,0),2)&lt;&gt;0,INDEX($A$3:$B$28,MATCH(D3,$A$3:$A$28,0),2),D3)</f>
        <v>nivel</v>
      </c>
      <c r="E40" s="10" t="str">
        <f>IF(INDEX($A$40:$B$49,MATCH(E3,$A$40:$A$49,0),2)&lt;&gt;0,INDEX($A$40:$B$49,MATCH(E3,$A$40:$A$49,0),2),E3)</f>
        <v>rdfs:seeAlso</v>
      </c>
      <c r="F40" s="10" t="str">
        <f>IF(INDEX($A$3:$B$28,MATCH(F3,$A$3:$A$28,0),2)&lt;&gt;0,INDEX($A$3:$B$28,MATCH(F3,$A$3:$A$28,0),2),F3)</f>
        <v>diretriz</v>
      </c>
      <c r="G40" s="3" t="str">
        <f>IF(INDEX($A$3:$B$28,MATCH(F3,$A$3:$A$28,0),2)&lt;&gt;0,"OK","NOK")</f>
        <v>NOK</v>
      </c>
      <c r="I40" s="10" t="str">
        <f t="shared" ref="I40:I64" si="1">D40 &amp;"-"&amp;F40</f>
        <v>nivel-diretriz</v>
      </c>
      <c r="J40" s="10"/>
      <c r="K40" s="10"/>
      <c r="L40" s="3" t="e">
        <f>IF(INDEX(GRAFO!$L$2:'GRAFO'!$L$41,MATCH(I40,GRAFO!$L$2:'GRAFO'!$L$41,0),1)&lt;&gt;0,1,0)</f>
        <v>#N/A</v>
      </c>
      <c r="M40" s="3">
        <f>IFERROR(L40,0)</f>
        <v>0</v>
      </c>
      <c r="O40" s="10" t="str">
        <f t="shared" ref="O40:O64" si="2">D40 &amp; "-" &amp; E40 &amp; "-" &amp; F40</f>
        <v>nivel-rdfs:seeAlso-diretriz</v>
      </c>
      <c r="P40" s="10"/>
      <c r="Q40" s="10"/>
      <c r="R40" s="10"/>
      <c r="S40" s="10"/>
      <c r="T40" s="10" t="e">
        <f>IF(INDEX(GRAFO!$M$2:'GRAFO'!$M$41,MATCH(O40,GRAFO!$M$2:'GRAFO'!$M$41,0),1)&lt;&gt;0,1,0)</f>
        <v>#N/A</v>
      </c>
      <c r="U40" s="10">
        <f>IFERROR(T40,0)</f>
        <v>0</v>
      </c>
    </row>
    <row r="41" spans="1:21">
      <c r="A41" s="46" t="s">
        <v>142</v>
      </c>
      <c r="B41" s="10" t="s">
        <v>4</v>
      </c>
      <c r="D41" s="10" t="str">
        <f t="shared" ref="D41:D64" si="3">IF(INDEX($A$3:$B$28,MATCH(D4,$A$3:$A$28,0),2)&lt;&gt;0,INDEX($A$3:$B$28,MATCH(D4,$A$3:$A$28,0),2),D4)</f>
        <v>diretriz</v>
      </c>
      <c r="E41" s="10" t="str">
        <f t="shared" ref="E41:E64" si="4">IF(INDEX($A$40:$B$49,MATCH(E4,$A$40:$A$49,0),2)&lt;&gt;0,INDEX($A$40:$B$49,MATCH(E4,$A$40:$A$49,0),2),E4)</f>
        <v>rdfs:seeAlso</v>
      </c>
      <c r="F41" s="10" t="str">
        <f t="shared" ref="F41:F64" si="5">IF(INDEX($A$3:$B$28,MATCH(F4,$A$3:$A$28,0),2)&lt;&gt;0,INDEX($A$3:$B$28,MATCH(F4,$A$3:$A$28,0),2),F4)</f>
        <v>plano</v>
      </c>
      <c r="G41" s="3" t="str">
        <f t="shared" ref="G41:G64" si="6">IF(INDEX($A$3:$B$28,MATCH(F4,$A$3:$A$28,0),2)&lt;&gt;0,"OK","NOK")</f>
        <v>NOK</v>
      </c>
      <c r="I41" s="10" t="str">
        <f t="shared" si="1"/>
        <v>diretriz-plano</v>
      </c>
      <c r="J41" s="10"/>
      <c r="K41" s="10"/>
      <c r="L41" s="3" t="e">
        <f>IF(INDEX(GRAFO!$L$2:'GRAFO'!$L$41,MATCH(I41,GRAFO!$L$2:'GRAFO'!$L$41,0),1)&lt;&gt;0,1,0)</f>
        <v>#N/A</v>
      </c>
      <c r="M41" s="3">
        <f t="shared" ref="M41:M64" si="7">IFERROR(L41,0)</f>
        <v>0</v>
      </c>
      <c r="O41" s="10" t="str">
        <f t="shared" si="2"/>
        <v>diretriz-rdfs:seeAlso-plano</v>
      </c>
      <c r="P41" s="10"/>
      <c r="Q41" s="10"/>
      <c r="R41" s="10"/>
      <c r="S41" s="10"/>
      <c r="T41" s="10" t="e">
        <f>IF(INDEX(GRAFO!$M$2:'GRAFO'!$M$41,MATCH(O41,GRAFO!$M$2:'GRAFO'!$M$41,0),1)&lt;&gt;0,1,0)</f>
        <v>#N/A</v>
      </c>
      <c r="U41" s="10">
        <f t="shared" ref="U41:U64" si="8">IFERROR(T41,0)</f>
        <v>0</v>
      </c>
    </row>
    <row r="42" spans="1:21">
      <c r="A42" s="46" t="s">
        <v>141</v>
      </c>
      <c r="B42" s="10" t="s">
        <v>4</v>
      </c>
      <c r="D42" s="10" t="str">
        <f t="shared" si="3"/>
        <v>plano</v>
      </c>
      <c r="E42" s="10" t="str">
        <f t="shared" si="4"/>
        <v>rdfs:seeAlso</v>
      </c>
      <c r="F42" s="10" t="str">
        <f t="shared" si="5"/>
        <v>comandos_operacionais</v>
      </c>
      <c r="G42" s="3" t="str">
        <f t="shared" si="6"/>
        <v>OK</v>
      </c>
      <c r="I42" s="10" t="str">
        <f t="shared" si="1"/>
        <v>plano-comandos_operacionais</v>
      </c>
      <c r="J42" s="10"/>
      <c r="K42" s="10"/>
      <c r="L42" s="3" t="e">
        <f>IF(INDEX(GRAFO!$L$2:'GRAFO'!$L$41,MATCH(I42,GRAFO!$L$2:'GRAFO'!$L$41,0),1)&lt;&gt;0,1,0)</f>
        <v>#N/A</v>
      </c>
      <c r="M42" s="3">
        <f t="shared" si="7"/>
        <v>0</v>
      </c>
      <c r="O42" s="10" t="str">
        <f t="shared" si="2"/>
        <v>plano-rdfs:seeAlso-comandos_operacionais</v>
      </c>
      <c r="P42" s="10"/>
      <c r="Q42" s="10"/>
      <c r="R42" s="10"/>
      <c r="S42" s="10"/>
      <c r="T42" s="10" t="e">
        <f>IF(INDEX(GRAFO!$M$2:'GRAFO'!$M$41,MATCH(O42,GRAFO!$M$2:'GRAFO'!$M$41,0),1)&lt;&gt;0,1,0)</f>
        <v>#N/A</v>
      </c>
      <c r="U42" s="10">
        <f t="shared" si="8"/>
        <v>0</v>
      </c>
    </row>
    <row r="43" spans="1:21">
      <c r="A43" s="46" t="s">
        <v>294</v>
      </c>
      <c r="B43" s="10" t="s">
        <v>4</v>
      </c>
      <c r="D43" s="10" t="str">
        <f t="shared" si="3"/>
        <v>comando_supremo</v>
      </c>
      <c r="E43" s="10" t="str">
        <f t="shared" si="4"/>
        <v>rdfs:subClassOf</v>
      </c>
      <c r="F43" s="10" t="str">
        <f t="shared" si="5"/>
        <v>comandos_operacionais</v>
      </c>
      <c r="G43" s="3" t="str">
        <f t="shared" si="6"/>
        <v>OK</v>
      </c>
      <c r="I43" s="10" t="str">
        <f t="shared" si="1"/>
        <v>comando_supremo-comandos_operacionais</v>
      </c>
      <c r="J43" s="10"/>
      <c r="K43" s="10"/>
      <c r="L43" s="3" t="e">
        <f>IF(INDEX(GRAFO!$L$2:'GRAFO'!$L$41,MATCH(I43,GRAFO!$L$2:'GRAFO'!$L$41,0),1)&lt;&gt;0,1,0)</f>
        <v>#N/A</v>
      </c>
      <c r="M43" s="3">
        <f t="shared" si="7"/>
        <v>0</v>
      </c>
      <c r="O43" s="10" t="str">
        <f t="shared" si="2"/>
        <v>comando_supremo-rdfs:subClassOf-comandos_operacionais</v>
      </c>
      <c r="P43" s="10"/>
      <c r="Q43" s="10"/>
      <c r="R43" s="10"/>
      <c r="S43" s="10"/>
      <c r="T43" s="10" t="e">
        <f>IF(INDEX(GRAFO!$M$2:'GRAFO'!$M$41,MATCH(O43,GRAFO!$M$2:'GRAFO'!$M$41,0),1)&lt;&gt;0,1,0)</f>
        <v>#N/A</v>
      </c>
      <c r="U43" s="10">
        <f t="shared" si="8"/>
        <v>0</v>
      </c>
    </row>
    <row r="44" spans="1:21">
      <c r="A44" s="46" t="s">
        <v>146</v>
      </c>
      <c r="B44" s="10" t="s">
        <v>4</v>
      </c>
      <c r="D44" s="10" t="str">
        <f t="shared" si="3"/>
        <v>md</v>
      </c>
      <c r="E44" s="10" t="str">
        <f t="shared" si="4"/>
        <v>rdfs:subClassOf</v>
      </c>
      <c r="F44" s="10" t="str">
        <f t="shared" si="5"/>
        <v>comandos_operacionais</v>
      </c>
      <c r="G44" s="3" t="str">
        <f t="shared" si="6"/>
        <v>OK</v>
      </c>
      <c r="I44" s="10" t="str">
        <f t="shared" si="1"/>
        <v>md-comandos_operacionais</v>
      </c>
      <c r="J44" s="10"/>
      <c r="K44" s="10"/>
      <c r="L44" s="3" t="e">
        <f>IF(INDEX(GRAFO!$L$2:'GRAFO'!$L$41,MATCH(I44,GRAFO!$L$2:'GRAFO'!$L$41,0),1)&lt;&gt;0,1,0)</f>
        <v>#N/A</v>
      </c>
      <c r="M44" s="3">
        <f t="shared" si="7"/>
        <v>0</v>
      </c>
      <c r="O44" s="10" t="str">
        <f t="shared" si="2"/>
        <v>md-rdfs:subClassOf-comandos_operacionais</v>
      </c>
      <c r="P44" s="10"/>
      <c r="Q44" s="10"/>
      <c r="R44" s="10"/>
      <c r="S44" s="10"/>
      <c r="T44" s="10" t="e">
        <f>IF(INDEX(GRAFO!$M$2:'GRAFO'!$M$41,MATCH(O44,GRAFO!$M$2:'GRAFO'!$M$41,0),1)&lt;&gt;0,1,0)</f>
        <v>#N/A</v>
      </c>
      <c r="U44" s="10">
        <f t="shared" si="8"/>
        <v>0</v>
      </c>
    </row>
    <row r="45" spans="1:21">
      <c r="A45" s="46" t="s">
        <v>380</v>
      </c>
      <c r="B45" s="10" t="s">
        <v>205</v>
      </c>
      <c r="D45" s="10" t="str">
        <f t="shared" si="3"/>
        <v>c_log</v>
      </c>
      <c r="E45" s="10" t="str">
        <f t="shared" si="4"/>
        <v>rdfs:subClassOf</v>
      </c>
      <c r="F45" s="10" t="str">
        <f t="shared" si="5"/>
        <v>comandos_operacionais</v>
      </c>
      <c r="G45" s="3" t="str">
        <f t="shared" si="6"/>
        <v>OK</v>
      </c>
      <c r="H45">
        <f>COUNTIFS(GRAFO!C2:C42,"=D34",GRAFO!E2:E42,"=F34")</f>
        <v>0</v>
      </c>
      <c r="I45" s="10" t="str">
        <f t="shared" si="1"/>
        <v>c_log-comandos_operacionais</v>
      </c>
      <c r="J45" s="10"/>
      <c r="K45" s="10"/>
      <c r="L45" s="3" t="e">
        <f>IF(INDEX(GRAFO!$L$2:'GRAFO'!$L$41,MATCH(I45,GRAFO!$L$2:'GRAFO'!$L$41,0),1)&lt;&gt;0,1,0)</f>
        <v>#N/A</v>
      </c>
      <c r="M45" s="3">
        <f t="shared" si="7"/>
        <v>0</v>
      </c>
      <c r="O45" s="10" t="str">
        <f t="shared" si="2"/>
        <v>c_log-rdfs:subClassOf-comandos_operacionais</v>
      </c>
      <c r="P45" s="10"/>
      <c r="Q45" s="10"/>
      <c r="R45" s="10"/>
      <c r="S45" s="10"/>
      <c r="T45" s="10" t="e">
        <f>IF(INDEX(GRAFO!$M$2:'GRAFO'!$M$41,MATCH(O45,GRAFO!$M$2:'GRAFO'!$M$41,0),1)&lt;&gt;0,1,0)</f>
        <v>#N/A</v>
      </c>
      <c r="U45" s="10">
        <f t="shared" si="8"/>
        <v>0</v>
      </c>
    </row>
    <row r="46" spans="1:21">
      <c r="A46" s="46" t="s">
        <v>242</v>
      </c>
      <c r="B46" s="10" t="s">
        <v>7</v>
      </c>
      <c r="D46" s="10" t="str">
        <f t="shared" si="3"/>
        <v>comando_f_cte</v>
      </c>
      <c r="E46" s="10" t="str">
        <f t="shared" si="4"/>
        <v>rdfs:subClassOf</v>
      </c>
      <c r="F46" s="10" t="str">
        <f t="shared" si="5"/>
        <v>comandos_operacionais</v>
      </c>
      <c r="G46" s="3" t="str">
        <f t="shared" si="6"/>
        <v>OK</v>
      </c>
      <c r="I46" s="10" t="str">
        <f t="shared" si="1"/>
        <v>comando_f_cte-comandos_operacionais</v>
      </c>
      <c r="J46" s="10"/>
      <c r="K46" s="10"/>
      <c r="L46" s="3" t="e">
        <f>IF(INDEX(GRAFO!$L$2:'GRAFO'!$L$41,MATCH(I46,GRAFO!$L$2:'GRAFO'!$L$41,0),1)&lt;&gt;0,1,0)</f>
        <v>#N/A</v>
      </c>
      <c r="M46" s="3">
        <f t="shared" si="7"/>
        <v>0</v>
      </c>
      <c r="O46" s="10" t="str">
        <f t="shared" si="2"/>
        <v>comando_f_cte-rdfs:subClassOf-comandos_operacionais</v>
      </c>
      <c r="P46" s="10"/>
      <c r="Q46" s="10"/>
      <c r="R46" s="10"/>
      <c r="S46" s="10"/>
      <c r="T46" s="10" t="e">
        <f>IF(INDEX(GRAFO!$M$2:'GRAFO'!$M$41,MATCH(O46,GRAFO!$M$2:'GRAFO'!$M$41,0),1)&lt;&gt;0,1,0)</f>
        <v>#N/A</v>
      </c>
      <c r="U46" s="10">
        <f t="shared" si="8"/>
        <v>0</v>
      </c>
    </row>
    <row r="47" spans="1:21">
      <c r="A47" s="46" t="s">
        <v>105</v>
      </c>
      <c r="B47" s="10" t="s">
        <v>7</v>
      </c>
      <c r="C47" s="24"/>
      <c r="D47" s="10" t="str">
        <f t="shared" si="3"/>
        <v>comandos_operacionais</v>
      </c>
      <c r="E47" s="10" t="str">
        <f t="shared" si="4"/>
        <v>c2rm:responsible_for</v>
      </c>
      <c r="F47" s="10" t="str">
        <f t="shared" si="5"/>
        <v>area</v>
      </c>
      <c r="G47" s="3" t="str">
        <f t="shared" si="6"/>
        <v>NOK</v>
      </c>
      <c r="I47" s="10" t="str">
        <f t="shared" si="1"/>
        <v>comandos_operacionais-area</v>
      </c>
      <c r="J47" s="10"/>
      <c r="K47" s="10"/>
      <c r="L47" s="3" t="e">
        <f>IF(INDEX(GRAFO!$L$2:'GRAFO'!$L$41,MATCH(I47,GRAFO!$L$2:'GRAFO'!$L$41,0),1)&lt;&gt;0,1,0)</f>
        <v>#N/A</v>
      </c>
      <c r="M47" s="3">
        <f t="shared" si="7"/>
        <v>0</v>
      </c>
      <c r="O47" s="10" t="str">
        <f t="shared" si="2"/>
        <v>comandos_operacionais-c2rm:responsible_for-area</v>
      </c>
      <c r="P47" s="10"/>
      <c r="Q47" s="10"/>
      <c r="R47" s="10"/>
      <c r="S47" s="10"/>
      <c r="T47" s="10" t="e">
        <f>IF(INDEX(GRAFO!$M$2:'GRAFO'!$M$41,MATCH(O47,GRAFO!$M$2:'GRAFO'!$M$41,0),1)&lt;&gt;0,1,0)</f>
        <v>#N/A</v>
      </c>
      <c r="U47" s="10">
        <f t="shared" si="8"/>
        <v>0</v>
      </c>
    </row>
    <row r="48" spans="1:21">
      <c r="A48" s="46" t="s">
        <v>139</v>
      </c>
      <c r="B48" s="10" t="s">
        <v>7</v>
      </c>
      <c r="C48" s="9" t="str">
        <f t="shared" ref="C48:C63" si="9">IF(INDEX($A$3:$B$18,MATCH(D3,$A$3:$A$17,0),2)&lt;&gt;0,"OK","NOK")</f>
        <v>OK</v>
      </c>
      <c r="D48" s="10" t="str">
        <f t="shared" si="3"/>
        <v>ar</v>
      </c>
      <c r="E48" s="10" t="str">
        <f t="shared" si="4"/>
        <v>rdfs:subClassOf</v>
      </c>
      <c r="F48" s="10" t="str">
        <f t="shared" si="5"/>
        <v>area</v>
      </c>
      <c r="G48" s="3" t="str">
        <f t="shared" si="6"/>
        <v>NOK</v>
      </c>
      <c r="I48" s="10" t="str">
        <f t="shared" si="1"/>
        <v>ar-area</v>
      </c>
      <c r="J48" s="10"/>
      <c r="K48" s="10"/>
      <c r="L48" s="3" t="e">
        <f>IF(INDEX(GRAFO!$L$2:'GRAFO'!$L$41,MATCH(I48,GRAFO!$L$2:'GRAFO'!$L$41,0),1)&lt;&gt;0,1,0)</f>
        <v>#N/A</v>
      </c>
      <c r="M48" s="3">
        <f t="shared" si="7"/>
        <v>0</v>
      </c>
      <c r="O48" s="10" t="str">
        <f t="shared" si="2"/>
        <v>ar-rdfs:subClassOf-area</v>
      </c>
      <c r="P48" s="10"/>
      <c r="Q48" s="10"/>
      <c r="R48" s="10"/>
      <c r="S48" s="10"/>
      <c r="T48" s="10" t="e">
        <f>IF(INDEX(GRAFO!$M$2:'GRAFO'!$M$41,MATCH(O48,GRAFO!$M$2:'GRAFO'!$M$41,0),1)&lt;&gt;0,1,0)</f>
        <v>#N/A</v>
      </c>
      <c r="U48" s="10">
        <f t="shared" si="8"/>
        <v>0</v>
      </c>
    </row>
    <row r="49" spans="1:21">
      <c r="A49" s="46" t="s">
        <v>381</v>
      </c>
      <c r="B49" s="10" t="s">
        <v>4</v>
      </c>
      <c r="C49" s="9" t="str">
        <f t="shared" si="9"/>
        <v>NOK</v>
      </c>
      <c r="D49" s="10" t="str">
        <f t="shared" si="3"/>
        <v>ai</v>
      </c>
      <c r="E49" s="10" t="str">
        <f t="shared" si="4"/>
        <v>rdfs:subClassOf</v>
      </c>
      <c r="F49" s="10" t="str">
        <f t="shared" si="5"/>
        <v>area</v>
      </c>
      <c r="G49" s="3" t="str">
        <f t="shared" si="6"/>
        <v>NOK</v>
      </c>
      <c r="I49" s="10" t="str">
        <f t="shared" si="1"/>
        <v>ai-area</v>
      </c>
      <c r="J49" s="10"/>
      <c r="K49" s="10"/>
      <c r="L49" s="3" t="e">
        <f>IF(INDEX(GRAFO!$L$2:'GRAFO'!$L$41,MATCH(I49,GRAFO!$L$2:'GRAFO'!$L$41,0),1)&lt;&gt;0,1,0)</f>
        <v>#N/A</v>
      </c>
      <c r="M49" s="3">
        <f t="shared" si="7"/>
        <v>0</v>
      </c>
      <c r="O49" s="10" t="str">
        <f t="shared" si="2"/>
        <v>ai-rdfs:subClassOf-area</v>
      </c>
      <c r="P49" s="10"/>
      <c r="Q49" s="10"/>
      <c r="R49" s="10"/>
      <c r="S49" s="10"/>
      <c r="T49" s="10" t="e">
        <f>IF(INDEX(GRAFO!$M$2:'GRAFO'!$M$41,MATCH(O49,GRAFO!$M$2:'GRAFO'!$M$41,0),1)&lt;&gt;0,1,0)</f>
        <v>#N/A</v>
      </c>
      <c r="U49" s="10">
        <f t="shared" si="8"/>
        <v>0</v>
      </c>
    </row>
    <row r="50" spans="1:21">
      <c r="A50" s="46"/>
      <c r="B50" s="10"/>
      <c r="C50" s="9" t="str">
        <f t="shared" si="9"/>
        <v>NOK</v>
      </c>
      <c r="D50" s="10" t="str">
        <f t="shared" si="3"/>
        <v>a_op</v>
      </c>
      <c r="E50" s="10" t="str">
        <f t="shared" si="4"/>
        <v>rdfs:subClassOf</v>
      </c>
      <c r="F50" s="10" t="str">
        <f t="shared" si="5"/>
        <v>area</v>
      </c>
      <c r="G50" s="3" t="str">
        <f t="shared" si="6"/>
        <v>NOK</v>
      </c>
      <c r="I50" s="10" t="str">
        <f t="shared" si="1"/>
        <v>a_op-area</v>
      </c>
      <c r="J50" s="10"/>
      <c r="K50" s="10"/>
      <c r="L50" s="3" t="e">
        <f>IF(INDEX(GRAFO!$L$2:'GRAFO'!$L$41,MATCH(I50,GRAFO!$L$2:'GRAFO'!$L$41,0),1)&lt;&gt;0,1,0)</f>
        <v>#N/A</v>
      </c>
      <c r="M50" s="3">
        <f t="shared" si="7"/>
        <v>0</v>
      </c>
      <c r="O50" s="10" t="str">
        <f t="shared" si="2"/>
        <v>a_op-rdfs:subClassOf-area</v>
      </c>
      <c r="P50" s="10"/>
      <c r="Q50" s="10"/>
      <c r="R50" s="10"/>
      <c r="S50" s="10"/>
      <c r="T50" s="10" t="e">
        <f>IF(INDEX(GRAFO!$M$2:'GRAFO'!$M$41,MATCH(O50,GRAFO!$M$2:'GRAFO'!$M$41,0),1)&lt;&gt;0,1,0)</f>
        <v>#N/A</v>
      </c>
      <c r="U50" s="10">
        <f t="shared" si="8"/>
        <v>0</v>
      </c>
    </row>
    <row r="51" spans="1:21">
      <c r="A51" s="46"/>
      <c r="B51" s="10"/>
      <c r="C51" s="9" t="str">
        <f t="shared" si="9"/>
        <v>OK</v>
      </c>
      <c r="D51" s="10" t="str">
        <f t="shared" si="3"/>
        <v>meio</v>
      </c>
      <c r="E51" s="10" t="str">
        <f t="shared" si="4"/>
        <v>rdfs:seeAlso</v>
      </c>
      <c r="F51" s="10" t="str">
        <f t="shared" si="5"/>
        <v>area</v>
      </c>
      <c r="G51" s="3" t="str">
        <f t="shared" si="6"/>
        <v>NOK</v>
      </c>
      <c r="I51" s="10" t="str">
        <f t="shared" si="1"/>
        <v>meio-area</v>
      </c>
      <c r="J51" s="10"/>
      <c r="K51" s="10"/>
      <c r="L51" s="3" t="e">
        <f>IF(INDEX(GRAFO!$L$2:'GRAFO'!$L$41,MATCH(I51,GRAFO!$L$2:'GRAFO'!$L$41,0),1)&lt;&gt;0,1,0)</f>
        <v>#N/A</v>
      </c>
      <c r="M51" s="3">
        <f t="shared" si="7"/>
        <v>0</v>
      </c>
      <c r="O51" s="10" t="str">
        <f t="shared" si="2"/>
        <v>meio-rdfs:seeAlso-area</v>
      </c>
      <c r="P51" s="10"/>
      <c r="Q51" s="10"/>
      <c r="R51" s="10"/>
      <c r="S51" s="10"/>
      <c r="T51" s="10" t="e">
        <f>IF(INDEX(GRAFO!$M$2:'GRAFO'!$M$41,MATCH(O51,GRAFO!$M$2:'GRAFO'!$M$41,0),1)&lt;&gt;0,1,0)</f>
        <v>#N/A</v>
      </c>
      <c r="U51" s="10">
        <f t="shared" si="8"/>
        <v>0</v>
      </c>
    </row>
    <row r="52" spans="1:21">
      <c r="A52" s="46"/>
      <c r="B52" s="10"/>
      <c r="C52" s="9" t="e">
        <f t="shared" si="9"/>
        <v>#N/A</v>
      </c>
      <c r="D52" s="10" t="str">
        <f t="shared" si="3"/>
        <v>dped</v>
      </c>
      <c r="E52" s="10" t="str">
        <f t="shared" si="4"/>
        <v>rdfs:subClassOf</v>
      </c>
      <c r="F52" s="10" t="str">
        <f t="shared" si="5"/>
        <v>diretriz</v>
      </c>
      <c r="G52" s="3" t="str">
        <f t="shared" si="6"/>
        <v>NOK</v>
      </c>
      <c r="I52" s="10" t="str">
        <f t="shared" si="1"/>
        <v>dped-diretriz</v>
      </c>
      <c r="J52" s="10"/>
      <c r="K52" s="10"/>
      <c r="L52" s="3" t="e">
        <f>IF(INDEX(GRAFO!$L$2:'GRAFO'!$L$41,MATCH(I52,GRAFO!$L$2:'GRAFO'!$L$41,0),1)&lt;&gt;0,1,0)</f>
        <v>#N/A</v>
      </c>
      <c r="M52" s="3">
        <f t="shared" si="7"/>
        <v>0</v>
      </c>
      <c r="O52" s="10" t="str">
        <f t="shared" si="2"/>
        <v>dped-rdfs:subClassOf-diretriz</v>
      </c>
      <c r="P52" s="10"/>
      <c r="Q52" s="10"/>
      <c r="R52" s="10"/>
      <c r="S52" s="10"/>
      <c r="T52" s="10" t="e">
        <f>IF(INDEX(GRAFO!$M$2:'GRAFO'!$M$41,MATCH(O52,GRAFO!$M$2:'GRAFO'!$M$41,0),1)&lt;&gt;0,1,0)</f>
        <v>#N/A</v>
      </c>
      <c r="U52" s="10">
        <f t="shared" si="8"/>
        <v>0</v>
      </c>
    </row>
    <row r="53" spans="1:21">
      <c r="A53" s="46"/>
      <c r="B53" s="10"/>
      <c r="C53" s="9" t="e">
        <f t="shared" si="9"/>
        <v>#N/A</v>
      </c>
      <c r="D53" s="10" t="str">
        <f t="shared" si="3"/>
        <v>dmed</v>
      </c>
      <c r="E53" s="10" t="str">
        <f t="shared" si="4"/>
        <v>rdfs:subClassOf</v>
      </c>
      <c r="F53" s="10" t="str">
        <f t="shared" si="5"/>
        <v>diretriz</v>
      </c>
      <c r="G53" s="3" t="str">
        <f t="shared" si="6"/>
        <v>NOK</v>
      </c>
      <c r="I53" s="10" t="str">
        <f t="shared" si="1"/>
        <v>dmed-diretriz</v>
      </c>
      <c r="J53" s="10"/>
      <c r="K53" s="10"/>
      <c r="L53" s="3" t="e">
        <f>IF(INDEX(GRAFO!$L$2:'GRAFO'!$L$41,MATCH(I53,GRAFO!$L$2:'GRAFO'!$L$41,0),1)&lt;&gt;0,1,0)</f>
        <v>#N/A</v>
      </c>
      <c r="M53" s="3">
        <f t="shared" si="7"/>
        <v>0</v>
      </c>
      <c r="O53" s="10" t="str">
        <f t="shared" si="2"/>
        <v>dmed-rdfs:subClassOf-diretriz</v>
      </c>
      <c r="P53" s="10"/>
      <c r="Q53" s="10"/>
      <c r="R53" s="10"/>
      <c r="S53" s="10"/>
      <c r="T53" s="10" t="e">
        <f>IF(INDEX(GRAFO!$M$2:'GRAFO'!$M$41,MATCH(O53,GRAFO!$M$2:'GRAFO'!$M$41,0),1)&lt;&gt;0,1,0)</f>
        <v>#N/A</v>
      </c>
      <c r="U53" s="10">
        <f t="shared" si="8"/>
        <v>0</v>
      </c>
    </row>
    <row r="54" spans="1:21">
      <c r="A54" s="46"/>
      <c r="B54" s="10"/>
      <c r="C54" s="9" t="e">
        <f t="shared" si="9"/>
        <v>#N/A</v>
      </c>
      <c r="D54" s="10" t="str">
        <f t="shared" si="3"/>
        <v>nivel</v>
      </c>
      <c r="E54" s="10" t="str">
        <f t="shared" si="4"/>
        <v>rdfs:seeAlso</v>
      </c>
      <c r="F54" s="10" t="str">
        <f t="shared" si="5"/>
        <v>objetivo</v>
      </c>
      <c r="G54" s="3" t="str">
        <f t="shared" si="6"/>
        <v>NOK</v>
      </c>
      <c r="I54" s="10" t="str">
        <f t="shared" si="1"/>
        <v>nivel-objetivo</v>
      </c>
      <c r="J54" s="10"/>
      <c r="K54" s="10"/>
      <c r="L54" s="3" t="e">
        <f>IF(INDEX(GRAFO!$L$2:'GRAFO'!$L$41,MATCH(I54,GRAFO!$L$2:'GRAFO'!$L$41,0),1)&lt;&gt;0,1,0)</f>
        <v>#N/A</v>
      </c>
      <c r="M54" s="3">
        <f t="shared" si="7"/>
        <v>0</v>
      </c>
      <c r="O54" s="10" t="str">
        <f t="shared" si="2"/>
        <v>nivel-rdfs:seeAlso-objetivo</v>
      </c>
      <c r="P54" s="10"/>
      <c r="Q54" s="10"/>
      <c r="R54" s="10"/>
      <c r="S54" s="10"/>
      <c r="T54" s="10" t="e">
        <f>IF(INDEX(GRAFO!$M$2:'GRAFO'!$M$41,MATCH(O54,GRAFO!$M$2:'GRAFO'!$M$41,0),1)&lt;&gt;0,1,0)</f>
        <v>#N/A</v>
      </c>
      <c r="U54" s="10">
        <f t="shared" si="8"/>
        <v>0</v>
      </c>
    </row>
    <row r="55" spans="1:21">
      <c r="A55" s="46"/>
      <c r="B55" s="10"/>
      <c r="C55" s="9" t="str">
        <f t="shared" si="9"/>
        <v>OK</v>
      </c>
      <c r="D55" s="10" t="str">
        <f t="shared" si="3"/>
        <v>estrategico</v>
      </c>
      <c r="E55" s="10" t="str">
        <f t="shared" si="4"/>
        <v>rdfs:subClassOf</v>
      </c>
      <c r="F55" s="10" t="str">
        <f t="shared" si="5"/>
        <v>objetivo</v>
      </c>
      <c r="G55" s="3" t="str">
        <f t="shared" si="6"/>
        <v>NOK</v>
      </c>
      <c r="I55" s="10" t="str">
        <f t="shared" si="1"/>
        <v>estrategico-objetivo</v>
      </c>
      <c r="J55" s="10"/>
      <c r="K55" s="10"/>
      <c r="L55" s="3" t="e">
        <f>IF(INDEX(GRAFO!$L$2:'GRAFO'!$L$41,MATCH(I55,GRAFO!$L$2:'GRAFO'!$L$41,0),1)&lt;&gt;0,1,0)</f>
        <v>#N/A</v>
      </c>
      <c r="M55" s="3">
        <f t="shared" si="7"/>
        <v>0</v>
      </c>
      <c r="O55" s="10" t="str">
        <f t="shared" si="2"/>
        <v>estrategico-rdfs:subClassOf-objetivo</v>
      </c>
      <c r="P55" s="10"/>
      <c r="Q55" s="10"/>
      <c r="R55" s="10"/>
      <c r="S55" s="10"/>
      <c r="T55" s="10" t="e">
        <f>IF(INDEX(GRAFO!$M$2:'GRAFO'!$M$41,MATCH(O55,GRAFO!$M$2:'GRAFO'!$M$41,0),1)&lt;&gt;0,1,0)</f>
        <v>#N/A</v>
      </c>
      <c r="U55" s="10">
        <f t="shared" si="8"/>
        <v>0</v>
      </c>
    </row>
    <row r="56" spans="1:21">
      <c r="A56" s="10"/>
      <c r="B56" s="10"/>
      <c r="C56" s="9" t="e">
        <f t="shared" si="9"/>
        <v>#N/A</v>
      </c>
      <c r="D56" s="10" t="str">
        <f t="shared" si="3"/>
        <v>politico</v>
      </c>
      <c r="E56" s="10" t="str">
        <f t="shared" si="4"/>
        <v>rdfs:subClassOf</v>
      </c>
      <c r="F56" s="10" t="str">
        <f t="shared" si="5"/>
        <v>objetivo</v>
      </c>
      <c r="G56" s="3" t="str">
        <f t="shared" si="6"/>
        <v>NOK</v>
      </c>
      <c r="I56" s="10" t="str">
        <f t="shared" si="1"/>
        <v>politico-objetivo</v>
      </c>
      <c r="J56" s="10"/>
      <c r="K56" s="10"/>
      <c r="L56" s="3" t="e">
        <f>IF(INDEX(GRAFO!$L$2:'GRAFO'!$L$41,MATCH(I56,GRAFO!$L$2:'GRAFO'!$L$41,0),1)&lt;&gt;0,1,0)</f>
        <v>#N/A</v>
      </c>
      <c r="M56" s="3">
        <f t="shared" si="7"/>
        <v>0</v>
      </c>
      <c r="O56" s="10" t="str">
        <f t="shared" si="2"/>
        <v>politico-rdfs:subClassOf-objetivo</v>
      </c>
      <c r="P56" s="10"/>
      <c r="Q56" s="10"/>
      <c r="R56" s="10"/>
      <c r="S56" s="10"/>
      <c r="T56" s="10" t="e">
        <f>IF(INDEX(GRAFO!$M$2:'GRAFO'!$M$41,MATCH(O56,GRAFO!$M$2:'GRAFO'!$M$41,0),1)&lt;&gt;0,1,0)</f>
        <v>#N/A</v>
      </c>
      <c r="U56" s="10">
        <f t="shared" si="8"/>
        <v>0</v>
      </c>
    </row>
    <row r="57" spans="1:21">
      <c r="C57" s="9" t="e">
        <f t="shared" si="9"/>
        <v>#N/A</v>
      </c>
      <c r="D57" s="10" t="str">
        <f t="shared" si="3"/>
        <v>operacional</v>
      </c>
      <c r="E57" s="10" t="str">
        <f t="shared" si="4"/>
        <v>rdfs:subClassOf</v>
      </c>
      <c r="F57" s="10" t="str">
        <f t="shared" si="5"/>
        <v>objetivo</v>
      </c>
      <c r="G57" s="3" t="str">
        <f t="shared" si="6"/>
        <v>NOK</v>
      </c>
      <c r="I57" s="10" t="str">
        <f t="shared" si="1"/>
        <v>operacional-objetivo</v>
      </c>
      <c r="J57" s="10"/>
      <c r="K57" s="10"/>
      <c r="L57" s="3" t="e">
        <f>IF(INDEX(GRAFO!$L$2:'GRAFO'!$L$41,MATCH(I57,GRAFO!$L$2:'GRAFO'!$L$41,0),1)&lt;&gt;0,1,0)</f>
        <v>#N/A</v>
      </c>
      <c r="M57" s="3">
        <f t="shared" si="7"/>
        <v>0</v>
      </c>
      <c r="O57" s="10" t="str">
        <f t="shared" si="2"/>
        <v>operacional-rdfs:subClassOf-objetivo</v>
      </c>
      <c r="P57" s="10"/>
      <c r="Q57" s="10"/>
      <c r="R57" s="10"/>
      <c r="S57" s="10"/>
      <c r="T57" s="10" t="e">
        <f>IF(INDEX(GRAFO!$M$2:'GRAFO'!$M$41,MATCH(O57,GRAFO!$M$2:'GRAFO'!$M$41,0),1)&lt;&gt;0,1,0)</f>
        <v>#N/A</v>
      </c>
      <c r="U57" s="10">
        <f t="shared" si="8"/>
        <v>0</v>
      </c>
    </row>
    <row r="58" spans="1:21">
      <c r="C58" s="9" t="e">
        <f t="shared" si="9"/>
        <v>#N/A</v>
      </c>
      <c r="D58" s="10" t="str">
        <f t="shared" si="3"/>
        <v>tatico</v>
      </c>
      <c r="E58" s="10" t="str">
        <f t="shared" si="4"/>
        <v>rdfs:subClassOf</v>
      </c>
      <c r="F58" s="10" t="str">
        <f t="shared" si="5"/>
        <v>objetivo</v>
      </c>
      <c r="G58" s="3" t="str">
        <f t="shared" si="6"/>
        <v>NOK</v>
      </c>
      <c r="I58" s="10" t="str">
        <f t="shared" si="1"/>
        <v>tatico-objetivo</v>
      </c>
      <c r="J58" s="10"/>
      <c r="K58" s="10"/>
      <c r="L58" s="3" t="e">
        <f>IF(INDEX(GRAFO!$L$2:'GRAFO'!$L$41,MATCH(I58,GRAFO!$L$2:'GRAFO'!$L$41,0),1)&lt;&gt;0,1,0)</f>
        <v>#N/A</v>
      </c>
      <c r="M58" s="3">
        <f t="shared" si="7"/>
        <v>0</v>
      </c>
      <c r="O58" s="10" t="str">
        <f t="shared" si="2"/>
        <v>tatico-rdfs:subClassOf-objetivo</v>
      </c>
      <c r="P58" s="10"/>
      <c r="Q58" s="10"/>
      <c r="R58" s="10"/>
      <c r="S58" s="10"/>
      <c r="T58" s="10" t="e">
        <f>IF(INDEX(GRAFO!$M$2:'GRAFO'!$M$41,MATCH(O58,GRAFO!$M$2:'GRAFO'!$M$41,0),1)&lt;&gt;0,1,0)</f>
        <v>#N/A</v>
      </c>
      <c r="U58" s="10">
        <f t="shared" si="8"/>
        <v>0</v>
      </c>
    </row>
    <row r="59" spans="1:21">
      <c r="C59" s="9" t="str">
        <f t="shared" si="9"/>
        <v>NOK</v>
      </c>
      <c r="D59" s="10" t="str">
        <f t="shared" si="3"/>
        <v>operacao_conjunta</v>
      </c>
      <c r="E59" s="10" t="str">
        <f t="shared" si="4"/>
        <v>c2rm:responsible_for</v>
      </c>
      <c r="F59" s="10" t="str">
        <f t="shared" si="5"/>
        <v>operacional</v>
      </c>
      <c r="G59" s="3" t="str">
        <f t="shared" si="6"/>
        <v>OK</v>
      </c>
      <c r="I59" s="10" t="str">
        <f t="shared" si="1"/>
        <v>operacao_conjunta-operacional</v>
      </c>
      <c r="J59" s="10"/>
      <c r="K59" s="10"/>
      <c r="L59" s="3">
        <f>IF(INDEX(GRAFO!$L$2:'GRAFO'!$L$41,MATCH(I59,GRAFO!$L$2:'GRAFO'!$L$41,0),1)&lt;&gt;0,1,0)</f>
        <v>1</v>
      </c>
      <c r="M59" s="3">
        <f t="shared" si="7"/>
        <v>1</v>
      </c>
      <c r="O59" s="10" t="str">
        <f t="shared" si="2"/>
        <v>operacao_conjunta-c2rm:responsible_for-operacional</v>
      </c>
      <c r="P59" s="10"/>
      <c r="Q59" s="10"/>
      <c r="R59" s="10"/>
      <c r="S59" s="10"/>
      <c r="T59" s="10" t="e">
        <f>IF(INDEX(GRAFO!$M$2:'GRAFO'!$M$41,MATCH(O59,GRAFO!$M$2:'GRAFO'!$M$41,0),1)&lt;&gt;0,1,0)</f>
        <v>#N/A</v>
      </c>
      <c r="U59" s="10">
        <f t="shared" si="8"/>
        <v>0</v>
      </c>
    </row>
    <row r="60" spans="1:21">
      <c r="C60" s="9" t="str">
        <f t="shared" si="9"/>
        <v>NOK</v>
      </c>
      <c r="D60" s="10" t="str">
        <f t="shared" si="3"/>
        <v>forcas_armadas</v>
      </c>
      <c r="E60" s="10" t="str">
        <f t="shared" si="4"/>
        <v>rdf:Bag</v>
      </c>
      <c r="F60" s="10" t="str">
        <f t="shared" si="5"/>
        <v>forca_componente</v>
      </c>
      <c r="G60" s="3" t="str">
        <f t="shared" si="6"/>
        <v>OK</v>
      </c>
      <c r="I60" s="10" t="str">
        <f t="shared" si="1"/>
        <v>forcas_armadas-forca_componente</v>
      </c>
      <c r="J60" s="10"/>
      <c r="K60" s="10"/>
      <c r="L60" s="3" t="e">
        <f>IF(INDEX(GRAFO!$L$2:'GRAFO'!$L$41,MATCH(I60,GRAFO!$L$2:'GRAFO'!$L$41,0),1)&lt;&gt;0,1,0)</f>
        <v>#N/A</v>
      </c>
      <c r="M60" s="3">
        <f t="shared" si="7"/>
        <v>0</v>
      </c>
      <c r="O60" s="10" t="str">
        <f t="shared" si="2"/>
        <v>forcas_armadas-rdf:Bag-forca_componente</v>
      </c>
      <c r="P60" s="10"/>
      <c r="Q60" s="10"/>
      <c r="R60" s="10"/>
      <c r="S60" s="10"/>
      <c r="T60" s="10" t="e">
        <f>IF(INDEX(GRAFO!$M$2:'GRAFO'!$M$41,MATCH(O60,GRAFO!$M$2:'GRAFO'!$M$41,0),1)&lt;&gt;0,1,0)</f>
        <v>#N/A</v>
      </c>
      <c r="U60" s="10">
        <f t="shared" si="8"/>
        <v>0</v>
      </c>
    </row>
    <row r="61" spans="1:21">
      <c r="C61" s="9" t="str">
        <f t="shared" si="9"/>
        <v>NOK</v>
      </c>
      <c r="D61" s="10" t="str">
        <f t="shared" si="3"/>
        <v>operacao_conjunta</v>
      </c>
      <c r="E61" s="10" t="str">
        <f t="shared" si="4"/>
        <v>c2rm:responsible_for</v>
      </c>
      <c r="F61" s="10" t="str">
        <f t="shared" si="5"/>
        <v>forcas_armadas</v>
      </c>
      <c r="G61" s="3" t="str">
        <f t="shared" si="6"/>
        <v>OK</v>
      </c>
      <c r="I61" s="10" t="str">
        <f t="shared" si="1"/>
        <v>operacao_conjunta-forcas_armadas</v>
      </c>
      <c r="J61" s="10"/>
      <c r="K61" s="10"/>
      <c r="L61" s="3" t="e">
        <f>IF(INDEX(GRAFO!$L$2:'GRAFO'!$L$41,MATCH(I61,GRAFO!$L$2:'GRAFO'!$L$41,0),1)&lt;&gt;0,1,0)</f>
        <v>#N/A</v>
      </c>
      <c r="M61" s="3">
        <f t="shared" si="7"/>
        <v>0</v>
      </c>
      <c r="O61" s="10" t="str">
        <f t="shared" si="2"/>
        <v>operacao_conjunta-c2rm:responsible_for-forcas_armadas</v>
      </c>
      <c r="P61" s="10"/>
      <c r="Q61" s="10"/>
      <c r="R61" s="10"/>
      <c r="S61" s="10"/>
      <c r="T61" s="10" t="e">
        <f>IF(INDEX(GRAFO!$M$2:'GRAFO'!$M$41,MATCH(O61,GRAFO!$M$2:'GRAFO'!$M$41,0),1)&lt;&gt;0,1,0)</f>
        <v>#N/A</v>
      </c>
      <c r="U61" s="10">
        <f t="shared" si="8"/>
        <v>0</v>
      </c>
    </row>
    <row r="62" spans="1:21">
      <c r="C62" s="9" t="str">
        <f t="shared" si="9"/>
        <v>OK</v>
      </c>
      <c r="D62" s="10" t="str">
        <f t="shared" si="3"/>
        <v>marinha</v>
      </c>
      <c r="E62" s="10" t="str">
        <f t="shared" si="4"/>
        <v>rdfs:subClassOf</v>
      </c>
      <c r="F62" s="10" t="str">
        <f t="shared" si="5"/>
        <v>forcas_armadas</v>
      </c>
      <c r="G62" s="3" t="str">
        <f t="shared" si="6"/>
        <v>OK</v>
      </c>
      <c r="I62" s="10" t="str">
        <f t="shared" si="1"/>
        <v>marinha-forcas_armadas</v>
      </c>
      <c r="J62" s="10"/>
      <c r="K62" s="10"/>
      <c r="L62" s="3">
        <f>IF(INDEX(GRAFO!$L$2:'GRAFO'!$L$41,MATCH(I62,GRAFO!$L$2:'GRAFO'!$L$41,0),1)&lt;&gt;0,1,0)</f>
        <v>1</v>
      </c>
      <c r="M62" s="3">
        <f t="shared" si="7"/>
        <v>1</v>
      </c>
      <c r="O62" s="10" t="str">
        <f t="shared" si="2"/>
        <v>marinha-rdfs:subClassOf-forcas_armadas</v>
      </c>
      <c r="P62" s="10"/>
      <c r="Q62" s="10"/>
      <c r="R62" s="10"/>
      <c r="S62" s="10"/>
      <c r="T62" s="10">
        <f>IF(INDEX(GRAFO!$M$2:'GRAFO'!$M$41,MATCH(O62,GRAFO!$M$2:'GRAFO'!$M$41,0),1)&lt;&gt;0,1,0)</f>
        <v>1</v>
      </c>
      <c r="U62" s="10">
        <f t="shared" si="8"/>
        <v>1</v>
      </c>
    </row>
    <row r="63" spans="1:21">
      <c r="C63" s="9" t="e">
        <f t="shared" si="9"/>
        <v>#N/A</v>
      </c>
      <c r="D63" s="10" t="str">
        <f t="shared" si="3"/>
        <v>exercito</v>
      </c>
      <c r="E63" s="10" t="str">
        <f t="shared" si="4"/>
        <v>rdfs:subClassOf</v>
      </c>
      <c r="F63" s="10" t="str">
        <f t="shared" si="5"/>
        <v>forcas_armadas</v>
      </c>
      <c r="G63" s="3" t="str">
        <f t="shared" si="6"/>
        <v>OK</v>
      </c>
      <c r="I63" s="10" t="str">
        <f t="shared" si="1"/>
        <v>exercito-forcas_armadas</v>
      </c>
      <c r="J63" s="10"/>
      <c r="K63" s="10"/>
      <c r="L63" s="3">
        <f>IF(INDEX(GRAFO!$L$2:'GRAFO'!$L$41,MATCH(I63,GRAFO!$L$2:'GRAFO'!$L$41,0),1)&lt;&gt;0,1,0)</f>
        <v>1</v>
      </c>
      <c r="M63" s="3">
        <f t="shared" si="7"/>
        <v>1</v>
      </c>
      <c r="O63" s="10" t="str">
        <f t="shared" si="2"/>
        <v>exercito-rdfs:subClassOf-forcas_armadas</v>
      </c>
      <c r="P63" s="10"/>
      <c r="Q63" s="10"/>
      <c r="R63" s="10"/>
      <c r="S63" s="10"/>
      <c r="T63" s="10">
        <f>IF(INDEX(GRAFO!$M$2:'GRAFO'!$M$41,MATCH(O63,GRAFO!$M$2:'GRAFO'!$M$41,0),1)&lt;&gt;0,1,0)</f>
        <v>1</v>
      </c>
      <c r="U63" s="10">
        <f t="shared" si="8"/>
        <v>1</v>
      </c>
    </row>
    <row r="64" spans="1:21">
      <c r="D64" s="10" t="str">
        <f t="shared" si="3"/>
        <v>aeronautica</v>
      </c>
      <c r="E64" s="10" t="str">
        <f t="shared" si="4"/>
        <v>rdfs:subClassOf</v>
      </c>
      <c r="F64" s="10" t="str">
        <f t="shared" si="5"/>
        <v>forcas_armadas</v>
      </c>
      <c r="G64" s="3" t="str">
        <f t="shared" si="6"/>
        <v>OK</v>
      </c>
      <c r="I64" s="10" t="str">
        <f t="shared" si="1"/>
        <v>aeronautica-forcas_armadas</v>
      </c>
      <c r="J64" s="10"/>
      <c r="K64" s="10"/>
      <c r="L64" s="3">
        <f>IF(INDEX(GRAFO!$L$2:'GRAFO'!$L$41,MATCH(I64,GRAFO!$L$2:'GRAFO'!$L$41,0),1)&lt;&gt;0,1,0)</f>
        <v>1</v>
      </c>
      <c r="M64" s="3">
        <f t="shared" si="7"/>
        <v>1</v>
      </c>
      <c r="O64" s="10" t="str">
        <f t="shared" si="2"/>
        <v>aeronautica-rdfs:subClassOf-forcas_armadas</v>
      </c>
      <c r="P64" s="10"/>
      <c r="Q64" s="10"/>
      <c r="R64" s="10"/>
      <c r="S64" s="10"/>
      <c r="T64" s="10">
        <f>IF(INDEX(GRAFO!$M$2:'GRAFO'!$M$41,MATCH(O64,GRAFO!$M$2:'GRAFO'!$M$41,0),1)&lt;&gt;0,1,0)</f>
        <v>1</v>
      </c>
      <c r="U64" s="10">
        <f t="shared" si="8"/>
        <v>1</v>
      </c>
    </row>
    <row r="65" spans="4:21">
      <c r="D65" s="10"/>
      <c r="E65" s="10"/>
      <c r="F65" s="10"/>
      <c r="G65" s="3"/>
      <c r="I65" s="10"/>
      <c r="J65" s="10"/>
      <c r="K65" s="10"/>
      <c r="L65" s="3"/>
      <c r="M65" s="3"/>
      <c r="O65" s="10"/>
      <c r="P65" s="10"/>
      <c r="Q65" s="10"/>
      <c r="R65" s="10"/>
      <c r="S65" s="10"/>
      <c r="T65" s="10"/>
      <c r="U65" s="10"/>
    </row>
    <row r="66" spans="4:21">
      <c r="D66" s="10"/>
      <c r="E66" s="10"/>
      <c r="F66" s="10"/>
      <c r="G66" s="3"/>
      <c r="I66" s="10"/>
      <c r="J66" s="10"/>
      <c r="K66" s="10"/>
      <c r="L66" s="3"/>
      <c r="M66" s="3"/>
      <c r="O66" s="10"/>
      <c r="P66" s="10"/>
      <c r="Q66" s="10"/>
      <c r="R66" s="10"/>
      <c r="S66" s="10"/>
      <c r="T66" s="10"/>
      <c r="U66" s="10"/>
    </row>
    <row r="67" spans="4:21">
      <c r="D67" s="10"/>
      <c r="E67" s="10"/>
      <c r="F67" s="10"/>
      <c r="G67" s="3"/>
      <c r="I67" s="10"/>
      <c r="J67" s="10"/>
      <c r="K67" s="10"/>
      <c r="L67" s="3"/>
      <c r="M67" s="3"/>
      <c r="O67" s="10"/>
      <c r="P67" s="10"/>
      <c r="Q67" s="10"/>
      <c r="R67" s="10"/>
      <c r="S67" s="10"/>
      <c r="T67" s="10"/>
      <c r="U67" s="10"/>
    </row>
    <row r="68" spans="4:21">
      <c r="D68" s="10"/>
      <c r="E68" s="10"/>
      <c r="F68" s="10"/>
      <c r="G68" s="3"/>
      <c r="I68" s="10"/>
      <c r="J68" s="10"/>
      <c r="K68" s="10"/>
      <c r="L68" s="3"/>
      <c r="M68" s="3"/>
      <c r="O68" s="10"/>
      <c r="P68" s="10"/>
      <c r="Q68" s="10"/>
      <c r="R68" s="10"/>
      <c r="S68" s="10"/>
      <c r="T68" s="10"/>
      <c r="U68" s="10"/>
    </row>
    <row r="69" spans="4:21">
      <c r="D69" s="10"/>
      <c r="E69" s="10"/>
      <c r="F69" s="10"/>
      <c r="G69" s="3"/>
      <c r="I69" s="10"/>
      <c r="J69" s="10"/>
      <c r="K69" s="10"/>
      <c r="L69" s="3"/>
      <c r="M69" s="3"/>
      <c r="O69" s="10"/>
      <c r="P69" s="10"/>
      <c r="Q69" s="10"/>
      <c r="R69" s="10"/>
      <c r="S69" s="10"/>
      <c r="T69" s="10"/>
      <c r="U69" s="10"/>
    </row>
    <row r="70" spans="4:21">
      <c r="D70" s="10"/>
      <c r="E70" s="10"/>
      <c r="F70" s="10"/>
      <c r="G70" s="3"/>
      <c r="I70" s="10"/>
      <c r="J70" s="10"/>
      <c r="K70" s="10"/>
      <c r="L70" s="3"/>
      <c r="M70" s="3"/>
      <c r="O70" s="10"/>
      <c r="P70" s="10"/>
      <c r="Q70" s="10"/>
      <c r="R70" s="10"/>
      <c r="S70" s="10"/>
      <c r="T70" s="10"/>
      <c r="U70" s="10"/>
    </row>
    <row r="71" spans="4:21">
      <c r="D71" s="10"/>
      <c r="E71" s="10"/>
      <c r="F71" s="10"/>
      <c r="G71" s="3"/>
      <c r="I71" s="10"/>
      <c r="J71" s="10"/>
      <c r="K71" s="10"/>
      <c r="L71" s="3"/>
      <c r="M71" s="3"/>
      <c r="O71" s="10"/>
      <c r="P71" s="10"/>
      <c r="Q71" s="10"/>
      <c r="R71" s="10"/>
      <c r="S71" s="10"/>
      <c r="T71" s="10"/>
      <c r="U71" s="10"/>
    </row>
    <row r="72" spans="4:21">
      <c r="D72" s="10"/>
      <c r="E72" s="10"/>
      <c r="F72" s="10"/>
      <c r="G72" s="3"/>
      <c r="I72" s="10"/>
      <c r="J72" s="10"/>
      <c r="K72" s="10"/>
      <c r="L72" s="3"/>
      <c r="M72" s="3"/>
      <c r="O72" s="10"/>
      <c r="P72" s="10"/>
      <c r="Q72" s="10"/>
      <c r="R72" s="10"/>
      <c r="S72" s="10"/>
      <c r="T72" s="10"/>
      <c r="U72" s="10"/>
    </row>
    <row r="73" spans="4:21">
      <c r="D73" s="10"/>
      <c r="E73" s="10"/>
      <c r="F73" s="10"/>
      <c r="G73" s="3"/>
      <c r="I73" s="10"/>
      <c r="J73" s="10"/>
      <c r="K73" s="10"/>
      <c r="L73" s="3"/>
      <c r="M73" s="3"/>
      <c r="O73" s="10"/>
      <c r="P73" s="10"/>
      <c r="Q73" s="10"/>
      <c r="R73" s="10"/>
      <c r="S73" s="10"/>
      <c r="T73" s="10"/>
      <c r="U73" s="10"/>
    </row>
  </sheetData>
  <mergeCells count="10">
    <mergeCell ref="I39:K39"/>
    <mergeCell ref="L39:M39"/>
    <mergeCell ref="O39:S39"/>
    <mergeCell ref="T39:U39"/>
    <mergeCell ref="A1:B1"/>
    <mergeCell ref="D1:F1"/>
    <mergeCell ref="K4:K5"/>
    <mergeCell ref="D38:G38"/>
    <mergeCell ref="I38:M38"/>
    <mergeCell ref="O38:U38"/>
  </mergeCells>
  <dataValidations count="8">
    <dataValidation type="list" allowBlank="1" showInputMessage="1" showErrorMessage="1" sqref="F38:G38">
      <formula1>$A$3:$A$27</formula1>
    </dataValidation>
    <dataValidation type="list" allowBlank="1" showInputMessage="1" showErrorMessage="1" sqref="C3:C37 B4:B37">
      <formula1>$Y$3:$Y$39</formula1>
    </dataValidation>
    <dataValidation type="list" allowBlank="1" showInputMessage="1" showErrorMessage="1" sqref="H3:H44 G3:G37">
      <formula1>$A$3:$A$22</formula1>
    </dataValidation>
    <dataValidation type="list" allowBlank="1" showInputMessage="1" showErrorMessage="1" sqref="B40:B56">
      <formula1>$AE$2:$AE$12</formula1>
    </dataValidation>
    <dataValidation type="list" allowBlank="1" showInputMessage="1" showErrorMessage="1" sqref="D3:D37 F3:F37">
      <formula1>$A$3:$A$28</formula1>
    </dataValidation>
    <dataValidation type="list" allowBlank="1" showInputMessage="1" showErrorMessage="1" sqref="E37">
      <formula1>$A$40:$A$48</formula1>
    </dataValidation>
    <dataValidation type="list" allowBlank="1" showInputMessage="1" showErrorMessage="1" sqref="B3">
      <formula1>$Y$3:$Y$31</formula1>
    </dataValidation>
    <dataValidation type="list" allowBlank="1" showInputMessage="1" showErrorMessage="1" sqref="E3:E36">
      <formula1>$A$40:$A$49</formula1>
    </dataValidation>
  </dataValidation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E73"/>
  <sheetViews>
    <sheetView zoomScale="115" zoomScaleNormal="115" workbookViewId="0">
      <selection sqref="A1:B1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9" t="s">
        <v>184</v>
      </c>
      <c r="AD2" s="9" t="s">
        <v>195</v>
      </c>
      <c r="AE2" s="9" t="s">
        <v>35</v>
      </c>
    </row>
    <row r="3" spans="1:31" ht="16.75">
      <c r="A3" s="46" t="s">
        <v>9</v>
      </c>
      <c r="B3" s="10" t="s">
        <v>9</v>
      </c>
      <c r="D3" s="10" t="s">
        <v>49</v>
      </c>
      <c r="E3" s="10" t="s">
        <v>108</v>
      </c>
      <c r="F3" s="10" t="s">
        <v>9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s="16" t="s">
        <v>33</v>
      </c>
      <c r="AC3" s="9" t="s">
        <v>185</v>
      </c>
      <c r="AD3" s="9" t="s">
        <v>196</v>
      </c>
      <c r="AE3" s="9" t="s">
        <v>4</v>
      </c>
    </row>
    <row r="4" spans="1:31" ht="16.75">
      <c r="A4" s="46" t="s">
        <v>58</v>
      </c>
      <c r="B4" s="10" t="s">
        <v>13</v>
      </c>
      <c r="D4" s="10" t="s">
        <v>9</v>
      </c>
      <c r="E4" s="10" t="s">
        <v>107</v>
      </c>
      <c r="F4" s="10" t="s">
        <v>46</v>
      </c>
      <c r="K4" s="85" t="s">
        <v>80</v>
      </c>
      <c r="L4" s="8" t="s">
        <v>0</v>
      </c>
      <c r="M4" s="4">
        <f>GRAFO!J2</f>
        <v>29</v>
      </c>
      <c r="N4" s="11">
        <f>COUNTA(A3:A17)</f>
        <v>15</v>
      </c>
      <c r="O4" s="11">
        <f>COUNTIF(B3:B17,"&lt;&gt;"&amp;"")</f>
        <v>6</v>
      </c>
      <c r="P4" s="2">
        <f>N4-R4</f>
        <v>6</v>
      </c>
      <c r="Q4" s="2">
        <f>M4-O4</f>
        <v>23</v>
      </c>
      <c r="R4" s="2">
        <f>N4-O4</f>
        <v>9</v>
      </c>
      <c r="S4" s="2">
        <f>O4+P4</f>
        <v>12</v>
      </c>
      <c r="T4" s="2">
        <f>Q4+R4</f>
        <v>32</v>
      </c>
      <c r="U4" s="6">
        <f>O4/(O4+R4)</f>
        <v>0.4</v>
      </c>
      <c r="V4" s="6">
        <f>O4/(O4+Q4)</f>
        <v>0.20689655172413793</v>
      </c>
      <c r="W4" s="6">
        <f>(O4+P4)/(O4+P4+Q4+R4)</f>
        <v>0.27272727272727271</v>
      </c>
      <c r="X4" s="62">
        <f>AVERAGE(U4:W4)</f>
        <v>0.29320794148380352</v>
      </c>
      <c r="Y4" s="16" t="s">
        <v>21</v>
      </c>
      <c r="AC4" s="9" t="s">
        <v>186</v>
      </c>
      <c r="AD4" s="9" t="s">
        <v>197</v>
      </c>
      <c r="AE4" s="9" t="s">
        <v>205</v>
      </c>
    </row>
    <row r="5" spans="1:31" ht="16.75">
      <c r="A5" s="46" t="s">
        <v>66</v>
      </c>
      <c r="B5" s="10" t="s">
        <v>22</v>
      </c>
      <c r="D5" s="10" t="s">
        <v>9</v>
      </c>
      <c r="E5" s="10" t="s">
        <v>142</v>
      </c>
      <c r="F5" s="10" t="s">
        <v>233</v>
      </c>
      <c r="K5" s="85"/>
      <c r="L5" s="8" t="s">
        <v>100</v>
      </c>
      <c r="M5" s="5">
        <f>GRAFO!J3</f>
        <v>41</v>
      </c>
      <c r="N5" s="12">
        <f>COUNTA(D40:D50)</f>
        <v>11</v>
      </c>
      <c r="O5" s="12">
        <f>COUNTIF(M40:M50,"=1")</f>
        <v>1</v>
      </c>
      <c r="P5" s="2">
        <f>N5-R5</f>
        <v>1</v>
      </c>
      <c r="Q5" s="2">
        <f>M5-O5</f>
        <v>40</v>
      </c>
      <c r="R5" s="2">
        <f>N5-O5</f>
        <v>10</v>
      </c>
      <c r="S5" s="2">
        <f>O5+P5</f>
        <v>2</v>
      </c>
      <c r="T5" s="2">
        <f>Q5+R5</f>
        <v>50</v>
      </c>
      <c r="U5" s="6">
        <f>O5/(O5+R5)</f>
        <v>9.0909090909090912E-2</v>
      </c>
      <c r="V5" s="6">
        <f>O5/(O5+Q5)</f>
        <v>2.4390243902439025E-2</v>
      </c>
      <c r="W5" s="6">
        <f>(O5+P5)/(O5+P5+Q5+R5)</f>
        <v>3.8461538461538464E-2</v>
      </c>
      <c r="X5" s="62">
        <f t="shared" ref="X5:X6" si="0">AVERAGE(U5:W5)</f>
        <v>5.1253624424356131E-2</v>
      </c>
      <c r="Y5" s="16" t="s">
        <v>17</v>
      </c>
      <c r="AC5" s="9" t="s">
        <v>187</v>
      </c>
      <c r="AD5" s="9" t="s">
        <v>198</v>
      </c>
      <c r="AE5" s="9" t="s">
        <v>3</v>
      </c>
    </row>
    <row r="6" spans="1:31" ht="16.75">
      <c r="A6" s="46" t="s">
        <v>332</v>
      </c>
      <c r="B6" s="10" t="s">
        <v>28</v>
      </c>
      <c r="D6" s="10" t="s">
        <v>233</v>
      </c>
      <c r="E6" s="10" t="s">
        <v>104</v>
      </c>
      <c r="F6" s="10" t="s">
        <v>54</v>
      </c>
      <c r="L6" s="8" t="s">
        <v>99</v>
      </c>
      <c r="M6" s="5">
        <v>41</v>
      </c>
      <c r="N6" s="12">
        <f>COUNTA(D40:D50)</f>
        <v>11</v>
      </c>
      <c r="O6" s="12">
        <f>COUNTIF(U40:U50,"=1")</f>
        <v>0</v>
      </c>
      <c r="P6" s="2">
        <f>N6-R6</f>
        <v>0</v>
      </c>
      <c r="Q6" s="2">
        <f>M6-O6</f>
        <v>41</v>
      </c>
      <c r="R6" s="2">
        <f>N6-O6</f>
        <v>11</v>
      </c>
      <c r="S6" s="2">
        <f>O6+P6</f>
        <v>0</v>
      </c>
      <c r="T6" s="2">
        <f>Q6+R6</f>
        <v>52</v>
      </c>
      <c r="U6" s="6">
        <f>O6/(O6+R6)</f>
        <v>0</v>
      </c>
      <c r="V6" s="6">
        <f>O6/(O6+Q6)</f>
        <v>0</v>
      </c>
      <c r="W6" s="6">
        <f>(O6+P6)/(O6+P6+Q6+R6)</f>
        <v>0</v>
      </c>
      <c r="X6" s="62">
        <f t="shared" si="0"/>
        <v>0</v>
      </c>
      <c r="Y6" s="16" t="s">
        <v>40</v>
      </c>
      <c r="AC6" s="9" t="s">
        <v>188</v>
      </c>
      <c r="AD6" s="9" t="s">
        <v>199</v>
      </c>
      <c r="AE6" s="9" t="s">
        <v>6</v>
      </c>
    </row>
    <row r="7" spans="1:31" ht="16.75">
      <c r="A7" s="46" t="s">
        <v>382</v>
      </c>
      <c r="B7" s="10"/>
      <c r="D7" s="10" t="s">
        <v>54</v>
      </c>
      <c r="E7" s="10" t="s">
        <v>105</v>
      </c>
      <c r="F7" s="10" t="s">
        <v>332</v>
      </c>
      <c r="X7" s="62">
        <f>AVERAGE(X4:X6)</f>
        <v>0.11482052196938657</v>
      </c>
      <c r="Y7" s="16" t="s">
        <v>13</v>
      </c>
      <c r="AC7" s="9" t="s">
        <v>189</v>
      </c>
      <c r="AD7" s="9" t="s">
        <v>200</v>
      </c>
      <c r="AE7" s="9" t="s">
        <v>206</v>
      </c>
    </row>
    <row r="8" spans="1:31" ht="16.75">
      <c r="A8" s="46" t="s">
        <v>62</v>
      </c>
      <c r="B8" s="10"/>
      <c r="D8" s="10" t="s">
        <v>332</v>
      </c>
      <c r="E8" s="10" t="s">
        <v>376</v>
      </c>
      <c r="F8" s="10" t="s">
        <v>371</v>
      </c>
      <c r="Y8" s="16" t="s">
        <v>39</v>
      </c>
      <c r="AC8" s="9" t="s">
        <v>190</v>
      </c>
      <c r="AD8" s="9" t="s">
        <v>148</v>
      </c>
      <c r="AE8" s="9" t="s">
        <v>36</v>
      </c>
    </row>
    <row r="9" spans="1:31" ht="16.75">
      <c r="A9" s="46" t="s">
        <v>49</v>
      </c>
      <c r="B9" s="10"/>
      <c r="D9" s="10" t="s">
        <v>54</v>
      </c>
      <c r="E9" s="10" t="s">
        <v>209</v>
      </c>
      <c r="F9" s="10" t="s">
        <v>66</v>
      </c>
      <c r="K9" t="s">
        <v>74</v>
      </c>
      <c r="L9" t="s">
        <v>75</v>
      </c>
      <c r="N9">
        <f>GRAFO!J2</f>
        <v>29</v>
      </c>
      <c r="Y9" s="16" t="s">
        <v>19</v>
      </c>
      <c r="AC9" s="9" t="s">
        <v>191</v>
      </c>
      <c r="AD9" s="9" t="s">
        <v>201</v>
      </c>
      <c r="AE9" s="9" t="s">
        <v>7</v>
      </c>
    </row>
    <row r="10" spans="1:31" ht="16.75">
      <c r="A10" s="46" t="s">
        <v>45</v>
      </c>
      <c r="B10" s="10"/>
      <c r="D10" s="10" t="s">
        <v>58</v>
      </c>
      <c r="E10" s="10" t="s">
        <v>215</v>
      </c>
      <c r="F10" s="10" t="s">
        <v>66</v>
      </c>
      <c r="K10" t="s">
        <v>80</v>
      </c>
      <c r="L10" t="s">
        <v>76</v>
      </c>
      <c r="N10">
        <f>N4</f>
        <v>15</v>
      </c>
      <c r="Y10" s="16" t="s">
        <v>37</v>
      </c>
      <c r="AC10" s="9" t="s">
        <v>192</v>
      </c>
      <c r="AD10" s="9" t="s">
        <v>202</v>
      </c>
      <c r="AE10" s="9" t="s">
        <v>207</v>
      </c>
    </row>
    <row r="11" spans="1:31" ht="16.75">
      <c r="A11" s="46" t="s">
        <v>46</v>
      </c>
      <c r="B11" s="10"/>
      <c r="D11" s="10" t="s">
        <v>47</v>
      </c>
      <c r="E11" s="10" t="s">
        <v>294</v>
      </c>
      <c r="F11" s="10" t="s">
        <v>66</v>
      </c>
      <c r="K11" t="s">
        <v>68</v>
      </c>
      <c r="L11" t="s">
        <v>77</v>
      </c>
      <c r="N11">
        <v>16</v>
      </c>
      <c r="Y11" s="16" t="s">
        <v>10</v>
      </c>
      <c r="AC11" s="9" t="s">
        <v>193</v>
      </c>
      <c r="AD11" s="9" t="s">
        <v>203</v>
      </c>
      <c r="AE11" s="9" t="s">
        <v>208</v>
      </c>
    </row>
    <row r="12" spans="1:31" ht="16.75">
      <c r="A12" s="46" t="s">
        <v>233</v>
      </c>
      <c r="B12" s="10" t="s">
        <v>40</v>
      </c>
      <c r="D12" s="10" t="s">
        <v>59</v>
      </c>
      <c r="E12" s="10" t="s">
        <v>243</v>
      </c>
      <c r="F12" s="10" t="s">
        <v>66</v>
      </c>
      <c r="K12" t="s">
        <v>70</v>
      </c>
      <c r="L12" t="s">
        <v>78</v>
      </c>
      <c r="M12" t="s">
        <v>86</v>
      </c>
      <c r="N12">
        <f>N9-N11</f>
        <v>13</v>
      </c>
      <c r="Y12" s="16" t="s">
        <v>14</v>
      </c>
      <c r="AC12" s="9" t="s">
        <v>194</v>
      </c>
      <c r="AD12" s="9" t="s">
        <v>204</v>
      </c>
      <c r="AE12" s="9" t="s">
        <v>5</v>
      </c>
    </row>
    <row r="13" spans="1:31" ht="16.75">
      <c r="A13" s="46" t="s">
        <v>54</v>
      </c>
      <c r="B13" s="10" t="s">
        <v>31</v>
      </c>
      <c r="D13" s="10" t="s">
        <v>58</v>
      </c>
      <c r="E13" s="10" t="s">
        <v>376</v>
      </c>
      <c r="F13" s="10" t="s">
        <v>62</v>
      </c>
      <c r="K13" t="s">
        <v>69</v>
      </c>
      <c r="L13" t="s">
        <v>79</v>
      </c>
      <c r="M13" t="s">
        <v>87</v>
      </c>
      <c r="Y13" s="16" t="s">
        <v>34</v>
      </c>
    </row>
    <row r="14" spans="1:31" ht="16.75">
      <c r="A14" s="46" t="s">
        <v>59</v>
      </c>
      <c r="B14" s="10"/>
      <c r="D14" s="10" t="s">
        <v>292</v>
      </c>
      <c r="E14" s="10" t="s">
        <v>108</v>
      </c>
      <c r="F14" s="10" t="s">
        <v>62</v>
      </c>
      <c r="K14" t="s">
        <v>83</v>
      </c>
      <c r="M14" t="s">
        <v>88</v>
      </c>
      <c r="Y14" s="16" t="s">
        <v>27</v>
      </c>
    </row>
    <row r="15" spans="1:31" ht="16.75">
      <c r="A15" s="46" t="s">
        <v>292</v>
      </c>
      <c r="B15" s="10"/>
      <c r="D15" s="10" t="s">
        <v>292</v>
      </c>
      <c r="E15" s="10" t="s">
        <v>308</v>
      </c>
      <c r="F15" s="10" t="s">
        <v>382</v>
      </c>
      <c r="K15" t="s">
        <v>89</v>
      </c>
      <c r="M15" t="s">
        <v>92</v>
      </c>
      <c r="Y15" s="16" t="s">
        <v>28</v>
      </c>
    </row>
    <row r="16" spans="1:31" ht="16.75">
      <c r="A16" s="46" t="s">
        <v>47</v>
      </c>
      <c r="B16" s="10"/>
      <c r="D16" s="10"/>
      <c r="E16" s="10"/>
      <c r="F16" s="10"/>
      <c r="K16" t="s">
        <v>90</v>
      </c>
      <c r="M16" t="s">
        <v>93</v>
      </c>
      <c r="Y16" s="16" t="s">
        <v>30</v>
      </c>
    </row>
    <row r="17" spans="1:25" ht="16.75">
      <c r="A17" s="46" t="s">
        <v>371</v>
      </c>
      <c r="B17" s="10"/>
      <c r="D17" s="10"/>
      <c r="E17" s="10"/>
      <c r="F17" s="10"/>
      <c r="K17" t="s">
        <v>91</v>
      </c>
      <c r="M17" t="s">
        <v>94</v>
      </c>
      <c r="Y17" s="16" t="s">
        <v>29</v>
      </c>
    </row>
    <row r="18" spans="1:25" ht="16.75">
      <c r="A18" s="46"/>
      <c r="B18" s="10"/>
      <c r="D18" s="10"/>
      <c r="E18" s="10"/>
      <c r="F18" s="10"/>
      <c r="K18" t="s">
        <v>84</v>
      </c>
      <c r="M18" t="s">
        <v>95</v>
      </c>
      <c r="Y18" s="16" t="s">
        <v>31</v>
      </c>
    </row>
    <row r="19" spans="1:25" ht="16.75">
      <c r="A19" s="46"/>
      <c r="B19" s="10"/>
      <c r="D19" s="10"/>
      <c r="E19" s="10"/>
      <c r="F19" s="10"/>
      <c r="K19" t="s">
        <v>85</v>
      </c>
      <c r="M19" t="s">
        <v>96</v>
      </c>
      <c r="Y19" s="16" t="s">
        <v>171</v>
      </c>
    </row>
    <row r="20" spans="1:25" ht="16.75">
      <c r="A20" s="46"/>
      <c r="B20" s="10"/>
      <c r="D20" s="10"/>
      <c r="E20" s="10"/>
      <c r="F20" s="10"/>
      <c r="K20" t="s">
        <v>97</v>
      </c>
      <c r="M20" t="s">
        <v>98</v>
      </c>
      <c r="Y20" s="16" t="s">
        <v>15</v>
      </c>
    </row>
    <row r="21" spans="1:25" ht="16.75">
      <c r="A21" s="46"/>
      <c r="B21" s="10"/>
      <c r="D21" s="10"/>
      <c r="E21" s="10"/>
      <c r="F21" s="10"/>
      <c r="Y21" s="16" t="s">
        <v>16</v>
      </c>
    </row>
    <row r="22" spans="1:25" ht="16.75">
      <c r="A22" s="46"/>
      <c r="B22" s="10"/>
      <c r="D22" s="10"/>
      <c r="E22" s="10"/>
      <c r="F22" s="10"/>
      <c r="Y22" s="16" t="s">
        <v>32</v>
      </c>
    </row>
    <row r="23" spans="1:25" ht="16.75">
      <c r="A23" s="46"/>
      <c r="B23" s="10"/>
      <c r="D23" s="10"/>
      <c r="E23" s="10"/>
      <c r="F23" s="10"/>
      <c r="Y23" s="16" t="s">
        <v>9</v>
      </c>
    </row>
    <row r="24" spans="1:25" ht="16.75">
      <c r="A24" s="46"/>
      <c r="B24" s="10"/>
      <c r="D24" s="10"/>
      <c r="E24" s="10"/>
      <c r="F24" s="10"/>
      <c r="Y24" s="16" t="s">
        <v>18</v>
      </c>
    </row>
    <row r="25" spans="1:25" ht="16.75">
      <c r="A25" s="46"/>
      <c r="B25" s="10"/>
      <c r="D25" s="10"/>
      <c r="E25" s="10"/>
      <c r="F25" s="10"/>
      <c r="Y25" s="16" t="s">
        <v>23</v>
      </c>
    </row>
    <row r="26" spans="1:25" ht="16.75">
      <c r="A26" s="10"/>
      <c r="B26" s="10"/>
      <c r="D26" s="10"/>
      <c r="E26" s="10"/>
      <c r="F26" s="10"/>
      <c r="Y26" s="16" t="s">
        <v>22</v>
      </c>
    </row>
    <row r="27" spans="1:25" ht="16.75">
      <c r="A27" s="46"/>
      <c r="B27" s="10"/>
      <c r="D27" s="10"/>
      <c r="E27" s="10"/>
      <c r="F27" s="10"/>
      <c r="Y27" s="16" t="s">
        <v>12</v>
      </c>
    </row>
    <row r="28" spans="1:25" ht="16.75">
      <c r="A28" s="46"/>
      <c r="B28" s="10"/>
      <c r="D28" s="10"/>
      <c r="E28" s="10"/>
      <c r="F28" s="10"/>
      <c r="Y28" s="16" t="s">
        <v>24</v>
      </c>
    </row>
    <row r="29" spans="1:25" ht="16.75">
      <c r="A29" s="10"/>
      <c r="B29" s="10"/>
      <c r="D29" s="10"/>
      <c r="E29" s="10"/>
      <c r="F29" s="10"/>
      <c r="Y29" s="16" t="s">
        <v>8</v>
      </c>
    </row>
    <row r="30" spans="1:25" ht="16.75">
      <c r="A30" s="10"/>
      <c r="B30" s="10"/>
      <c r="D30" s="10"/>
      <c r="E30" s="10"/>
      <c r="F30" s="10"/>
      <c r="Y30" s="16" t="s">
        <v>20</v>
      </c>
    </row>
    <row r="31" spans="1:25" ht="16.75">
      <c r="A31" s="10"/>
      <c r="B31" s="10"/>
      <c r="D31" s="10"/>
      <c r="E31" s="10"/>
      <c r="F31" s="10"/>
      <c r="Y31" s="16" t="s">
        <v>11</v>
      </c>
    </row>
    <row r="32" spans="1:25">
      <c r="A32" s="46"/>
      <c r="B32" s="10"/>
      <c r="D32" s="10"/>
      <c r="E32" s="10"/>
      <c r="F32" s="10"/>
    </row>
    <row r="33" spans="1:21">
      <c r="A33" s="10"/>
      <c r="B33" s="10"/>
      <c r="D33" s="10"/>
      <c r="E33" s="10"/>
      <c r="F33" s="10"/>
    </row>
    <row r="34" spans="1:21">
      <c r="A34" s="10"/>
      <c r="B34" s="10"/>
      <c r="D34" s="10"/>
      <c r="E34" s="10"/>
      <c r="F34" s="10"/>
    </row>
    <row r="35" spans="1:21">
      <c r="A35" s="10"/>
      <c r="B35" s="10"/>
      <c r="D35" s="10"/>
      <c r="E35" s="10"/>
      <c r="F35" s="10"/>
    </row>
    <row r="36" spans="1:21">
      <c r="A36" s="10"/>
      <c r="B36" s="10"/>
      <c r="D36" s="10"/>
      <c r="E36" s="10"/>
      <c r="F36" s="10"/>
    </row>
    <row r="37" spans="1:21">
      <c r="A37" s="10"/>
      <c r="B37" s="10"/>
    </row>
    <row r="38" spans="1:21">
      <c r="A38" s="30" t="s">
        <v>182</v>
      </c>
      <c r="B38" s="30"/>
      <c r="D38" s="104" t="s">
        <v>222</v>
      </c>
      <c r="E38" s="105"/>
      <c r="F38" s="105"/>
      <c r="G38" s="106"/>
      <c r="I38" s="98" t="s">
        <v>224</v>
      </c>
      <c r="J38" s="99"/>
      <c r="K38" s="99"/>
      <c r="L38" s="99"/>
      <c r="M38" s="100"/>
      <c r="O38" s="94" t="s">
        <v>229</v>
      </c>
      <c r="P38" s="94"/>
      <c r="Q38" s="94"/>
      <c r="R38" s="94"/>
      <c r="S38" s="94"/>
      <c r="T38" s="94"/>
      <c r="U38" s="94"/>
    </row>
    <row r="39" spans="1:21">
      <c r="A39" s="32" t="s">
        <v>251</v>
      </c>
      <c r="B39" s="33" t="s">
        <v>252</v>
      </c>
      <c r="D39" s="34" t="s">
        <v>220</v>
      </c>
      <c r="E39" s="34" t="s">
        <v>219</v>
      </c>
      <c r="F39" s="34" t="s">
        <v>221</v>
      </c>
      <c r="G39" s="34" t="s">
        <v>223</v>
      </c>
      <c r="I39" s="101" t="s">
        <v>225</v>
      </c>
      <c r="J39" s="102"/>
      <c r="K39" s="103"/>
      <c r="L39" s="101" t="s">
        <v>226</v>
      </c>
      <c r="M39" s="103"/>
      <c r="O39" s="95" t="s">
        <v>227</v>
      </c>
      <c r="P39" s="96"/>
      <c r="Q39" s="96"/>
      <c r="R39" s="96"/>
      <c r="S39" s="97"/>
      <c r="T39" s="95" t="s">
        <v>228</v>
      </c>
      <c r="U39" s="97"/>
    </row>
    <row r="40" spans="1:21">
      <c r="A40" s="46" t="s">
        <v>108</v>
      </c>
      <c r="B40" s="10" t="s">
        <v>4</v>
      </c>
      <c r="D40" s="10" t="str">
        <f>IF(INDEX($A$3:$B$17,MATCH(D3,$A$3:$A$17,0),2)&lt;&gt;0,INDEX($A$3:$B$17,MATCH(D3,$A$3:$A$18,0),2),D3)</f>
        <v>objetivo</v>
      </c>
      <c r="E40" s="10" t="str">
        <f>IF(INDEX($A$40:$B$50,MATCH(E3,$A$40:$A$50,0),2)&lt;&gt;0,INDEX($A$40:$B$50,MATCH(E3,$A$40:$A$50,0),2),E3)</f>
        <v>rdfs:seeAlso</v>
      </c>
      <c r="F40" s="10" t="str">
        <f>IF(INDEX($A$3:$B$17,MATCH(F3,$A$3:$A$17,0),2)&lt;&gt;0,INDEX($A$3:$B$17,MATCH(F3,$A$3:$A$17,0),2),F3)</f>
        <v>nivel</v>
      </c>
      <c r="G40" s="3" t="str">
        <f>IF(INDEX($A$3:$B$17,MATCH(F3,$A$3:$A$17,0),2)&lt;&gt;0,"OK","NOK")</f>
        <v>OK</v>
      </c>
      <c r="I40" s="10" t="str">
        <f t="shared" ref="I40:I52" si="1">D40 &amp;"-"&amp;F40</f>
        <v>objetivo-nivel</v>
      </c>
      <c r="J40" s="10"/>
      <c r="K40" s="10"/>
      <c r="L40" s="3" t="e">
        <f>IF(INDEX(GRAFO!$L$2:'GRAFO'!$L$41,MATCH(I40,GRAFO!$L$2:'GRAFO'!$L$41,0),1)&lt;&gt;0,1,0)</f>
        <v>#N/A</v>
      </c>
      <c r="M40" s="3">
        <f>IFERROR(L40,0)</f>
        <v>0</v>
      </c>
      <c r="O40" s="10" t="str">
        <f t="shared" ref="O40:O52" si="2">D40 &amp; "-" &amp; E40 &amp; "-" &amp; F40</f>
        <v>objetivo-rdfs:seeAlso-nivel</v>
      </c>
      <c r="P40" s="10"/>
      <c r="Q40" s="10"/>
      <c r="R40" s="10"/>
      <c r="S40" s="10"/>
      <c r="T40" s="10" t="e">
        <f>IF(INDEX(GRAFO!$M$2:'GRAFO'!$M$41,MATCH(O40,GRAFO!$M$2:'GRAFO'!$M$41,0),1)&lt;&gt;0,1,0)</f>
        <v>#N/A</v>
      </c>
      <c r="U40" s="10">
        <f>IFERROR(T40,0)</f>
        <v>0</v>
      </c>
    </row>
    <row r="41" spans="1:21">
      <c r="A41" s="46" t="s">
        <v>107</v>
      </c>
      <c r="B41" s="10" t="s">
        <v>4</v>
      </c>
      <c r="D41" s="10" t="str">
        <f t="shared" ref="D41:D52" si="3">IF(INDEX($A$3:$B$17,MATCH(D4,$A$3:$A$17,0),2)&lt;&gt;0,INDEX($A$3:$B$17,MATCH(D4,$A$3:$A$18,0),2),D4)</f>
        <v>nivel</v>
      </c>
      <c r="E41" s="10" t="str">
        <f t="shared" ref="E41:E52" si="4">IF(INDEX($A$40:$B$50,MATCH(E4,$A$40:$A$50,0),2)&lt;&gt;0,INDEX($A$40:$B$50,MATCH(E4,$A$40:$A$50,0),2),E4)</f>
        <v>rdfs:seeAlso</v>
      </c>
      <c r="F41" s="10" t="str">
        <f t="shared" ref="F41:F52" si="5">IF(INDEX($A$3:$B$17,MATCH(F4,$A$3:$A$17,0),2)&lt;&gt;0,INDEX($A$3:$B$17,MATCH(F4,$A$3:$A$17,0),2),F4)</f>
        <v>plano</v>
      </c>
      <c r="G41" s="3" t="str">
        <f t="shared" ref="G41:G52" si="6">IF(INDEX($A$3:$B$17,MATCH(F4,$A$3:$A$17,0),2)&lt;&gt;0,"OK","NOK")</f>
        <v>NOK</v>
      </c>
      <c r="I41" s="10" t="str">
        <f t="shared" si="1"/>
        <v>nivel-plano</v>
      </c>
      <c r="J41" s="10"/>
      <c r="K41" s="10"/>
      <c r="L41" s="3" t="e">
        <f>IF(INDEX(GRAFO!$L$2:'GRAFO'!$L$41,MATCH(I41,GRAFO!$L$2:'GRAFO'!$L$41,0),1)&lt;&gt;0,1,0)</f>
        <v>#N/A</v>
      </c>
      <c r="M41" s="3">
        <f t="shared" ref="M41:M52" si="7">IFERROR(L41,0)</f>
        <v>0</v>
      </c>
      <c r="O41" s="10" t="str">
        <f t="shared" si="2"/>
        <v>nivel-rdfs:seeAlso-plano</v>
      </c>
      <c r="P41" s="10"/>
      <c r="Q41" s="10"/>
      <c r="R41" s="10"/>
      <c r="S41" s="10"/>
      <c r="T41" s="10" t="e">
        <f>IF(INDEX(GRAFO!$M$2:'GRAFO'!$M$41,MATCH(O41,GRAFO!$M$2:'GRAFO'!$M$41,0),1)&lt;&gt;0,1,0)</f>
        <v>#N/A</v>
      </c>
      <c r="U41" s="10">
        <f t="shared" ref="U41:U52" si="8">IFERROR(T41,0)</f>
        <v>0</v>
      </c>
    </row>
    <row r="42" spans="1:21">
      <c r="A42" s="46" t="s">
        <v>142</v>
      </c>
      <c r="B42" s="10" t="s">
        <v>7</v>
      </c>
      <c r="D42" s="10" t="str">
        <f t="shared" si="3"/>
        <v>nivel</v>
      </c>
      <c r="E42" s="10" t="str">
        <f t="shared" si="4"/>
        <v>c2rm:responsible_for</v>
      </c>
      <c r="F42" s="10" t="str">
        <f t="shared" si="5"/>
        <v>comando_supremo</v>
      </c>
      <c r="G42" s="3" t="str">
        <f t="shared" si="6"/>
        <v>OK</v>
      </c>
      <c r="I42" s="10" t="str">
        <f t="shared" si="1"/>
        <v>nivel-comando_supremo</v>
      </c>
      <c r="J42" s="10"/>
      <c r="K42" s="10"/>
      <c r="L42" s="3" t="e">
        <f>IF(INDEX(GRAFO!$L$2:'GRAFO'!$L$41,MATCH(I42,GRAFO!$L$2:'GRAFO'!$L$41,0),1)&lt;&gt;0,1,0)</f>
        <v>#N/A</v>
      </c>
      <c r="M42" s="3">
        <f t="shared" si="7"/>
        <v>0</v>
      </c>
      <c r="O42" s="10" t="str">
        <f t="shared" si="2"/>
        <v>nivel-c2rm:responsible_for-comando_supremo</v>
      </c>
      <c r="P42" s="10"/>
      <c r="Q42" s="10"/>
      <c r="R42" s="10"/>
      <c r="S42" s="10"/>
      <c r="T42" s="10" t="e">
        <f>IF(INDEX(GRAFO!$M$2:'GRAFO'!$M$41,MATCH(O42,GRAFO!$M$2:'GRAFO'!$M$41,0),1)&lt;&gt;0,1,0)</f>
        <v>#N/A</v>
      </c>
      <c r="U42" s="10">
        <f t="shared" si="8"/>
        <v>0</v>
      </c>
    </row>
    <row r="43" spans="1:21">
      <c r="A43" s="46" t="s">
        <v>104</v>
      </c>
      <c r="B43" s="10" t="s">
        <v>7</v>
      </c>
      <c r="D43" s="10" t="str">
        <f t="shared" si="3"/>
        <v>comando_supremo</v>
      </c>
      <c r="E43" s="10" t="str">
        <f t="shared" si="4"/>
        <v>c2rm:responsible_for</v>
      </c>
      <c r="F43" s="10" t="str">
        <f t="shared" si="5"/>
        <v>forcas_armadas</v>
      </c>
      <c r="G43" s="3" t="str">
        <f t="shared" si="6"/>
        <v>OK</v>
      </c>
      <c r="I43" s="10" t="str">
        <f t="shared" si="1"/>
        <v>comando_supremo-forcas_armadas</v>
      </c>
      <c r="J43" s="10"/>
      <c r="K43" s="10"/>
      <c r="L43" s="3" t="e">
        <f>IF(INDEX(GRAFO!$L$2:'GRAFO'!$L$41,MATCH(I43,GRAFO!$L$2:'GRAFO'!$L$41,0),1)&lt;&gt;0,1,0)</f>
        <v>#N/A</v>
      </c>
      <c r="M43" s="3">
        <f t="shared" si="7"/>
        <v>0</v>
      </c>
      <c r="O43" s="10" t="str">
        <f t="shared" si="2"/>
        <v>comando_supremo-c2rm:responsible_for-forcas_armadas</v>
      </c>
      <c r="P43" s="10"/>
      <c r="Q43" s="10"/>
      <c r="R43" s="10"/>
      <c r="S43" s="10"/>
      <c r="T43" s="10" t="e">
        <f>IF(INDEX(GRAFO!$M$2:'GRAFO'!$M$41,MATCH(O43,GRAFO!$M$2:'GRAFO'!$M$41,0),1)&lt;&gt;0,1,0)</f>
        <v>#N/A</v>
      </c>
      <c r="U43" s="10">
        <f t="shared" si="8"/>
        <v>0</v>
      </c>
    </row>
    <row r="44" spans="1:21">
      <c r="A44" s="46" t="s">
        <v>376</v>
      </c>
      <c r="B44" s="10" t="s">
        <v>7</v>
      </c>
      <c r="D44" s="10" t="str">
        <f t="shared" si="3"/>
        <v>forcas_armadas</v>
      </c>
      <c r="E44" s="10" t="str">
        <f t="shared" si="4"/>
        <v>c2rm:responsible_for</v>
      </c>
      <c r="F44" s="10" t="str">
        <f t="shared" si="5"/>
        <v>forca_componente</v>
      </c>
      <c r="G44" s="3" t="str">
        <f t="shared" si="6"/>
        <v>OK</v>
      </c>
      <c r="I44" s="10" t="str">
        <f t="shared" si="1"/>
        <v>forcas_armadas-forca_componente</v>
      </c>
      <c r="J44" s="10"/>
      <c r="K44" s="10"/>
      <c r="L44" s="3" t="e">
        <f>IF(INDEX(GRAFO!$L$2:'GRAFO'!$L$41,MATCH(I44,GRAFO!$L$2:'GRAFO'!$L$41,0),1)&lt;&gt;0,1,0)</f>
        <v>#N/A</v>
      </c>
      <c r="M44" s="3">
        <f t="shared" si="7"/>
        <v>0</v>
      </c>
      <c r="O44" s="10" t="str">
        <f t="shared" si="2"/>
        <v>forcas_armadas-c2rm:responsible_for-forca_componente</v>
      </c>
      <c r="P44" s="10"/>
      <c r="Q44" s="10"/>
      <c r="R44" s="10"/>
      <c r="S44" s="10"/>
      <c r="T44" s="10" t="e">
        <f>IF(INDEX(GRAFO!$M$2:'GRAFO'!$M$41,MATCH(O44,GRAFO!$M$2:'GRAFO'!$M$41,0),1)&lt;&gt;0,1,0)</f>
        <v>#N/A</v>
      </c>
      <c r="U44" s="10">
        <f t="shared" si="8"/>
        <v>0</v>
      </c>
    </row>
    <row r="45" spans="1:21">
      <c r="A45" s="46" t="s">
        <v>105</v>
      </c>
      <c r="B45" s="10" t="s">
        <v>7</v>
      </c>
      <c r="D45" s="10" t="str">
        <f t="shared" si="3"/>
        <v>forca_componente</v>
      </c>
      <c r="E45" s="10" t="str">
        <f t="shared" si="4"/>
        <v>c2rm:responsible_for</v>
      </c>
      <c r="F45" s="10" t="str">
        <f t="shared" si="5"/>
        <v>missao</v>
      </c>
      <c r="G45" s="3" t="str">
        <f t="shared" si="6"/>
        <v>NOK</v>
      </c>
      <c r="H45">
        <f>COUNTIFS(GRAFO!C2:C42,"=D34",GRAFO!E2:E42,"=F34")</f>
        <v>0</v>
      </c>
      <c r="I45" s="10" t="str">
        <f t="shared" si="1"/>
        <v>forca_componente-missao</v>
      </c>
      <c r="J45" s="10"/>
      <c r="K45" s="10"/>
      <c r="L45" s="3" t="e">
        <f>IF(INDEX(GRAFO!$L$2:'GRAFO'!$L$41,MATCH(I45,GRAFO!$L$2:'GRAFO'!$L$41,0),1)&lt;&gt;0,1,0)</f>
        <v>#N/A</v>
      </c>
      <c r="M45" s="3">
        <f t="shared" si="7"/>
        <v>0</v>
      </c>
      <c r="O45" s="10" t="str">
        <f t="shared" si="2"/>
        <v>forca_componente-c2rm:responsible_for-missao</v>
      </c>
      <c r="P45" s="10"/>
      <c r="Q45" s="10"/>
      <c r="R45" s="10"/>
      <c r="S45" s="10"/>
      <c r="T45" s="10" t="e">
        <f>IF(INDEX(GRAFO!$M$2:'GRAFO'!$M$41,MATCH(O45,GRAFO!$M$2:'GRAFO'!$M$41,0),1)&lt;&gt;0,1,0)</f>
        <v>#N/A</v>
      </c>
      <c r="U45" s="10">
        <f t="shared" si="8"/>
        <v>0</v>
      </c>
    </row>
    <row r="46" spans="1:21">
      <c r="A46" s="46" t="s">
        <v>209</v>
      </c>
      <c r="B46" s="10" t="s">
        <v>5</v>
      </c>
      <c r="D46" s="10" t="str">
        <f t="shared" si="3"/>
        <v>forcas_armadas</v>
      </c>
      <c r="E46" s="10" t="str">
        <f t="shared" si="4"/>
        <v>c2rm:applied_to</v>
      </c>
      <c r="F46" s="10" t="str">
        <f t="shared" si="5"/>
        <v>operacao_conjunta</v>
      </c>
      <c r="G46" s="3" t="str">
        <f t="shared" si="6"/>
        <v>OK</v>
      </c>
      <c r="I46" s="10" t="str">
        <f t="shared" si="1"/>
        <v>forcas_armadas-operacao_conjunta</v>
      </c>
      <c r="J46" s="10"/>
      <c r="K46" s="10"/>
      <c r="L46" s="3">
        <f>IF(INDEX(GRAFO!$L$2:'GRAFO'!$L$41,MATCH(I46,GRAFO!$L$2:'GRAFO'!$L$41,0),1)&lt;&gt;0,1,0)</f>
        <v>1</v>
      </c>
      <c r="M46" s="3">
        <f t="shared" si="7"/>
        <v>1</v>
      </c>
      <c r="O46" s="10" t="str">
        <f t="shared" si="2"/>
        <v>forcas_armadas-c2rm:applied_to-operacao_conjunta</v>
      </c>
      <c r="P46" s="10"/>
      <c r="Q46" s="10"/>
      <c r="R46" s="10"/>
      <c r="S46" s="10"/>
      <c r="T46" s="10" t="e">
        <f>IF(INDEX(GRAFO!$M$2:'GRAFO'!$M$41,MATCH(O46,GRAFO!$M$2:'GRAFO'!$M$41,0),1)&lt;&gt;0,1,0)</f>
        <v>#N/A</v>
      </c>
      <c r="U46" s="10">
        <f t="shared" si="8"/>
        <v>0</v>
      </c>
    </row>
    <row r="47" spans="1:21">
      <c r="A47" s="46" t="s">
        <v>215</v>
      </c>
      <c r="B47" s="10" t="s">
        <v>7</v>
      </c>
      <c r="C47" s="24"/>
      <c r="D47" s="10" t="str">
        <f t="shared" si="3"/>
        <v>comandos_operacionais</v>
      </c>
      <c r="E47" s="10" t="str">
        <f t="shared" si="4"/>
        <v>c2rm:responsible_for</v>
      </c>
      <c r="F47" s="10" t="str">
        <f t="shared" si="5"/>
        <v>operacao_conjunta</v>
      </c>
      <c r="G47" s="3" t="str">
        <f t="shared" si="6"/>
        <v>OK</v>
      </c>
      <c r="I47" s="10" t="str">
        <f t="shared" si="1"/>
        <v>comandos_operacionais-operacao_conjunta</v>
      </c>
      <c r="J47" s="10"/>
      <c r="K47" s="10"/>
      <c r="L47" s="3" t="e">
        <f>IF(INDEX(GRAFO!$L$2:'GRAFO'!$L$41,MATCH(I47,GRAFO!$L$2:'GRAFO'!$L$41,0),1)&lt;&gt;0,1,0)</f>
        <v>#N/A</v>
      </c>
      <c r="M47" s="3">
        <f t="shared" si="7"/>
        <v>0</v>
      </c>
      <c r="O47" s="10" t="str">
        <f t="shared" si="2"/>
        <v>comandos_operacionais-c2rm:responsible_for-operacao_conjunta</v>
      </c>
      <c r="P47" s="10"/>
      <c r="Q47" s="10"/>
      <c r="R47" s="10"/>
      <c r="S47" s="10"/>
      <c r="T47" s="10" t="e">
        <f>IF(INDEX(GRAFO!$M$2:'GRAFO'!$M$41,MATCH(O47,GRAFO!$M$2:'GRAFO'!$M$41,0),1)&lt;&gt;0,1,0)</f>
        <v>#N/A</v>
      </c>
      <c r="U47" s="10">
        <f t="shared" si="8"/>
        <v>0</v>
      </c>
    </row>
    <row r="48" spans="1:21">
      <c r="A48" s="46" t="s">
        <v>243</v>
      </c>
      <c r="B48" s="10" t="s">
        <v>4</v>
      </c>
      <c r="C48" s="9" t="str">
        <f t="shared" ref="C48:C63" si="9">IF(INDEX($A$3:$B$18,MATCH(D3,$A$3:$A$17,0),2)&lt;&gt;0,"OK","NOK")</f>
        <v>NOK</v>
      </c>
      <c r="D48" s="10" t="str">
        <f t="shared" si="3"/>
        <v>diretriz</v>
      </c>
      <c r="E48" s="10" t="str">
        <f t="shared" si="4"/>
        <v>c2rm:applied_to</v>
      </c>
      <c r="F48" s="10" t="str">
        <f t="shared" si="5"/>
        <v>operacao_conjunta</v>
      </c>
      <c r="G48" s="3" t="str">
        <f t="shared" si="6"/>
        <v>OK</v>
      </c>
      <c r="I48" s="10" t="str">
        <f t="shared" si="1"/>
        <v>diretriz-operacao_conjunta</v>
      </c>
      <c r="J48" s="10"/>
      <c r="K48" s="10"/>
      <c r="L48" s="3" t="e">
        <f>IF(INDEX(GRAFO!$L$2:'GRAFO'!$L$41,MATCH(I48,GRAFO!$L$2:'GRAFO'!$L$41,0),1)&lt;&gt;0,1,0)</f>
        <v>#N/A</v>
      </c>
      <c r="M48" s="3">
        <f t="shared" si="7"/>
        <v>0</v>
      </c>
      <c r="O48" s="10" t="str">
        <f t="shared" si="2"/>
        <v>diretriz-c2rm:applied_to-operacao_conjunta</v>
      </c>
      <c r="P48" s="10"/>
      <c r="Q48" s="10"/>
      <c r="R48" s="10"/>
      <c r="S48" s="10"/>
      <c r="T48" s="10" t="e">
        <f>IF(INDEX(GRAFO!$M$2:'GRAFO'!$M$41,MATCH(O48,GRAFO!$M$2:'GRAFO'!$M$41,0),1)&lt;&gt;0,1,0)</f>
        <v>#N/A</v>
      </c>
      <c r="U48" s="10">
        <f t="shared" si="8"/>
        <v>0</v>
      </c>
    </row>
    <row r="49" spans="1:21">
      <c r="A49" s="46" t="s">
        <v>308</v>
      </c>
      <c r="B49" s="10" t="s">
        <v>5</v>
      </c>
      <c r="C49" s="9" t="str">
        <f t="shared" si="9"/>
        <v>OK</v>
      </c>
      <c r="D49" s="10" t="str">
        <f t="shared" si="3"/>
        <v>c_log</v>
      </c>
      <c r="E49" s="10" t="str">
        <f t="shared" si="4"/>
        <v>rdfs:seeAlso</v>
      </c>
      <c r="F49" s="10" t="str">
        <f t="shared" si="5"/>
        <v>operacao_conjunta</v>
      </c>
      <c r="G49" s="3" t="str">
        <f t="shared" si="6"/>
        <v>OK</v>
      </c>
      <c r="I49" s="10" t="str">
        <f t="shared" si="1"/>
        <v>c_log-operacao_conjunta</v>
      </c>
      <c r="J49" s="10"/>
      <c r="K49" s="10"/>
      <c r="L49" s="3" t="e">
        <f>IF(INDEX(GRAFO!$L$2:'GRAFO'!$L$41,MATCH(I49,GRAFO!$L$2:'GRAFO'!$L$41,0),1)&lt;&gt;0,1,0)</f>
        <v>#N/A</v>
      </c>
      <c r="M49" s="3">
        <f t="shared" si="7"/>
        <v>0</v>
      </c>
      <c r="O49" s="10" t="str">
        <f t="shared" si="2"/>
        <v>c_log-rdfs:seeAlso-operacao_conjunta</v>
      </c>
      <c r="P49" s="10"/>
      <c r="Q49" s="10"/>
      <c r="R49" s="10"/>
      <c r="S49" s="10"/>
      <c r="T49" s="10" t="e">
        <f>IF(INDEX(GRAFO!$M$2:'GRAFO'!$M$41,MATCH(O49,GRAFO!$M$2:'GRAFO'!$M$41,0),1)&lt;&gt;0,1,0)</f>
        <v>#N/A</v>
      </c>
      <c r="U49" s="10">
        <f t="shared" si="8"/>
        <v>0</v>
      </c>
    </row>
    <row r="50" spans="1:21">
      <c r="A50" s="46" t="s">
        <v>294</v>
      </c>
      <c r="B50" s="10" t="s">
        <v>5</v>
      </c>
      <c r="C50" s="9" t="str">
        <f t="shared" si="9"/>
        <v>OK</v>
      </c>
      <c r="D50" s="10" t="str">
        <f t="shared" si="3"/>
        <v>comandos_operacionais</v>
      </c>
      <c r="E50" s="10" t="str">
        <f t="shared" si="4"/>
        <v>c2rm:responsible_for</v>
      </c>
      <c r="F50" s="10" t="str">
        <f t="shared" si="5"/>
        <v>ar</v>
      </c>
      <c r="G50" s="3" t="str">
        <f t="shared" si="6"/>
        <v>NOK</v>
      </c>
      <c r="I50" s="10" t="str">
        <f t="shared" si="1"/>
        <v>comandos_operacionais-ar</v>
      </c>
      <c r="J50" s="10"/>
      <c r="K50" s="10"/>
      <c r="L50" s="3" t="e">
        <f>IF(INDEX(GRAFO!$L$2:'GRAFO'!$L$41,MATCH(I50,GRAFO!$L$2:'GRAFO'!$L$41,0),1)&lt;&gt;0,1,0)</f>
        <v>#N/A</v>
      </c>
      <c r="M50" s="3">
        <f t="shared" si="7"/>
        <v>0</v>
      </c>
      <c r="O50" s="10" t="str">
        <f t="shared" si="2"/>
        <v>comandos_operacionais-c2rm:responsible_for-ar</v>
      </c>
      <c r="P50" s="10"/>
      <c r="Q50" s="10"/>
      <c r="R50" s="10"/>
      <c r="S50" s="10"/>
      <c r="T50" s="10" t="e">
        <f>IF(INDEX(GRAFO!$M$2:'GRAFO'!$M$41,MATCH(O50,GRAFO!$M$2:'GRAFO'!$M$41,0),1)&lt;&gt;0,1,0)</f>
        <v>#N/A</v>
      </c>
      <c r="U50" s="10">
        <f t="shared" si="8"/>
        <v>0</v>
      </c>
    </row>
    <row r="51" spans="1:21">
      <c r="A51" s="10"/>
      <c r="B51" s="10"/>
      <c r="C51" s="9" t="str">
        <f t="shared" si="9"/>
        <v>OK</v>
      </c>
      <c r="D51" s="10" t="str">
        <f t="shared" si="3"/>
        <v>a_op</v>
      </c>
      <c r="E51" s="10" t="str">
        <f t="shared" si="4"/>
        <v>rdfs:seeAlso</v>
      </c>
      <c r="F51" s="10" t="str">
        <f t="shared" si="5"/>
        <v>ar</v>
      </c>
      <c r="G51" s="3" t="str">
        <f t="shared" si="6"/>
        <v>NOK</v>
      </c>
      <c r="I51" s="10" t="str">
        <f t="shared" si="1"/>
        <v>a_op-ar</v>
      </c>
      <c r="J51" s="10"/>
      <c r="K51" s="10"/>
      <c r="L51" s="3" t="e">
        <f>IF(INDEX(GRAFO!$L$2:'GRAFO'!$L$41,MATCH(I51,GRAFO!$L$2:'GRAFO'!$L$41,0),1)&lt;&gt;0,1,0)</f>
        <v>#N/A</v>
      </c>
      <c r="M51" s="3">
        <f t="shared" si="7"/>
        <v>0</v>
      </c>
      <c r="O51" s="10" t="str">
        <f t="shared" si="2"/>
        <v>a_op-rdfs:seeAlso-ar</v>
      </c>
      <c r="P51" s="10"/>
      <c r="Q51" s="10"/>
      <c r="R51" s="10"/>
      <c r="S51" s="10"/>
      <c r="T51" s="10" t="e">
        <f>IF(INDEX(GRAFO!$M$2:'GRAFO'!$M$41,MATCH(O51,GRAFO!$M$2:'GRAFO'!$M$41,0),1)&lt;&gt;0,1,0)</f>
        <v>#N/A</v>
      </c>
      <c r="U51" s="10">
        <f t="shared" si="8"/>
        <v>0</v>
      </c>
    </row>
    <row r="52" spans="1:21">
      <c r="A52" s="10"/>
      <c r="B52" s="10"/>
      <c r="C52" s="9" t="str">
        <f t="shared" si="9"/>
        <v>OK</v>
      </c>
      <c r="D52" s="10" t="str">
        <f t="shared" si="3"/>
        <v>a_op</v>
      </c>
      <c r="E52" s="10" t="str">
        <f t="shared" si="4"/>
        <v>c2rm:applied_to</v>
      </c>
      <c r="F52" s="10" t="str">
        <f t="shared" si="5"/>
        <v>meio</v>
      </c>
      <c r="G52" s="3" t="str">
        <f t="shared" si="6"/>
        <v>NOK</v>
      </c>
      <c r="I52" s="10" t="str">
        <f t="shared" si="1"/>
        <v>a_op-meio</v>
      </c>
      <c r="J52" s="10"/>
      <c r="K52" s="10"/>
      <c r="L52" s="3" t="e">
        <f>IF(INDEX(GRAFO!$L$2:'GRAFO'!$L$41,MATCH(I52,GRAFO!$L$2:'GRAFO'!$L$41,0),1)&lt;&gt;0,1,0)</f>
        <v>#N/A</v>
      </c>
      <c r="M52" s="3">
        <f t="shared" si="7"/>
        <v>0</v>
      </c>
      <c r="O52" s="10" t="str">
        <f t="shared" si="2"/>
        <v>a_op-c2rm:applied_to-meio</v>
      </c>
      <c r="P52" s="10"/>
      <c r="Q52" s="10"/>
      <c r="R52" s="10"/>
      <c r="S52" s="10"/>
      <c r="T52" s="10" t="e">
        <f>IF(INDEX(GRAFO!$M$2:'GRAFO'!$M$41,MATCH(O52,GRAFO!$M$2:'GRAFO'!$M$41,0),1)&lt;&gt;0,1,0)</f>
        <v>#N/A</v>
      </c>
      <c r="U52" s="10">
        <f t="shared" si="8"/>
        <v>0</v>
      </c>
    </row>
    <row r="53" spans="1:21">
      <c r="A53" s="46"/>
      <c r="B53" s="10"/>
      <c r="C53" s="9" t="str">
        <f t="shared" si="9"/>
        <v>OK</v>
      </c>
      <c r="D53" s="10"/>
      <c r="E53" s="10"/>
      <c r="F53" s="10"/>
      <c r="G53" s="3"/>
      <c r="I53" s="10"/>
      <c r="J53" s="10"/>
      <c r="K53" s="10"/>
      <c r="L53" s="3"/>
      <c r="M53" s="3"/>
      <c r="O53" s="10"/>
      <c r="P53" s="10"/>
      <c r="Q53" s="10"/>
      <c r="R53" s="10"/>
      <c r="S53" s="10"/>
      <c r="T53" s="10"/>
      <c r="U53" s="10"/>
    </row>
    <row r="54" spans="1:21">
      <c r="A54" s="46"/>
      <c r="B54" s="10"/>
      <c r="C54" s="9" t="str">
        <f t="shared" si="9"/>
        <v>OK</v>
      </c>
      <c r="D54" s="10"/>
      <c r="E54" s="10"/>
      <c r="F54" s="10"/>
      <c r="G54" s="3"/>
      <c r="I54" s="10"/>
      <c r="J54" s="10"/>
      <c r="K54" s="10"/>
      <c r="L54" s="3"/>
      <c r="M54" s="3"/>
      <c r="O54" s="10"/>
      <c r="P54" s="10"/>
      <c r="Q54" s="10"/>
      <c r="R54" s="10"/>
      <c r="S54" s="10"/>
      <c r="T54" s="10"/>
      <c r="U54" s="10"/>
    </row>
    <row r="55" spans="1:21">
      <c r="A55" s="46"/>
      <c r="B55" s="10"/>
      <c r="C55" s="9" t="str">
        <f t="shared" si="9"/>
        <v>OK</v>
      </c>
      <c r="D55" s="10"/>
      <c r="E55" s="10"/>
      <c r="F55" s="10"/>
      <c r="G55" s="3"/>
      <c r="I55" s="10"/>
      <c r="J55" s="10"/>
      <c r="K55" s="10"/>
      <c r="L55" s="3"/>
      <c r="M55" s="3"/>
      <c r="O55" s="10"/>
      <c r="P55" s="10"/>
      <c r="Q55" s="10"/>
      <c r="R55" s="10"/>
      <c r="S55" s="10"/>
      <c r="T55" s="10"/>
      <c r="U55" s="10"/>
    </row>
    <row r="56" spans="1:21">
      <c r="A56" s="10"/>
      <c r="B56" s="10"/>
      <c r="C56" s="9" t="str">
        <f t="shared" si="9"/>
        <v>NOK</v>
      </c>
      <c r="D56" s="10"/>
      <c r="E56" s="10"/>
      <c r="F56" s="10"/>
      <c r="G56" s="3"/>
      <c r="I56" s="10"/>
      <c r="J56" s="10"/>
      <c r="K56" s="10"/>
      <c r="L56" s="3"/>
      <c r="M56" s="3"/>
      <c r="O56" s="10"/>
      <c r="P56" s="10"/>
      <c r="Q56" s="10"/>
      <c r="R56" s="10"/>
      <c r="S56" s="10"/>
      <c r="T56" s="10"/>
      <c r="U56" s="10"/>
    </row>
    <row r="57" spans="1:21">
      <c r="C57" s="9" t="str">
        <f t="shared" si="9"/>
        <v>NOK</v>
      </c>
      <c r="D57" s="10"/>
      <c r="E57" s="10"/>
      <c r="F57" s="10"/>
      <c r="G57" s="3"/>
      <c r="I57" s="10"/>
      <c r="J57" s="10"/>
      <c r="K57" s="10"/>
      <c r="L57" s="3"/>
      <c r="M57" s="3"/>
      <c r="O57" s="10"/>
      <c r="P57" s="10"/>
      <c r="Q57" s="10"/>
      <c r="R57" s="10"/>
      <c r="S57" s="10"/>
      <c r="T57" s="10"/>
      <c r="U57" s="10"/>
    </row>
    <row r="58" spans="1:21">
      <c r="C58" s="9" t="str">
        <f t="shared" si="9"/>
        <v>OK</v>
      </c>
      <c r="D58" s="10"/>
      <c r="E58" s="10"/>
      <c r="F58" s="10"/>
      <c r="G58" s="3"/>
      <c r="I58" s="10"/>
      <c r="J58" s="10"/>
      <c r="K58" s="10"/>
      <c r="L58" s="3"/>
      <c r="M58" s="3"/>
      <c r="O58" s="10"/>
      <c r="P58" s="10"/>
      <c r="Q58" s="10"/>
      <c r="R58" s="10"/>
      <c r="S58" s="10"/>
      <c r="T58" s="10"/>
      <c r="U58" s="10"/>
    </row>
    <row r="59" spans="1:21">
      <c r="C59" s="9" t="str">
        <f t="shared" si="9"/>
        <v>NOK</v>
      </c>
      <c r="D59" s="10"/>
      <c r="E59" s="10"/>
      <c r="F59" s="10"/>
      <c r="G59" s="3"/>
      <c r="I59" s="10"/>
      <c r="J59" s="10"/>
      <c r="K59" s="10"/>
      <c r="L59" s="3"/>
      <c r="M59" s="3"/>
      <c r="O59" s="10"/>
      <c r="P59" s="10"/>
      <c r="Q59" s="10"/>
      <c r="R59" s="10"/>
      <c r="S59" s="10"/>
      <c r="T59" s="10"/>
      <c r="U59" s="10"/>
    </row>
    <row r="60" spans="1:21">
      <c r="C60" s="9" t="str">
        <f t="shared" si="9"/>
        <v>NOK</v>
      </c>
      <c r="D60" s="10"/>
      <c r="E60" s="10"/>
      <c r="F60" s="10"/>
      <c r="G60" s="3"/>
      <c r="I60" s="10"/>
      <c r="J60" s="10"/>
      <c r="K60" s="10"/>
      <c r="L60" s="3"/>
      <c r="M60" s="3"/>
      <c r="O60" s="10"/>
      <c r="P60" s="10"/>
      <c r="Q60" s="10"/>
      <c r="R60" s="10"/>
      <c r="S60" s="10"/>
      <c r="T60" s="10"/>
      <c r="U60" s="10"/>
    </row>
    <row r="61" spans="1:21">
      <c r="C61" s="9" t="e">
        <f t="shared" si="9"/>
        <v>#N/A</v>
      </c>
      <c r="D61" s="10"/>
      <c r="E61" s="10"/>
      <c r="F61" s="10"/>
      <c r="G61" s="3"/>
      <c r="I61" s="10"/>
      <c r="J61" s="10"/>
      <c r="K61" s="10"/>
      <c r="L61" s="3"/>
      <c r="M61" s="3"/>
      <c r="O61" s="10"/>
      <c r="P61" s="10"/>
      <c r="Q61" s="10"/>
      <c r="R61" s="10"/>
      <c r="S61" s="10"/>
      <c r="T61" s="10"/>
      <c r="U61" s="10"/>
    </row>
    <row r="62" spans="1:21">
      <c r="C62" s="9" t="e">
        <f t="shared" si="9"/>
        <v>#N/A</v>
      </c>
      <c r="D62" s="10"/>
      <c r="E62" s="10"/>
      <c r="F62" s="10"/>
      <c r="G62" s="3"/>
      <c r="I62" s="10"/>
      <c r="J62" s="10"/>
      <c r="K62" s="10"/>
      <c r="L62" s="3"/>
      <c r="M62" s="3"/>
      <c r="O62" s="10"/>
      <c r="P62" s="10"/>
      <c r="Q62" s="10"/>
      <c r="R62" s="10"/>
      <c r="S62" s="10"/>
      <c r="T62" s="10"/>
      <c r="U62" s="10"/>
    </row>
    <row r="63" spans="1:21">
      <c r="C63" s="9" t="e">
        <f t="shared" si="9"/>
        <v>#N/A</v>
      </c>
      <c r="D63" s="10"/>
      <c r="E63" s="10"/>
      <c r="F63" s="10"/>
      <c r="G63" s="3"/>
      <c r="I63" s="10"/>
      <c r="J63" s="10"/>
      <c r="K63" s="10"/>
      <c r="L63" s="3"/>
      <c r="M63" s="3"/>
      <c r="O63" s="10"/>
      <c r="P63" s="10"/>
      <c r="Q63" s="10"/>
      <c r="R63" s="10"/>
      <c r="S63" s="10"/>
      <c r="T63" s="10"/>
      <c r="U63" s="10"/>
    </row>
    <row r="64" spans="1:21">
      <c r="D64" s="10"/>
      <c r="E64" s="10"/>
      <c r="F64" s="10"/>
      <c r="G64" s="3"/>
      <c r="I64" s="10"/>
      <c r="J64" s="10"/>
      <c r="K64" s="10"/>
      <c r="L64" s="3"/>
      <c r="M64" s="3"/>
      <c r="O64" s="10"/>
      <c r="P64" s="10"/>
      <c r="Q64" s="10"/>
      <c r="R64" s="10"/>
      <c r="S64" s="10"/>
      <c r="T64" s="10"/>
      <c r="U64" s="10"/>
    </row>
    <row r="65" spans="4:21">
      <c r="D65" s="10"/>
      <c r="E65" s="10"/>
      <c r="F65" s="10"/>
      <c r="G65" s="3"/>
      <c r="I65" s="10"/>
      <c r="J65" s="10"/>
      <c r="K65" s="10"/>
      <c r="L65" s="3"/>
      <c r="M65" s="3"/>
      <c r="O65" s="10"/>
      <c r="P65" s="10"/>
      <c r="Q65" s="10"/>
      <c r="R65" s="10"/>
      <c r="S65" s="10"/>
      <c r="T65" s="10"/>
      <c r="U65" s="10"/>
    </row>
    <row r="66" spans="4:21">
      <c r="D66" s="10"/>
      <c r="E66" s="10"/>
      <c r="F66" s="10"/>
      <c r="G66" s="3"/>
      <c r="I66" s="10"/>
      <c r="J66" s="10"/>
      <c r="K66" s="10"/>
      <c r="L66" s="3"/>
      <c r="M66" s="3"/>
      <c r="O66" s="10"/>
      <c r="P66" s="10"/>
      <c r="Q66" s="10"/>
      <c r="R66" s="10"/>
      <c r="S66" s="10"/>
      <c r="T66" s="10"/>
      <c r="U66" s="10"/>
    </row>
    <row r="67" spans="4:21">
      <c r="D67" s="10"/>
      <c r="E67" s="10"/>
      <c r="F67" s="10"/>
      <c r="G67" s="3"/>
      <c r="I67" s="10"/>
      <c r="J67" s="10"/>
      <c r="K67" s="10"/>
      <c r="L67" s="3"/>
      <c r="M67" s="3"/>
      <c r="O67" s="10"/>
      <c r="P67" s="10"/>
      <c r="Q67" s="10"/>
      <c r="R67" s="10"/>
      <c r="S67" s="10"/>
      <c r="T67" s="10"/>
      <c r="U67" s="10"/>
    </row>
    <row r="68" spans="4:21">
      <c r="D68" s="10"/>
      <c r="E68" s="10"/>
      <c r="F68" s="10"/>
      <c r="G68" s="3"/>
      <c r="I68" s="10"/>
      <c r="J68" s="10"/>
      <c r="K68" s="10"/>
      <c r="L68" s="3"/>
      <c r="M68" s="3"/>
      <c r="O68" s="10"/>
      <c r="P68" s="10"/>
      <c r="Q68" s="10"/>
      <c r="R68" s="10"/>
      <c r="S68" s="10"/>
      <c r="T68" s="10"/>
      <c r="U68" s="10"/>
    </row>
    <row r="69" spans="4:21">
      <c r="D69" s="10"/>
      <c r="E69" s="10"/>
      <c r="F69" s="10"/>
      <c r="G69" s="3"/>
      <c r="I69" s="10"/>
      <c r="J69" s="10"/>
      <c r="K69" s="10"/>
      <c r="L69" s="3"/>
      <c r="M69" s="3"/>
      <c r="O69" s="10"/>
      <c r="P69" s="10"/>
      <c r="Q69" s="10"/>
      <c r="R69" s="10"/>
      <c r="S69" s="10"/>
      <c r="T69" s="10"/>
      <c r="U69" s="10"/>
    </row>
    <row r="70" spans="4:21">
      <c r="D70" s="10"/>
      <c r="E70" s="10"/>
      <c r="F70" s="10"/>
      <c r="G70" s="3"/>
      <c r="I70" s="10"/>
      <c r="J70" s="10"/>
      <c r="K70" s="10"/>
      <c r="L70" s="3"/>
      <c r="M70" s="3"/>
      <c r="O70" s="10"/>
      <c r="P70" s="10"/>
      <c r="Q70" s="10"/>
      <c r="R70" s="10"/>
      <c r="S70" s="10"/>
      <c r="T70" s="10"/>
      <c r="U70" s="10"/>
    </row>
    <row r="71" spans="4:21">
      <c r="D71" s="10"/>
      <c r="E71" s="10"/>
      <c r="F71" s="10"/>
      <c r="G71" s="3"/>
      <c r="I71" s="10"/>
      <c r="J71" s="10"/>
      <c r="K71" s="10"/>
      <c r="L71" s="3"/>
      <c r="M71" s="3"/>
      <c r="O71" s="10"/>
      <c r="P71" s="10"/>
      <c r="Q71" s="10"/>
      <c r="R71" s="10"/>
      <c r="S71" s="10"/>
      <c r="T71" s="10"/>
      <c r="U71" s="10"/>
    </row>
    <row r="72" spans="4:21">
      <c r="D72" s="10"/>
      <c r="E72" s="10"/>
      <c r="F72" s="10"/>
      <c r="G72" s="3"/>
      <c r="I72" s="10"/>
      <c r="J72" s="10"/>
      <c r="K72" s="10"/>
      <c r="L72" s="3"/>
      <c r="M72" s="3"/>
      <c r="O72" s="10"/>
      <c r="P72" s="10"/>
      <c r="Q72" s="10"/>
      <c r="R72" s="10"/>
      <c r="S72" s="10"/>
      <c r="T72" s="10"/>
      <c r="U72" s="10"/>
    </row>
    <row r="73" spans="4:21">
      <c r="D73" s="10"/>
      <c r="E73" s="10"/>
      <c r="F73" s="10"/>
      <c r="G73" s="3"/>
      <c r="I73" s="10"/>
      <c r="J73" s="10"/>
      <c r="K73" s="10"/>
      <c r="L73" s="3"/>
      <c r="M73" s="3"/>
      <c r="O73" s="10"/>
      <c r="P73" s="10"/>
      <c r="Q73" s="10"/>
      <c r="R73" s="10"/>
      <c r="S73" s="10"/>
      <c r="T73" s="10"/>
      <c r="U73" s="10"/>
    </row>
  </sheetData>
  <mergeCells count="10">
    <mergeCell ref="I39:K39"/>
    <mergeCell ref="L39:M39"/>
    <mergeCell ref="O39:S39"/>
    <mergeCell ref="T39:U39"/>
    <mergeCell ref="A1:B1"/>
    <mergeCell ref="D1:F1"/>
    <mergeCell ref="K4:K5"/>
    <mergeCell ref="D38:G38"/>
    <mergeCell ref="I38:M38"/>
    <mergeCell ref="O38:U38"/>
  </mergeCells>
  <dataValidations count="9">
    <dataValidation type="list" allowBlank="1" showInputMessage="1" showErrorMessage="1" sqref="F3:F36 D3:D36">
      <formula1>$A$3:$A$17</formula1>
    </dataValidation>
    <dataValidation type="list" allowBlank="1" showInputMessage="1" showErrorMessage="1" sqref="B3">
      <formula1>$Y$3:$Y$31</formula1>
    </dataValidation>
    <dataValidation type="list" allowBlank="1" showInputMessage="1" showErrorMessage="1" sqref="E37">
      <formula1>$A$40:$A$48</formula1>
    </dataValidation>
    <dataValidation type="list" allowBlank="1" showInputMessage="1" showErrorMessage="1" sqref="D37 F37">
      <formula1>$A$3:$A$28</formula1>
    </dataValidation>
    <dataValidation type="list" allowBlank="1" showInputMessage="1" showErrorMessage="1" sqref="B40:B56">
      <formula1>$AE$2:$AE$12</formula1>
    </dataValidation>
    <dataValidation type="list" allowBlank="1" showInputMessage="1" showErrorMessage="1" sqref="H3:H44 G3:G37">
      <formula1>$A$3:$A$22</formula1>
    </dataValidation>
    <dataValidation type="list" allowBlank="1" showInputMessage="1" showErrorMessage="1" sqref="C3:C37 B4:B37">
      <formula1>$Y$3:$Y$39</formula1>
    </dataValidation>
    <dataValidation type="list" allowBlank="1" showInputMessage="1" showErrorMessage="1" sqref="F38:G38">
      <formula1>$A$3:$A$27</formula1>
    </dataValidation>
    <dataValidation type="list" allowBlank="1" showInputMessage="1" showErrorMessage="1" sqref="E3:E36">
      <formula1>$A$40:$A$50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E116"/>
  <sheetViews>
    <sheetView topLeftCell="J1" zoomScale="115" zoomScaleNormal="115" workbookViewId="0">
      <selection activeCell="T3" sqref="T3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14.61328125" customWidth="1"/>
    <col min="13" max="13" width="7.61328125" customWidth="1"/>
    <col min="14" max="14" width="7.765625" customWidth="1"/>
    <col min="15" max="15" width="5.4609375" customWidth="1"/>
    <col min="16" max="16" width="5.15234375" customWidth="1"/>
    <col min="17" max="17" width="4.07421875" customWidth="1"/>
    <col min="18" max="18" width="3.53515625" customWidth="1"/>
    <col min="19" max="19" width="7.4609375" customWidth="1"/>
    <col min="20" max="20" width="8.15234375" customWidth="1"/>
    <col min="21" max="21" width="9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9" t="s">
        <v>184</v>
      </c>
      <c r="AD2" s="9" t="s">
        <v>195</v>
      </c>
      <c r="AE2" s="9" t="s">
        <v>35</v>
      </c>
    </row>
    <row r="3" spans="1:31" ht="39" customHeight="1">
      <c r="A3" s="46" t="s">
        <v>9</v>
      </c>
      <c r="B3" s="10" t="s">
        <v>9</v>
      </c>
      <c r="D3" s="10" t="s">
        <v>8</v>
      </c>
      <c r="E3" s="10" t="s">
        <v>101</v>
      </c>
      <c r="F3" s="10" t="s">
        <v>9</v>
      </c>
      <c r="J3" t="s">
        <v>36</v>
      </c>
      <c r="M3" s="81" t="s">
        <v>81</v>
      </c>
      <c r="N3" s="81" t="s">
        <v>82</v>
      </c>
      <c r="O3" s="81" t="s">
        <v>68</v>
      </c>
      <c r="P3" s="81" t="s">
        <v>83</v>
      </c>
      <c r="Q3" s="81" t="s">
        <v>70</v>
      </c>
      <c r="R3" s="81" t="s">
        <v>69</v>
      </c>
      <c r="S3" s="81" t="s">
        <v>253</v>
      </c>
      <c r="T3" s="81" t="s">
        <v>254</v>
      </c>
      <c r="U3" s="81" t="s">
        <v>71</v>
      </c>
      <c r="V3" s="81" t="s">
        <v>72</v>
      </c>
      <c r="W3" s="81" t="s">
        <v>73</v>
      </c>
      <c r="Y3" s="16" t="s">
        <v>33</v>
      </c>
      <c r="AC3" s="9" t="s">
        <v>185</v>
      </c>
      <c r="AD3" s="9" t="s">
        <v>196</v>
      </c>
      <c r="AE3" s="9" t="s">
        <v>4</v>
      </c>
    </row>
    <row r="4" spans="1:31" ht="16.75">
      <c r="A4" s="46" t="s">
        <v>8</v>
      </c>
      <c r="B4" s="10" t="s">
        <v>8</v>
      </c>
      <c r="D4" s="10" t="s">
        <v>10</v>
      </c>
      <c r="E4" s="10" t="s">
        <v>101</v>
      </c>
      <c r="F4" s="10" t="s">
        <v>9</v>
      </c>
      <c r="K4" s="85" t="s">
        <v>80</v>
      </c>
      <c r="L4" s="8" t="s">
        <v>0</v>
      </c>
      <c r="M4" s="4">
        <f>GRAFO!J2</f>
        <v>29</v>
      </c>
      <c r="N4" s="11">
        <f>COUNTA(A3:A37)</f>
        <v>35</v>
      </c>
      <c r="O4" s="11">
        <f>COUNTIF(B3:B37,"&lt;&gt;"&amp;"")</f>
        <v>23</v>
      </c>
      <c r="P4" s="2">
        <f>N4-R4</f>
        <v>23</v>
      </c>
      <c r="Q4" s="2">
        <f>M4-O4</f>
        <v>6</v>
      </c>
      <c r="R4" s="2">
        <f>N4-O4</f>
        <v>12</v>
      </c>
      <c r="S4" s="2">
        <f>O4+P4</f>
        <v>46</v>
      </c>
      <c r="T4" s="2">
        <f>Q4+R4</f>
        <v>18</v>
      </c>
      <c r="U4" s="6">
        <f>O4/(O4+R4)</f>
        <v>0.65714285714285714</v>
      </c>
      <c r="V4" s="6">
        <f>O4/(O4+Q4)</f>
        <v>0.7931034482758621</v>
      </c>
      <c r="W4" s="6">
        <f>(O4+P4)/(O4+P4+Q4+R4)</f>
        <v>0.71875</v>
      </c>
      <c r="X4" s="62">
        <f>AVERAGE(U4:W4)</f>
        <v>0.72299876847290634</v>
      </c>
      <c r="Y4" s="16" t="s">
        <v>21</v>
      </c>
      <c r="AC4" s="9" t="s">
        <v>186</v>
      </c>
      <c r="AD4" s="9" t="s">
        <v>197</v>
      </c>
      <c r="AE4" s="9" t="s">
        <v>205</v>
      </c>
    </row>
    <row r="5" spans="1:31" ht="16.75">
      <c r="A5" s="46" t="s">
        <v>10</v>
      </c>
      <c r="B5" s="10" t="s">
        <v>10</v>
      </c>
      <c r="D5" s="10" t="s">
        <v>12</v>
      </c>
      <c r="E5" s="10" t="s">
        <v>101</v>
      </c>
      <c r="F5" s="10" t="s">
        <v>9</v>
      </c>
      <c r="K5" s="85"/>
      <c r="L5" s="8" t="s">
        <v>100</v>
      </c>
      <c r="M5" s="5">
        <f>GRAFO!J3</f>
        <v>41</v>
      </c>
      <c r="N5" s="12">
        <f>COUNTA(D58:D102)</f>
        <v>45</v>
      </c>
      <c r="O5" s="12">
        <f>COUNTIF(M58:M102,"=1")</f>
        <v>11</v>
      </c>
      <c r="P5" s="2">
        <f>N5-R5</f>
        <v>11</v>
      </c>
      <c r="Q5" s="2">
        <f>M5-O5</f>
        <v>30</v>
      </c>
      <c r="R5" s="2">
        <f>N5-O5</f>
        <v>34</v>
      </c>
      <c r="S5" s="2">
        <f>O5+P5</f>
        <v>22</v>
      </c>
      <c r="T5" s="2">
        <f>Q5+R5</f>
        <v>64</v>
      </c>
      <c r="U5" s="6">
        <f>O5/(O5+R5)</f>
        <v>0.24444444444444444</v>
      </c>
      <c r="V5" s="6">
        <f>O5/(O5+Q5)</f>
        <v>0.26829268292682928</v>
      </c>
      <c r="W5" s="6">
        <f>(O5+P5)/(O5+P5+Q5+R5)</f>
        <v>0.2558139534883721</v>
      </c>
      <c r="X5" s="62">
        <f t="shared" ref="X5:X6" si="0">AVERAGE(U5:W5)</f>
        <v>0.25618369361988197</v>
      </c>
      <c r="Y5" s="16" t="s">
        <v>17</v>
      </c>
      <c r="AC5" s="9" t="s">
        <v>187</v>
      </c>
      <c r="AD5" s="9" t="s">
        <v>198</v>
      </c>
      <c r="AE5" s="9" t="s">
        <v>3</v>
      </c>
    </row>
    <row r="6" spans="1:31" ht="16.75">
      <c r="A6" s="46" t="s">
        <v>12</v>
      </c>
      <c r="B6" s="10" t="s">
        <v>12</v>
      </c>
      <c r="D6" s="10" t="s">
        <v>11</v>
      </c>
      <c r="E6" s="10" t="s">
        <v>101</v>
      </c>
      <c r="F6" s="10" t="s">
        <v>9</v>
      </c>
      <c r="L6" s="8" t="s">
        <v>99</v>
      </c>
      <c r="M6" s="5">
        <v>41</v>
      </c>
      <c r="N6" s="12">
        <f>COUNTA(D58:D102)</f>
        <v>45</v>
      </c>
      <c r="O6" s="12">
        <f>COUNTIF(U58:U102,"=1")</f>
        <v>11</v>
      </c>
      <c r="P6" s="2">
        <f>N6-R6</f>
        <v>11</v>
      </c>
      <c r="Q6" s="2">
        <f>M6-O6</f>
        <v>30</v>
      </c>
      <c r="R6" s="2">
        <f>N6-O6</f>
        <v>34</v>
      </c>
      <c r="S6" s="2">
        <f>O6+P6</f>
        <v>22</v>
      </c>
      <c r="T6" s="2">
        <f>Q6+R6</f>
        <v>64</v>
      </c>
      <c r="U6" s="6">
        <f>O6/(O6+R6)</f>
        <v>0.24444444444444444</v>
      </c>
      <c r="V6" s="6">
        <f>O6/(O6+Q6)</f>
        <v>0.26829268292682928</v>
      </c>
      <c r="W6" s="6">
        <f>(O6+P6)/(O6+P6+Q6+R6)</f>
        <v>0.2558139534883721</v>
      </c>
      <c r="X6" s="62">
        <f t="shared" si="0"/>
        <v>0.25618369361988197</v>
      </c>
      <c r="Y6" s="16" t="s">
        <v>40</v>
      </c>
      <c r="AC6" s="9" t="s">
        <v>188</v>
      </c>
      <c r="AD6" s="9" t="s">
        <v>199</v>
      </c>
      <c r="AE6" s="9" t="s">
        <v>6</v>
      </c>
    </row>
    <row r="7" spans="1:31" ht="16.75">
      <c r="A7" s="46" t="s">
        <v>11</v>
      </c>
      <c r="B7" s="10" t="s">
        <v>11</v>
      </c>
      <c r="D7" s="10" t="s">
        <v>32</v>
      </c>
      <c r="E7" s="10" t="s">
        <v>101</v>
      </c>
      <c r="F7" s="10" t="s">
        <v>31</v>
      </c>
      <c r="X7" s="62">
        <f>AVERAGE(X4:X6)</f>
        <v>0.41178871857089011</v>
      </c>
      <c r="Y7" s="16" t="s">
        <v>13</v>
      </c>
      <c r="AC7" s="9" t="s">
        <v>189</v>
      </c>
      <c r="AD7" s="9" t="s">
        <v>200</v>
      </c>
      <c r="AE7" s="9" t="s">
        <v>206</v>
      </c>
    </row>
    <row r="8" spans="1:31" ht="16.75">
      <c r="A8" s="46" t="s">
        <v>320</v>
      </c>
      <c r="B8" s="10" t="s">
        <v>21</v>
      </c>
      <c r="D8" s="10" t="s">
        <v>34</v>
      </c>
      <c r="E8" s="10" t="s">
        <v>101</v>
      </c>
      <c r="F8" s="10" t="s">
        <v>31</v>
      </c>
      <c r="Y8" s="16" t="s">
        <v>39</v>
      </c>
      <c r="AC8" s="9" t="s">
        <v>190</v>
      </c>
      <c r="AD8" s="9" t="s">
        <v>148</v>
      </c>
      <c r="AE8" s="9" t="s">
        <v>36</v>
      </c>
    </row>
    <row r="9" spans="1:31" ht="16.75">
      <c r="A9" s="46" t="s">
        <v>360</v>
      </c>
      <c r="B9" s="10"/>
      <c r="D9" s="10" t="s">
        <v>33</v>
      </c>
      <c r="E9" s="10" t="s">
        <v>101</v>
      </c>
      <c r="F9" s="10" t="s">
        <v>31</v>
      </c>
      <c r="K9" t="s">
        <v>74</v>
      </c>
      <c r="L9" t="s">
        <v>75</v>
      </c>
      <c r="N9">
        <f>GRAFO!J2</f>
        <v>29</v>
      </c>
      <c r="Y9" s="16" t="s">
        <v>19</v>
      </c>
      <c r="AC9" s="9" t="s">
        <v>191</v>
      </c>
      <c r="AD9" s="9" t="s">
        <v>201</v>
      </c>
      <c r="AE9" s="9" t="s">
        <v>7</v>
      </c>
    </row>
    <row r="10" spans="1:31" ht="16.75">
      <c r="A10" s="46" t="s">
        <v>256</v>
      </c>
      <c r="B10" s="10"/>
      <c r="D10" s="10" t="s">
        <v>30</v>
      </c>
      <c r="E10" s="10" t="s">
        <v>101</v>
      </c>
      <c r="F10" s="10" t="s">
        <v>32</v>
      </c>
      <c r="K10" t="s">
        <v>80</v>
      </c>
      <c r="L10" t="s">
        <v>76</v>
      </c>
      <c r="N10">
        <f>N4</f>
        <v>35</v>
      </c>
      <c r="Y10" s="16" t="s">
        <v>37</v>
      </c>
      <c r="AC10" s="9" t="s">
        <v>192</v>
      </c>
      <c r="AD10" s="9" t="s">
        <v>202</v>
      </c>
      <c r="AE10" s="9" t="s">
        <v>207</v>
      </c>
    </row>
    <row r="11" spans="1:31" ht="16.75">
      <c r="A11" s="46" t="s">
        <v>397</v>
      </c>
      <c r="B11" s="10"/>
      <c r="D11" s="10" t="s">
        <v>29</v>
      </c>
      <c r="E11" s="10" t="s">
        <v>101</v>
      </c>
      <c r="F11" s="10" t="s">
        <v>34</v>
      </c>
      <c r="K11" t="s">
        <v>68</v>
      </c>
      <c r="L11" t="s">
        <v>77</v>
      </c>
      <c r="N11">
        <v>16</v>
      </c>
      <c r="Y11" s="16" t="s">
        <v>10</v>
      </c>
      <c r="AC11" s="9" t="s">
        <v>193</v>
      </c>
      <c r="AD11" s="9" t="s">
        <v>203</v>
      </c>
      <c r="AE11" s="9" t="s">
        <v>208</v>
      </c>
    </row>
    <row r="12" spans="1:31" ht="16.75">
      <c r="A12" s="46" t="s">
        <v>22</v>
      </c>
      <c r="B12" s="10" t="s">
        <v>22</v>
      </c>
      <c r="D12" s="10" t="s">
        <v>27</v>
      </c>
      <c r="E12" s="10" t="s">
        <v>101</v>
      </c>
      <c r="F12" s="10" t="s">
        <v>33</v>
      </c>
      <c r="K12" t="s">
        <v>70</v>
      </c>
      <c r="L12" t="s">
        <v>78</v>
      </c>
      <c r="M12" t="s">
        <v>86</v>
      </c>
      <c r="N12">
        <f>N9-N11</f>
        <v>13</v>
      </c>
      <c r="Y12" s="16" t="s">
        <v>14</v>
      </c>
      <c r="AC12" s="9" t="s">
        <v>194</v>
      </c>
      <c r="AD12" s="9" t="s">
        <v>204</v>
      </c>
      <c r="AE12" s="9" t="s">
        <v>5</v>
      </c>
    </row>
    <row r="13" spans="1:31" ht="16.75">
      <c r="A13" s="46" t="s">
        <v>341</v>
      </c>
      <c r="B13" s="10" t="s">
        <v>23</v>
      </c>
      <c r="D13" s="10" t="s">
        <v>30</v>
      </c>
      <c r="E13" s="10" t="s">
        <v>366</v>
      </c>
      <c r="F13" s="10" t="s">
        <v>63</v>
      </c>
      <c r="K13" t="s">
        <v>69</v>
      </c>
      <c r="L13" t="s">
        <v>79</v>
      </c>
      <c r="M13" t="s">
        <v>87</v>
      </c>
      <c r="Y13" s="16" t="s">
        <v>34</v>
      </c>
    </row>
    <row r="14" spans="1:31" ht="16.75">
      <c r="A14" s="46" t="s">
        <v>398</v>
      </c>
      <c r="B14" s="10"/>
      <c r="D14" s="10" t="s">
        <v>29</v>
      </c>
      <c r="E14" s="10" t="s">
        <v>366</v>
      </c>
      <c r="F14" s="10" t="s">
        <v>63</v>
      </c>
      <c r="K14" t="s">
        <v>83</v>
      </c>
      <c r="M14" t="s">
        <v>88</v>
      </c>
      <c r="Y14" s="16" t="s">
        <v>27</v>
      </c>
    </row>
    <row r="15" spans="1:31" ht="16.75">
      <c r="A15" s="46" t="s">
        <v>165</v>
      </c>
      <c r="B15" s="10"/>
      <c r="D15" s="10" t="s">
        <v>27</v>
      </c>
      <c r="E15" s="10" t="s">
        <v>366</v>
      </c>
      <c r="F15" s="10" t="s">
        <v>63</v>
      </c>
      <c r="K15" t="s">
        <v>89</v>
      </c>
      <c r="M15" t="s">
        <v>92</v>
      </c>
      <c r="Y15" s="16" t="s">
        <v>28</v>
      </c>
    </row>
    <row r="16" spans="1:31" ht="16.75">
      <c r="A16" s="46" t="s">
        <v>259</v>
      </c>
      <c r="B16" s="10"/>
      <c r="D16" s="10" t="s">
        <v>17</v>
      </c>
      <c r="E16" s="10" t="s">
        <v>101</v>
      </c>
      <c r="F16" s="10" t="s">
        <v>14</v>
      </c>
      <c r="K16" t="s">
        <v>90</v>
      </c>
      <c r="M16" t="s">
        <v>93</v>
      </c>
      <c r="Y16" s="16" t="s">
        <v>30</v>
      </c>
    </row>
    <row r="17" spans="1:25" ht="16.75">
      <c r="A17" s="46" t="s">
        <v>58</v>
      </c>
      <c r="B17" s="10" t="s">
        <v>13</v>
      </c>
      <c r="D17" s="10" t="s">
        <v>15</v>
      </c>
      <c r="E17" s="10" t="s">
        <v>101</v>
      </c>
      <c r="F17" s="10" t="s">
        <v>14</v>
      </c>
      <c r="K17" t="s">
        <v>91</v>
      </c>
      <c r="M17" t="s">
        <v>94</v>
      </c>
      <c r="Y17" s="16" t="s">
        <v>29</v>
      </c>
    </row>
    <row r="18" spans="1:25" ht="16.75">
      <c r="A18" s="46" t="s">
        <v>26</v>
      </c>
      <c r="B18" s="10" t="s">
        <v>28</v>
      </c>
      <c r="D18" s="10" t="s">
        <v>16</v>
      </c>
      <c r="E18" s="10" t="s">
        <v>101</v>
      </c>
      <c r="F18" s="10" t="s">
        <v>14</v>
      </c>
      <c r="K18" t="s">
        <v>84</v>
      </c>
      <c r="M18" t="s">
        <v>95</v>
      </c>
      <c r="Y18" s="16" t="s">
        <v>31</v>
      </c>
    </row>
    <row r="19" spans="1:25" ht="16.75">
      <c r="A19" s="46" t="s">
        <v>32</v>
      </c>
      <c r="B19" s="10" t="s">
        <v>32</v>
      </c>
      <c r="D19" s="10" t="s">
        <v>22</v>
      </c>
      <c r="E19" s="10" t="s">
        <v>386</v>
      </c>
      <c r="F19" s="10" t="s">
        <v>14</v>
      </c>
      <c r="K19" t="s">
        <v>85</v>
      </c>
      <c r="M19" t="s">
        <v>96</v>
      </c>
      <c r="Y19" s="16" t="s">
        <v>171</v>
      </c>
    </row>
    <row r="20" spans="1:25" ht="16.75">
      <c r="A20" s="46" t="s">
        <v>34</v>
      </c>
      <c r="B20" s="10" t="s">
        <v>34</v>
      </c>
      <c r="D20" s="10" t="s">
        <v>22</v>
      </c>
      <c r="E20" s="10" t="s">
        <v>366</v>
      </c>
      <c r="F20" s="10" t="s">
        <v>346</v>
      </c>
      <c r="K20" t="s">
        <v>97</v>
      </c>
      <c r="M20" t="s">
        <v>98</v>
      </c>
      <c r="Y20" s="16" t="s">
        <v>15</v>
      </c>
    </row>
    <row r="21" spans="1:25" ht="16.75">
      <c r="A21" s="46" t="s">
        <v>33</v>
      </c>
      <c r="B21" s="10" t="s">
        <v>33</v>
      </c>
      <c r="D21" s="10" t="s">
        <v>346</v>
      </c>
      <c r="E21" s="10" t="s">
        <v>389</v>
      </c>
      <c r="F21" s="10" t="s">
        <v>9</v>
      </c>
      <c r="Y21" s="16" t="s">
        <v>16</v>
      </c>
    </row>
    <row r="22" spans="1:25" ht="16.75">
      <c r="A22" s="46" t="s">
        <v>31</v>
      </c>
      <c r="B22" s="10" t="s">
        <v>31</v>
      </c>
      <c r="D22" s="10" t="s">
        <v>22</v>
      </c>
      <c r="E22" s="10" t="s">
        <v>387</v>
      </c>
      <c r="F22" s="10" t="s">
        <v>26</v>
      </c>
      <c r="Y22" s="16" t="s">
        <v>32</v>
      </c>
    </row>
    <row r="23" spans="1:25" ht="16.75">
      <c r="A23" s="46" t="s">
        <v>18</v>
      </c>
      <c r="B23" s="10" t="s">
        <v>18</v>
      </c>
      <c r="D23" s="10" t="s">
        <v>22</v>
      </c>
      <c r="E23" s="10" t="s">
        <v>101</v>
      </c>
      <c r="F23" s="10" t="s">
        <v>341</v>
      </c>
      <c r="Y23" s="16" t="s">
        <v>9</v>
      </c>
    </row>
    <row r="24" spans="1:25" ht="16.75">
      <c r="A24" s="46" t="s">
        <v>161</v>
      </c>
      <c r="B24" s="10"/>
      <c r="D24" s="10" t="s">
        <v>320</v>
      </c>
      <c r="E24" s="10" t="s">
        <v>391</v>
      </c>
      <c r="F24" s="10" t="s">
        <v>22</v>
      </c>
      <c r="Y24" s="16" t="s">
        <v>18</v>
      </c>
    </row>
    <row r="25" spans="1:25" ht="16.75">
      <c r="A25" s="46" t="s">
        <v>21</v>
      </c>
      <c r="B25" s="10" t="s">
        <v>21</v>
      </c>
      <c r="D25" s="10" t="s">
        <v>320</v>
      </c>
      <c r="E25" s="10" t="s">
        <v>366</v>
      </c>
      <c r="F25" s="10" t="s">
        <v>58</v>
      </c>
      <c r="Y25" s="16" t="s">
        <v>23</v>
      </c>
    </row>
    <row r="26" spans="1:25" ht="16.75">
      <c r="A26" s="46" t="s">
        <v>14</v>
      </c>
      <c r="B26" s="10" t="s">
        <v>14</v>
      </c>
      <c r="D26" s="10" t="s">
        <v>165</v>
      </c>
      <c r="E26" s="10" t="s">
        <v>388</v>
      </c>
      <c r="F26" s="10" t="s">
        <v>26</v>
      </c>
      <c r="Y26" s="16" t="s">
        <v>22</v>
      </c>
    </row>
    <row r="27" spans="1:25" ht="16.75">
      <c r="A27" s="46" t="s">
        <v>17</v>
      </c>
      <c r="B27" s="10" t="s">
        <v>17</v>
      </c>
      <c r="D27" s="10" t="s">
        <v>26</v>
      </c>
      <c r="E27" s="10" t="s">
        <v>387</v>
      </c>
      <c r="F27" s="10" t="s">
        <v>63</v>
      </c>
      <c r="Y27" s="16" t="s">
        <v>12</v>
      </c>
    </row>
    <row r="28" spans="1:25" ht="16.75">
      <c r="A28" s="46" t="s">
        <v>15</v>
      </c>
      <c r="B28" s="10" t="s">
        <v>15</v>
      </c>
      <c r="D28" s="10" t="s">
        <v>31</v>
      </c>
      <c r="E28" s="10" t="s">
        <v>366</v>
      </c>
      <c r="F28" s="10" t="s">
        <v>26</v>
      </c>
      <c r="Y28" s="16" t="s">
        <v>24</v>
      </c>
    </row>
    <row r="29" spans="1:25" ht="16.75">
      <c r="A29" s="46" t="s">
        <v>16</v>
      </c>
      <c r="B29" s="10" t="s">
        <v>16</v>
      </c>
      <c r="D29" s="10" t="s">
        <v>31</v>
      </c>
      <c r="E29" s="10" t="s">
        <v>390</v>
      </c>
      <c r="F29" s="10" t="s">
        <v>58</v>
      </c>
      <c r="Y29" s="16" t="s">
        <v>8</v>
      </c>
    </row>
    <row r="30" spans="1:25" ht="16.75">
      <c r="A30" s="46" t="s">
        <v>30</v>
      </c>
      <c r="B30" s="10" t="s">
        <v>30</v>
      </c>
      <c r="D30" s="10" t="s">
        <v>58</v>
      </c>
      <c r="E30" s="10" t="s">
        <v>394</v>
      </c>
      <c r="F30" s="10" t="s">
        <v>160</v>
      </c>
      <c r="Y30" s="16" t="s">
        <v>20</v>
      </c>
    </row>
    <row r="31" spans="1:25" ht="16.75">
      <c r="A31" s="46" t="s">
        <v>29</v>
      </c>
      <c r="B31" s="10" t="s">
        <v>29</v>
      </c>
      <c r="D31" s="10" t="s">
        <v>58</v>
      </c>
      <c r="E31" s="10" t="s">
        <v>169</v>
      </c>
      <c r="F31" s="10" t="s">
        <v>165</v>
      </c>
      <c r="Y31" s="16" t="s">
        <v>11</v>
      </c>
    </row>
    <row r="32" spans="1:25">
      <c r="A32" s="46" t="s">
        <v>27</v>
      </c>
      <c r="B32" s="10" t="s">
        <v>27</v>
      </c>
      <c r="D32" s="10" t="s">
        <v>165</v>
      </c>
      <c r="E32" s="10" t="s">
        <v>392</v>
      </c>
      <c r="F32" s="10" t="s">
        <v>259</v>
      </c>
    </row>
    <row r="33" spans="1:6">
      <c r="A33" s="46" t="s">
        <v>63</v>
      </c>
      <c r="B33" s="10"/>
      <c r="D33" s="10" t="s">
        <v>259</v>
      </c>
      <c r="E33" s="10" t="s">
        <v>101</v>
      </c>
      <c r="F33" s="10" t="s">
        <v>398</v>
      </c>
    </row>
    <row r="34" spans="1:6">
      <c r="A34" s="46" t="s">
        <v>257</v>
      </c>
      <c r="B34" s="10"/>
      <c r="D34" s="10" t="s">
        <v>165</v>
      </c>
      <c r="E34" s="10" t="s">
        <v>400</v>
      </c>
      <c r="F34" s="10" t="s">
        <v>161</v>
      </c>
    </row>
    <row r="35" spans="1:6">
      <c r="A35" s="46" t="s">
        <v>396</v>
      </c>
      <c r="B35" s="10"/>
      <c r="D35" s="10" t="s">
        <v>26</v>
      </c>
      <c r="E35" s="10" t="s">
        <v>169</v>
      </c>
      <c r="F35" s="10" t="s">
        <v>161</v>
      </c>
    </row>
    <row r="36" spans="1:6">
      <c r="A36" s="46" t="s">
        <v>346</v>
      </c>
      <c r="B36" s="10"/>
      <c r="D36" s="10" t="s">
        <v>21</v>
      </c>
      <c r="E36" s="10" t="s">
        <v>401</v>
      </c>
      <c r="F36" s="10" t="s">
        <v>58</v>
      </c>
    </row>
    <row r="37" spans="1:6">
      <c r="A37" s="46" t="s">
        <v>160</v>
      </c>
      <c r="B37" s="10"/>
      <c r="D37" s="10" t="s">
        <v>21</v>
      </c>
      <c r="E37" s="10" t="s">
        <v>391</v>
      </c>
      <c r="F37" s="10" t="s">
        <v>161</v>
      </c>
    </row>
    <row r="38" spans="1:6">
      <c r="A38" s="46"/>
      <c r="B38" s="10"/>
      <c r="D38" s="10" t="s">
        <v>256</v>
      </c>
      <c r="E38" s="10" t="s">
        <v>399</v>
      </c>
      <c r="F38" s="10" t="s">
        <v>398</v>
      </c>
    </row>
    <row r="39" spans="1:6">
      <c r="A39" s="46"/>
      <c r="B39" s="10"/>
      <c r="D39" s="10" t="s">
        <v>18</v>
      </c>
      <c r="E39" s="10" t="s">
        <v>389</v>
      </c>
      <c r="F39" s="10" t="s">
        <v>8</v>
      </c>
    </row>
    <row r="40" spans="1:6">
      <c r="A40" s="46"/>
      <c r="B40" s="10"/>
      <c r="D40" s="10" t="s">
        <v>21</v>
      </c>
      <c r="E40" s="10" t="s">
        <v>395</v>
      </c>
      <c r="F40" s="10" t="s">
        <v>18</v>
      </c>
    </row>
    <row r="41" spans="1:6">
      <c r="A41" s="46"/>
      <c r="B41" s="10"/>
      <c r="D41" s="10" t="s">
        <v>398</v>
      </c>
      <c r="E41" s="10" t="s">
        <v>390</v>
      </c>
      <c r="F41" s="10" t="s">
        <v>397</v>
      </c>
    </row>
    <row r="42" spans="1:6">
      <c r="A42" s="46"/>
      <c r="B42" s="10"/>
      <c r="D42" s="10" t="s">
        <v>21</v>
      </c>
      <c r="E42" s="10" t="s">
        <v>399</v>
      </c>
      <c r="F42" s="10" t="s">
        <v>397</v>
      </c>
    </row>
    <row r="43" spans="1:6">
      <c r="A43" s="46"/>
      <c r="B43" s="10"/>
      <c r="D43" s="10" t="s">
        <v>256</v>
      </c>
      <c r="E43" s="10" t="s">
        <v>388</v>
      </c>
      <c r="F43" s="10" t="s">
        <v>58</v>
      </c>
    </row>
    <row r="44" spans="1:6">
      <c r="A44" s="46"/>
      <c r="B44" s="10"/>
      <c r="D44" s="10" t="s">
        <v>22</v>
      </c>
      <c r="E44" s="10" t="s">
        <v>366</v>
      </c>
      <c r="F44" s="10" t="s">
        <v>360</v>
      </c>
    </row>
    <row r="45" spans="1:6">
      <c r="A45" s="46"/>
      <c r="B45" s="10"/>
      <c r="D45" s="10" t="s">
        <v>58</v>
      </c>
      <c r="E45" s="10" t="s">
        <v>393</v>
      </c>
      <c r="F45" s="10" t="s">
        <v>257</v>
      </c>
    </row>
    <row r="46" spans="1:6">
      <c r="A46" s="46"/>
      <c r="B46" s="10"/>
      <c r="D46" s="10" t="s">
        <v>341</v>
      </c>
      <c r="E46" s="10" t="s">
        <v>366</v>
      </c>
      <c r="F46" s="10" t="s">
        <v>257</v>
      </c>
    </row>
    <row r="47" spans="1:6">
      <c r="A47" s="46"/>
      <c r="B47" s="10"/>
      <c r="D47" s="10" t="s">
        <v>396</v>
      </c>
      <c r="E47" s="10" t="s">
        <v>101</v>
      </c>
      <c r="F47" s="10" t="s">
        <v>257</v>
      </c>
    </row>
    <row r="48" spans="1:6">
      <c r="A48" s="46"/>
      <c r="B48" s="10"/>
      <c r="D48" s="10"/>
      <c r="E48" s="10"/>
      <c r="F48" s="10"/>
    </row>
    <row r="49" spans="1:21">
      <c r="A49" s="46"/>
      <c r="B49" s="10"/>
      <c r="D49" s="10"/>
      <c r="E49" s="10"/>
      <c r="F49" s="10"/>
    </row>
    <row r="50" spans="1:21">
      <c r="A50" s="46"/>
      <c r="B50" s="10"/>
      <c r="D50" s="10"/>
      <c r="E50" s="10"/>
      <c r="F50" s="10"/>
    </row>
    <row r="51" spans="1:21">
      <c r="A51" s="46"/>
      <c r="B51" s="10"/>
      <c r="D51" s="10"/>
      <c r="E51" s="10"/>
      <c r="F51" s="10"/>
    </row>
    <row r="52" spans="1:21">
      <c r="A52" s="46"/>
      <c r="B52" s="10"/>
      <c r="D52" s="10"/>
      <c r="E52" s="10"/>
      <c r="F52" s="10"/>
    </row>
    <row r="53" spans="1:21">
      <c r="A53" s="46"/>
      <c r="B53" s="10"/>
      <c r="D53" s="10"/>
      <c r="E53" s="10"/>
      <c r="F53" s="10"/>
    </row>
    <row r="54" spans="1:21">
      <c r="A54" s="46"/>
      <c r="B54" s="10"/>
      <c r="D54" s="10"/>
      <c r="E54" s="10"/>
      <c r="F54" s="10"/>
    </row>
    <row r="55" spans="1:21">
      <c r="A55" s="46"/>
      <c r="B55" s="10"/>
    </row>
    <row r="56" spans="1:21">
      <c r="A56" s="30" t="s">
        <v>182</v>
      </c>
      <c r="B56" s="30"/>
      <c r="D56" s="104" t="s">
        <v>222</v>
      </c>
      <c r="E56" s="105"/>
      <c r="F56" s="105"/>
      <c r="G56" s="106"/>
      <c r="I56" s="98" t="s">
        <v>224</v>
      </c>
      <c r="J56" s="99"/>
      <c r="K56" s="99"/>
      <c r="L56" s="99"/>
      <c r="M56" s="100"/>
      <c r="O56" s="94" t="s">
        <v>229</v>
      </c>
      <c r="P56" s="94"/>
      <c r="Q56" s="94"/>
      <c r="R56" s="94"/>
      <c r="S56" s="94"/>
      <c r="T56" s="94"/>
      <c r="U56" s="94"/>
    </row>
    <row r="57" spans="1:21">
      <c r="A57" s="32" t="s">
        <v>251</v>
      </c>
      <c r="B57" s="33" t="s">
        <v>252</v>
      </c>
      <c r="D57" s="34" t="s">
        <v>220</v>
      </c>
      <c r="E57" s="34" t="s">
        <v>219</v>
      </c>
      <c r="F57" s="34" t="s">
        <v>221</v>
      </c>
      <c r="G57" s="34" t="s">
        <v>223</v>
      </c>
      <c r="I57" s="101" t="s">
        <v>225</v>
      </c>
      <c r="J57" s="102"/>
      <c r="K57" s="103"/>
      <c r="L57" s="101" t="s">
        <v>226</v>
      </c>
      <c r="M57" s="103"/>
      <c r="O57" s="95" t="s">
        <v>227</v>
      </c>
      <c r="P57" s="96"/>
      <c r="Q57" s="96"/>
      <c r="R57" s="96"/>
      <c r="S57" s="97"/>
      <c r="T57" s="95" t="s">
        <v>228</v>
      </c>
      <c r="U57" s="97"/>
    </row>
    <row r="58" spans="1:21">
      <c r="A58" s="46" t="s">
        <v>101</v>
      </c>
      <c r="B58" s="10" t="s">
        <v>3</v>
      </c>
      <c r="D58" s="10" t="str">
        <f>IF(INDEX($A$3:$B$37,MATCH(D3,$A$3:$A$37,0),2)&lt;&gt;0,INDEX($A$3:$B$37,MATCH(D3,$A$3:$A$37,0),2),D3)</f>
        <v>politico</v>
      </c>
      <c r="E58" s="10" t="str">
        <f>IF(INDEX($A$58:$B$73,MATCH(E3,$A$58:$A$73,0),2)&lt;&gt;0,INDEX($A$58:$B$73,MATCH(E3,$A$58:$A$73,0),2),E3)</f>
        <v>rdfs:subClassOf</v>
      </c>
      <c r="F58" s="10" t="str">
        <f>IF(INDEX($A$3:$B$37,MATCH(F3,$A$3:$A$37,0),2)&lt;&gt;0,INDEX($A$3:$B$37,MATCH(F3,$A$3:$A$37,0),2),F3)</f>
        <v>nivel</v>
      </c>
      <c r="G58" s="3" t="str">
        <f>IF(INDEX($A$3:$B$37,MATCH(F3,$A$3:$A$37,0),2)&lt;&gt;0,"OK","NOK")</f>
        <v>OK</v>
      </c>
      <c r="I58" s="10" t="str">
        <f t="shared" ref="I58:I82" si="1">D58 &amp;"-"&amp;F58</f>
        <v>politico-nivel</v>
      </c>
      <c r="J58" s="10"/>
      <c r="K58" s="10"/>
      <c r="L58" s="3">
        <f>IF(INDEX(GRAFO!$L$2:'GRAFO'!$L$46,MATCH(I58,GRAFO!$L$2:'GRAFO'!$L$46,0),1)&lt;&gt;0,1,0)</f>
        <v>1</v>
      </c>
      <c r="M58" s="3">
        <f>IFERROR(L58,0)</f>
        <v>1</v>
      </c>
      <c r="O58" s="10" t="str">
        <f t="shared" ref="O58:O82" si="2">D58 &amp; "-" &amp; E58 &amp; "-" &amp; F58</f>
        <v>politico-rdfs:subClassOf-nivel</v>
      </c>
      <c r="P58" s="10"/>
      <c r="Q58" s="10"/>
      <c r="R58" s="10"/>
      <c r="S58" s="10"/>
      <c r="T58" s="10">
        <f>IF(INDEX(GRAFO!$M$2:'GRAFO'!$M$46,MATCH(O58,GRAFO!$M$2:'GRAFO'!$M$46,0),1)&lt;&gt;0,1,0)</f>
        <v>1</v>
      </c>
      <c r="U58" s="10">
        <f>IFERROR(T58,0)</f>
        <v>1</v>
      </c>
    </row>
    <row r="59" spans="1:21">
      <c r="A59" s="46" t="s">
        <v>394</v>
      </c>
      <c r="B59" s="10" t="s">
        <v>7</v>
      </c>
      <c r="D59" s="10" t="str">
        <f t="shared" ref="D59:D102" si="3">IF(INDEX($A$3:$B$37,MATCH(D4,$A$3:$A$37,0),2)&lt;&gt;0,INDEX($A$3:$B$37,MATCH(D4,$A$3:$A$37,0),2),D4)</f>
        <v>estrategico</v>
      </c>
      <c r="E59" s="10" t="str">
        <f t="shared" ref="E59:E102" si="4">IF(INDEX($A$58:$B$73,MATCH(E4,$A$58:$A$73,0),2)&lt;&gt;0,INDEX($A$58:$B$73,MATCH(E4,$A$58:$A$73,0),2),E4)</f>
        <v>rdfs:subClassOf</v>
      </c>
      <c r="F59" s="10" t="str">
        <f t="shared" ref="F59:F102" si="5">IF(INDEX($A$3:$B$37,MATCH(F4,$A$3:$A$37,0),2)&lt;&gt;0,INDEX($A$3:$B$37,MATCH(F4,$A$3:$A$37,0),2),F4)</f>
        <v>nivel</v>
      </c>
      <c r="G59" s="3" t="str">
        <f t="shared" ref="G59:G102" si="6">IF(INDEX($A$3:$B$37,MATCH(F4,$A$3:$A$37,0),2)&lt;&gt;0,"OK","NOK")</f>
        <v>OK</v>
      </c>
      <c r="I59" s="10" t="str">
        <f t="shared" si="1"/>
        <v>estrategico-nivel</v>
      </c>
      <c r="J59" s="10"/>
      <c r="K59" s="10"/>
      <c r="L59" s="3">
        <f>IF(INDEX(GRAFO!$L$2:'GRAFO'!$L$46,MATCH(I59,GRAFO!$L$2:'GRAFO'!$L$46,0),1)&lt;&gt;0,1,0)</f>
        <v>1</v>
      </c>
      <c r="M59" s="3">
        <f t="shared" ref="M59:M82" si="7">IFERROR(L59,0)</f>
        <v>1</v>
      </c>
      <c r="O59" s="10" t="str">
        <f t="shared" si="2"/>
        <v>estrategico-rdfs:subClassOf-nivel</v>
      </c>
      <c r="P59" s="10"/>
      <c r="Q59" s="10"/>
      <c r="R59" s="10"/>
      <c r="S59" s="10"/>
      <c r="T59" s="10">
        <f>IF(INDEX(GRAFO!$M$2:'GRAFO'!$M$46,MATCH(O59,GRAFO!$M$2:'GRAFO'!$M$46,0),1)&lt;&gt;0,1,0)</f>
        <v>1</v>
      </c>
      <c r="U59" s="10">
        <f t="shared" ref="U59:U82" si="8">IFERROR(T59,0)</f>
        <v>1</v>
      </c>
    </row>
    <row r="60" spans="1:21">
      <c r="A60" s="46" t="s">
        <v>395</v>
      </c>
      <c r="B60" s="10" t="s">
        <v>7</v>
      </c>
      <c r="D60" s="10" t="str">
        <f t="shared" si="3"/>
        <v>operacional</v>
      </c>
      <c r="E60" s="10" t="str">
        <f t="shared" si="4"/>
        <v>rdfs:subClassOf</v>
      </c>
      <c r="F60" s="10" t="str">
        <f t="shared" si="5"/>
        <v>nivel</v>
      </c>
      <c r="G60" s="3" t="str">
        <f t="shared" si="6"/>
        <v>OK</v>
      </c>
      <c r="I60" s="10" t="str">
        <f t="shared" si="1"/>
        <v>operacional-nivel</v>
      </c>
      <c r="J60" s="10"/>
      <c r="K60" s="10"/>
      <c r="L60" s="3">
        <f>IF(INDEX(GRAFO!$L$2:'GRAFO'!$L$46,MATCH(I60,GRAFO!$L$2:'GRAFO'!$L$46,0),1)&lt;&gt;0,1,0)</f>
        <v>1</v>
      </c>
      <c r="M60" s="3">
        <f t="shared" si="7"/>
        <v>1</v>
      </c>
      <c r="O60" s="10" t="str">
        <f t="shared" si="2"/>
        <v>operacional-rdfs:subClassOf-nivel</v>
      </c>
      <c r="P60" s="10"/>
      <c r="Q60" s="10"/>
      <c r="R60" s="10"/>
      <c r="S60" s="10"/>
      <c r="T60" s="10">
        <f>IF(INDEX(GRAFO!$M$2:'GRAFO'!$M$46,MATCH(O60,GRAFO!$M$2:'GRAFO'!$M$46,0),1)&lt;&gt;0,1,0)</f>
        <v>1</v>
      </c>
      <c r="U60" s="10">
        <f t="shared" si="8"/>
        <v>1</v>
      </c>
    </row>
    <row r="61" spans="1:21">
      <c r="A61" s="46" t="s">
        <v>399</v>
      </c>
      <c r="B61" s="10" t="s">
        <v>7</v>
      </c>
      <c r="D61" s="10" t="str">
        <f t="shared" si="3"/>
        <v>tatico</v>
      </c>
      <c r="E61" s="10" t="str">
        <f t="shared" si="4"/>
        <v>rdfs:subClassOf</v>
      </c>
      <c r="F61" s="10" t="str">
        <f t="shared" si="5"/>
        <v>nivel</v>
      </c>
      <c r="G61" s="3" t="str">
        <f t="shared" si="6"/>
        <v>OK</v>
      </c>
      <c r="I61" s="10" t="str">
        <f t="shared" si="1"/>
        <v>tatico-nivel</v>
      </c>
      <c r="J61" s="10"/>
      <c r="K61" s="10"/>
      <c r="L61" s="3">
        <f>IF(INDEX(GRAFO!$L$2:'GRAFO'!$L$46,MATCH(I61,GRAFO!$L$2:'GRAFO'!$L$46,0),1)&lt;&gt;0,1,0)</f>
        <v>1</v>
      </c>
      <c r="M61" s="3">
        <f t="shared" si="7"/>
        <v>1</v>
      </c>
      <c r="O61" s="10" t="str">
        <f t="shared" si="2"/>
        <v>tatico-rdfs:subClassOf-nivel</v>
      </c>
      <c r="P61" s="10"/>
      <c r="Q61" s="10"/>
      <c r="R61" s="10"/>
      <c r="S61" s="10"/>
      <c r="T61" s="10">
        <f>IF(INDEX(GRAFO!$M$2:'GRAFO'!$M$46,MATCH(O61,GRAFO!$M$2:'GRAFO'!$M$46,0),1)&lt;&gt;0,1,0)</f>
        <v>1</v>
      </c>
      <c r="U61" s="10">
        <f t="shared" si="8"/>
        <v>1</v>
      </c>
    </row>
    <row r="62" spans="1:21">
      <c r="A62" s="46" t="s">
        <v>391</v>
      </c>
      <c r="B62" s="10" t="s">
        <v>7</v>
      </c>
      <c r="D62" s="10" t="str">
        <f t="shared" si="3"/>
        <v>marinha</v>
      </c>
      <c r="E62" s="10" t="str">
        <f t="shared" si="4"/>
        <v>rdfs:subClassOf</v>
      </c>
      <c r="F62" s="10" t="str">
        <f t="shared" si="5"/>
        <v>forcas_armadas</v>
      </c>
      <c r="G62" s="3" t="str">
        <f t="shared" si="6"/>
        <v>OK</v>
      </c>
      <c r="I62" s="10" t="str">
        <f t="shared" si="1"/>
        <v>marinha-forcas_armadas</v>
      </c>
      <c r="J62" s="10"/>
      <c r="K62" s="10"/>
      <c r="L62" s="3">
        <f>IF(INDEX(GRAFO!$L$2:'GRAFO'!$L$46,MATCH(I62,GRAFO!$L$2:'GRAFO'!$L$46,0),1)&lt;&gt;0,1,0)</f>
        <v>1</v>
      </c>
      <c r="M62" s="3">
        <f t="shared" si="7"/>
        <v>1</v>
      </c>
      <c r="O62" s="10" t="str">
        <f t="shared" si="2"/>
        <v>marinha-rdfs:subClassOf-forcas_armadas</v>
      </c>
      <c r="P62" s="10"/>
      <c r="Q62" s="10"/>
      <c r="R62" s="10"/>
      <c r="S62" s="10"/>
      <c r="T62" s="10">
        <f>IF(INDEX(GRAFO!$M$2:'GRAFO'!$M$46,MATCH(O62,GRAFO!$M$2:'GRAFO'!$M$46,0),1)&lt;&gt;0,1,0)</f>
        <v>1</v>
      </c>
      <c r="U62" s="10">
        <f t="shared" si="8"/>
        <v>1</v>
      </c>
    </row>
    <row r="63" spans="1:21">
      <c r="A63" s="46" t="s">
        <v>386</v>
      </c>
      <c r="B63" s="10" t="s">
        <v>4</v>
      </c>
      <c r="D63" s="10" t="str">
        <f t="shared" si="3"/>
        <v>exercito</v>
      </c>
      <c r="E63" s="10" t="str">
        <f t="shared" si="4"/>
        <v>rdfs:subClassOf</v>
      </c>
      <c r="F63" s="10" t="str">
        <f t="shared" si="5"/>
        <v>forcas_armadas</v>
      </c>
      <c r="G63" s="3" t="str">
        <f t="shared" si="6"/>
        <v>OK</v>
      </c>
      <c r="H63">
        <f>COUNTIFS(GRAFO!C2:C42,"=D34",GRAFO!E2:E42,"=F34")</f>
        <v>0</v>
      </c>
      <c r="I63" s="10" t="str">
        <f t="shared" si="1"/>
        <v>exercito-forcas_armadas</v>
      </c>
      <c r="J63" s="10"/>
      <c r="K63" s="10"/>
      <c r="L63" s="3">
        <f>IF(INDEX(GRAFO!$L$2:'GRAFO'!$L$46,MATCH(I63,GRAFO!$L$2:'GRAFO'!$L$46,0),1)&lt;&gt;0,1,0)</f>
        <v>1</v>
      </c>
      <c r="M63" s="3">
        <f t="shared" si="7"/>
        <v>1</v>
      </c>
      <c r="O63" s="10" t="str">
        <f t="shared" si="2"/>
        <v>exercito-rdfs:subClassOf-forcas_armadas</v>
      </c>
      <c r="P63" s="10"/>
      <c r="Q63" s="10"/>
      <c r="R63" s="10"/>
      <c r="S63" s="10"/>
      <c r="T63" s="10">
        <f>IF(INDEX(GRAFO!$M$2:'GRAFO'!$M$46,MATCH(O63,GRAFO!$M$2:'GRAFO'!$M$46,0),1)&lt;&gt;0,1,0)</f>
        <v>1</v>
      </c>
      <c r="U63" s="10">
        <f t="shared" si="8"/>
        <v>1</v>
      </c>
    </row>
    <row r="64" spans="1:21">
      <c r="A64" s="46" t="s">
        <v>387</v>
      </c>
      <c r="B64" s="10" t="s">
        <v>7</v>
      </c>
      <c r="D64" s="10" t="str">
        <f t="shared" si="3"/>
        <v>aeronautica</v>
      </c>
      <c r="E64" s="10" t="str">
        <f t="shared" si="4"/>
        <v>rdfs:subClassOf</v>
      </c>
      <c r="F64" s="10" t="str">
        <f t="shared" si="5"/>
        <v>forcas_armadas</v>
      </c>
      <c r="G64" s="3" t="str">
        <f t="shared" si="6"/>
        <v>OK</v>
      </c>
      <c r="I64" s="10" t="str">
        <f t="shared" si="1"/>
        <v>aeronautica-forcas_armadas</v>
      </c>
      <c r="J64" s="10"/>
      <c r="K64" s="10"/>
      <c r="L64" s="3">
        <f>IF(INDEX(GRAFO!$L$2:'GRAFO'!$L$46,MATCH(I64,GRAFO!$L$2:'GRAFO'!$L$46,0),1)&lt;&gt;0,1,0)</f>
        <v>1</v>
      </c>
      <c r="M64" s="3">
        <f t="shared" si="7"/>
        <v>1</v>
      </c>
      <c r="O64" s="10" t="str">
        <f t="shared" si="2"/>
        <v>aeronautica-rdfs:subClassOf-forcas_armadas</v>
      </c>
      <c r="P64" s="10"/>
      <c r="Q64" s="10"/>
      <c r="R64" s="10"/>
      <c r="S64" s="10"/>
      <c r="T64" s="10">
        <f>IF(INDEX(GRAFO!$M$2:'GRAFO'!$M$46,MATCH(O64,GRAFO!$M$2:'GRAFO'!$M$46,0),1)&lt;&gt;0,1,0)</f>
        <v>1</v>
      </c>
      <c r="U64" s="10">
        <f t="shared" si="8"/>
        <v>1</v>
      </c>
    </row>
    <row r="65" spans="1:21">
      <c r="A65" s="46" t="s">
        <v>388</v>
      </c>
      <c r="B65" s="10" t="s">
        <v>4</v>
      </c>
      <c r="C65" s="24"/>
      <c r="D65" s="10" t="str">
        <f t="shared" si="3"/>
        <v>forca_naval</v>
      </c>
      <c r="E65" s="10" t="str">
        <f t="shared" si="4"/>
        <v>rdfs:subClassOf</v>
      </c>
      <c r="F65" s="10" t="str">
        <f t="shared" si="5"/>
        <v>marinha</v>
      </c>
      <c r="G65" s="3" t="str">
        <f t="shared" si="6"/>
        <v>OK</v>
      </c>
      <c r="I65" s="10" t="str">
        <f t="shared" si="1"/>
        <v>forca_naval-marinha</v>
      </c>
      <c r="J65" s="10"/>
      <c r="K65" s="10"/>
      <c r="L65" s="3" t="e">
        <f>IF(INDEX(GRAFO!$L$2:'GRAFO'!$L$46,MATCH(I65,GRAFO!$L$2:'GRAFO'!$L$46,0),1)&lt;&gt;0,1,0)</f>
        <v>#N/A</v>
      </c>
      <c r="M65" s="3">
        <f t="shared" si="7"/>
        <v>0</v>
      </c>
      <c r="O65" s="10" t="str">
        <f t="shared" si="2"/>
        <v>forca_naval-rdfs:subClassOf-marinha</v>
      </c>
      <c r="P65" s="10"/>
      <c r="Q65" s="10"/>
      <c r="R65" s="10"/>
      <c r="S65" s="10"/>
      <c r="T65" s="10" t="e">
        <f>IF(INDEX(GRAFO!$M$2:'GRAFO'!$M$46,MATCH(O65,GRAFO!$M$2:'GRAFO'!$M$46,0),1)&lt;&gt;0,1,0)</f>
        <v>#N/A</v>
      </c>
      <c r="U65" s="10">
        <f t="shared" si="8"/>
        <v>0</v>
      </c>
    </row>
    <row r="66" spans="1:21">
      <c r="A66" s="46" t="s">
        <v>366</v>
      </c>
      <c r="B66" s="10" t="s">
        <v>4</v>
      </c>
      <c r="C66" s="9" t="str">
        <f t="shared" ref="C66:C81" si="9">IF(INDEX($A$3:$B$18,MATCH(D3,$A$3:$A$17,0),2)&lt;&gt;0,"OK","NOK")</f>
        <v>OK</v>
      </c>
      <c r="D66" s="10" t="str">
        <f t="shared" si="3"/>
        <v>forca_terrestre</v>
      </c>
      <c r="E66" s="10" t="str">
        <f t="shared" si="4"/>
        <v>rdfs:subClassOf</v>
      </c>
      <c r="F66" s="10" t="str">
        <f t="shared" si="5"/>
        <v>exercito</v>
      </c>
      <c r="G66" s="3" t="str">
        <f t="shared" si="6"/>
        <v>OK</v>
      </c>
      <c r="I66" s="10" t="str">
        <f t="shared" si="1"/>
        <v>forca_terrestre-exercito</v>
      </c>
      <c r="J66" s="10"/>
      <c r="K66" s="10"/>
      <c r="L66" s="3" t="e">
        <f>IF(INDEX(GRAFO!$L$2:'GRAFO'!$L$46,MATCH(I66,GRAFO!$L$2:'GRAFO'!$L$46,0),1)&lt;&gt;0,1,0)</f>
        <v>#N/A</v>
      </c>
      <c r="M66" s="3">
        <f t="shared" si="7"/>
        <v>0</v>
      </c>
      <c r="O66" s="10" t="str">
        <f t="shared" si="2"/>
        <v>forca_terrestre-rdfs:subClassOf-exercito</v>
      </c>
      <c r="P66" s="10"/>
      <c r="Q66" s="10"/>
      <c r="R66" s="10"/>
      <c r="S66" s="10"/>
      <c r="T66" s="10" t="e">
        <f>IF(INDEX(GRAFO!$M$2:'GRAFO'!$M$46,MATCH(O66,GRAFO!$M$2:'GRAFO'!$M$46,0),1)&lt;&gt;0,1,0)</f>
        <v>#N/A</v>
      </c>
      <c r="U66" s="10">
        <f t="shared" si="8"/>
        <v>0</v>
      </c>
    </row>
    <row r="67" spans="1:21">
      <c r="A67" s="46" t="s">
        <v>389</v>
      </c>
      <c r="B67" s="10" t="s">
        <v>5</v>
      </c>
      <c r="C67" s="9" t="str">
        <f t="shared" si="9"/>
        <v>OK</v>
      </c>
      <c r="D67" s="10" t="str">
        <f t="shared" si="3"/>
        <v>forca_aerea</v>
      </c>
      <c r="E67" s="10" t="str">
        <f t="shared" si="4"/>
        <v>rdfs:subClassOf</v>
      </c>
      <c r="F67" s="10" t="str">
        <f t="shared" si="5"/>
        <v>aeronautica</v>
      </c>
      <c r="G67" s="3" t="str">
        <f t="shared" si="6"/>
        <v>OK</v>
      </c>
      <c r="I67" s="10" t="str">
        <f t="shared" si="1"/>
        <v>forca_aerea-aeronautica</v>
      </c>
      <c r="J67" s="10"/>
      <c r="K67" s="10"/>
      <c r="L67" s="3" t="e">
        <f>IF(INDEX(GRAFO!$L$2:'GRAFO'!$L$46,MATCH(I67,GRAFO!$L$2:'GRAFO'!$L$46,0),1)&lt;&gt;0,1,0)</f>
        <v>#N/A</v>
      </c>
      <c r="M67" s="3">
        <f t="shared" si="7"/>
        <v>0</v>
      </c>
      <c r="O67" s="10" t="str">
        <f t="shared" si="2"/>
        <v>forca_aerea-rdfs:subClassOf-aeronautica</v>
      </c>
      <c r="P67" s="10"/>
      <c r="Q67" s="10"/>
      <c r="R67" s="10"/>
      <c r="S67" s="10"/>
      <c r="T67" s="10" t="e">
        <f>IF(INDEX(GRAFO!$M$2:'GRAFO'!$M$46,MATCH(O67,GRAFO!$M$2:'GRAFO'!$M$46,0),1)&lt;&gt;0,1,0)</f>
        <v>#N/A</v>
      </c>
      <c r="U67" s="10">
        <f t="shared" si="8"/>
        <v>0</v>
      </c>
    </row>
    <row r="68" spans="1:21">
      <c r="A68" s="46" t="s">
        <v>390</v>
      </c>
      <c r="B68" s="10" t="s">
        <v>5</v>
      </c>
      <c r="C68" s="9" t="str">
        <f t="shared" si="9"/>
        <v>OK</v>
      </c>
      <c r="D68" s="10" t="str">
        <f t="shared" si="3"/>
        <v>forca_naval</v>
      </c>
      <c r="E68" s="10" t="str">
        <f t="shared" si="4"/>
        <v>rdfs:seeAlso</v>
      </c>
      <c r="F68" s="10" t="str">
        <f t="shared" si="5"/>
        <v>meios</v>
      </c>
      <c r="G68" s="3" t="str">
        <f t="shared" si="6"/>
        <v>NOK</v>
      </c>
      <c r="I68" s="10" t="str">
        <f t="shared" si="1"/>
        <v>forca_naval-meios</v>
      </c>
      <c r="J68" s="10"/>
      <c r="K68" s="10"/>
      <c r="L68" s="3" t="e">
        <f>IF(INDEX(GRAFO!$L$2:'GRAFO'!$L$46,MATCH(I68,GRAFO!$L$2:'GRAFO'!$L$46,0),1)&lt;&gt;0,1,0)</f>
        <v>#N/A</v>
      </c>
      <c r="M68" s="3">
        <f t="shared" si="7"/>
        <v>0</v>
      </c>
      <c r="O68" s="10" t="str">
        <f t="shared" si="2"/>
        <v>forca_naval-rdfs:seeAlso-meios</v>
      </c>
      <c r="P68" s="10"/>
      <c r="Q68" s="10"/>
      <c r="R68" s="10"/>
      <c r="S68" s="10"/>
      <c r="T68" s="10" t="e">
        <f>IF(INDEX(GRAFO!$M$2:'GRAFO'!$M$46,MATCH(O68,GRAFO!$M$2:'GRAFO'!$M$46,0),1)&lt;&gt;0,1,0)</f>
        <v>#N/A</v>
      </c>
      <c r="U68" s="10">
        <f t="shared" si="8"/>
        <v>0</v>
      </c>
    </row>
    <row r="69" spans="1:21">
      <c r="A69" s="46" t="s">
        <v>392</v>
      </c>
      <c r="B69" s="10" t="s">
        <v>4</v>
      </c>
      <c r="C69" s="9" t="str">
        <f t="shared" si="9"/>
        <v>OK</v>
      </c>
      <c r="D69" s="10" t="str">
        <f t="shared" si="3"/>
        <v>forca_terrestre</v>
      </c>
      <c r="E69" s="10" t="str">
        <f t="shared" si="4"/>
        <v>rdfs:seeAlso</v>
      </c>
      <c r="F69" s="10" t="str">
        <f t="shared" si="5"/>
        <v>meios</v>
      </c>
      <c r="G69" s="3" t="str">
        <f t="shared" si="6"/>
        <v>NOK</v>
      </c>
      <c r="I69" s="10" t="str">
        <f t="shared" si="1"/>
        <v>forca_terrestre-meios</v>
      </c>
      <c r="J69" s="10"/>
      <c r="K69" s="10"/>
      <c r="L69" s="3" t="e">
        <f>IF(INDEX(GRAFO!$L$2:'GRAFO'!$L$46,MATCH(I69,GRAFO!$L$2:'GRAFO'!$L$46,0),1)&lt;&gt;0,1,0)</f>
        <v>#N/A</v>
      </c>
      <c r="M69" s="3">
        <f t="shared" si="7"/>
        <v>0</v>
      </c>
      <c r="O69" s="10" t="str">
        <f t="shared" si="2"/>
        <v>forca_terrestre-rdfs:seeAlso-meios</v>
      </c>
      <c r="P69" s="10"/>
      <c r="Q69" s="10"/>
      <c r="R69" s="10"/>
      <c r="S69" s="10"/>
      <c r="T69" s="10" t="e">
        <f>IF(INDEX(GRAFO!$M$2:'GRAFO'!$M$46,MATCH(O69,GRAFO!$M$2:'GRAFO'!$M$46,0),1)&lt;&gt;0,1,0)</f>
        <v>#N/A</v>
      </c>
      <c r="U69" s="10">
        <f t="shared" si="8"/>
        <v>0</v>
      </c>
    </row>
    <row r="70" spans="1:21">
      <c r="A70" s="46" t="s">
        <v>393</v>
      </c>
      <c r="B70" s="10" t="s">
        <v>7</v>
      </c>
      <c r="C70" s="9" t="e">
        <f t="shared" si="9"/>
        <v>#N/A</v>
      </c>
      <c r="D70" s="10" t="str">
        <f t="shared" si="3"/>
        <v>forca_aerea</v>
      </c>
      <c r="E70" s="10" t="str">
        <f t="shared" si="4"/>
        <v>rdfs:seeAlso</v>
      </c>
      <c r="F70" s="10" t="str">
        <f t="shared" si="5"/>
        <v>meios</v>
      </c>
      <c r="G70" s="3" t="str">
        <f t="shared" si="6"/>
        <v>NOK</v>
      </c>
      <c r="I70" s="10" t="str">
        <f t="shared" si="1"/>
        <v>forca_aerea-meios</v>
      </c>
      <c r="J70" s="10"/>
      <c r="K70" s="10"/>
      <c r="L70" s="3" t="e">
        <f>IF(INDEX(GRAFO!$L$2:'GRAFO'!$L$46,MATCH(I70,GRAFO!$L$2:'GRAFO'!$L$46,0),1)&lt;&gt;0,1,0)</f>
        <v>#N/A</v>
      </c>
      <c r="M70" s="3">
        <f t="shared" si="7"/>
        <v>0</v>
      </c>
      <c r="O70" s="10" t="str">
        <f t="shared" si="2"/>
        <v>forca_aerea-rdfs:seeAlso-meios</v>
      </c>
      <c r="P70" s="10"/>
      <c r="Q70" s="10"/>
      <c r="R70" s="10"/>
      <c r="S70" s="10"/>
      <c r="T70" s="10" t="e">
        <f>IF(INDEX(GRAFO!$M$2:'GRAFO'!$M$46,MATCH(O70,GRAFO!$M$2:'GRAFO'!$M$46,0),1)&lt;&gt;0,1,0)</f>
        <v>#N/A</v>
      </c>
      <c r="U70" s="10">
        <f t="shared" si="8"/>
        <v>0</v>
      </c>
    </row>
    <row r="71" spans="1:21">
      <c r="A71" s="46" t="s">
        <v>400</v>
      </c>
      <c r="B71" s="10" t="s">
        <v>4</v>
      </c>
      <c r="C71" s="9" t="e">
        <f t="shared" si="9"/>
        <v>#N/A</v>
      </c>
      <c r="D71" s="10" t="str">
        <f t="shared" si="3"/>
        <v>comando_e_controle</v>
      </c>
      <c r="E71" s="10" t="str">
        <f t="shared" si="4"/>
        <v>rdfs:subClassOf</v>
      </c>
      <c r="F71" s="10" t="str">
        <f t="shared" si="5"/>
        <v>estruturas</v>
      </c>
      <c r="G71" s="3" t="str">
        <f t="shared" si="6"/>
        <v>OK</v>
      </c>
      <c r="I71" s="10" t="str">
        <f t="shared" si="1"/>
        <v>comando_e_controle-estruturas</v>
      </c>
      <c r="J71" s="10"/>
      <c r="K71" s="10"/>
      <c r="L71" s="3">
        <f>IF(INDEX(GRAFO!$L$2:'GRAFO'!$L$46,MATCH(I71,GRAFO!$L$2:'GRAFO'!$L$46,0),1)&lt;&gt;0,1,0)</f>
        <v>1</v>
      </c>
      <c r="M71" s="3">
        <f t="shared" si="7"/>
        <v>1</v>
      </c>
      <c r="O71" s="10" t="str">
        <f t="shared" si="2"/>
        <v>comando_e_controle-rdfs:subClassOf-estruturas</v>
      </c>
      <c r="P71" s="10"/>
      <c r="Q71" s="10"/>
      <c r="R71" s="10"/>
      <c r="S71" s="10"/>
      <c r="T71" s="10">
        <f>IF(INDEX(GRAFO!$M$2:'GRAFO'!$M$46,MATCH(O71,GRAFO!$M$2:'GRAFO'!$M$46,0),1)&lt;&gt;0,1,0)</f>
        <v>1</v>
      </c>
      <c r="U71" s="10">
        <f t="shared" si="8"/>
        <v>1</v>
      </c>
    </row>
    <row r="72" spans="1:21">
      <c r="A72" s="46" t="s">
        <v>169</v>
      </c>
      <c r="B72" s="10" t="s">
        <v>7</v>
      </c>
      <c r="C72" s="9" t="e">
        <f t="shared" si="9"/>
        <v>#N/A</v>
      </c>
      <c r="D72" s="10" t="str">
        <f t="shared" si="3"/>
        <v>inteligencia</v>
      </c>
      <c r="E72" s="10" t="str">
        <f t="shared" si="4"/>
        <v>rdfs:subClassOf</v>
      </c>
      <c r="F72" s="10" t="str">
        <f t="shared" si="5"/>
        <v>estruturas</v>
      </c>
      <c r="G72" s="3" t="str">
        <f t="shared" si="6"/>
        <v>OK</v>
      </c>
      <c r="I72" s="10" t="str">
        <f t="shared" si="1"/>
        <v>inteligencia-estruturas</v>
      </c>
      <c r="J72" s="10"/>
      <c r="K72" s="10"/>
      <c r="L72" s="3">
        <f>IF(INDEX(GRAFO!$L$2:'GRAFO'!$L$46,MATCH(I72,GRAFO!$L$2:'GRAFO'!$L$46,0),1)&lt;&gt;0,1,0)</f>
        <v>1</v>
      </c>
      <c r="M72" s="3">
        <f t="shared" si="7"/>
        <v>1</v>
      </c>
      <c r="O72" s="10" t="str">
        <f t="shared" si="2"/>
        <v>inteligencia-rdfs:subClassOf-estruturas</v>
      </c>
      <c r="P72" s="10"/>
      <c r="Q72" s="10"/>
      <c r="R72" s="10"/>
      <c r="S72" s="10"/>
      <c r="T72" s="10">
        <f>IF(INDEX(GRAFO!$M$2:'GRAFO'!$M$46,MATCH(O72,GRAFO!$M$2:'GRAFO'!$M$46,0),1)&lt;&gt;0,1,0)</f>
        <v>1</v>
      </c>
      <c r="U72" s="10">
        <f t="shared" si="8"/>
        <v>1</v>
      </c>
    </row>
    <row r="73" spans="1:21">
      <c r="A73" s="46" t="s">
        <v>401</v>
      </c>
      <c r="B73" s="10" t="s">
        <v>7</v>
      </c>
      <c r="C73" s="9" t="e">
        <f t="shared" si="9"/>
        <v>#N/A</v>
      </c>
      <c r="D73" s="10" t="str">
        <f t="shared" si="3"/>
        <v>logistica</v>
      </c>
      <c r="E73" s="10" t="str">
        <f t="shared" si="4"/>
        <v>rdfs:subClassOf</v>
      </c>
      <c r="F73" s="10" t="str">
        <f t="shared" si="5"/>
        <v>estruturas</v>
      </c>
      <c r="G73" s="3" t="str">
        <f t="shared" si="6"/>
        <v>OK</v>
      </c>
      <c r="I73" s="10" t="str">
        <f t="shared" si="1"/>
        <v>logistica-estruturas</v>
      </c>
      <c r="J73" s="10"/>
      <c r="K73" s="10"/>
      <c r="L73" s="3">
        <f>IF(INDEX(GRAFO!$L$2:'GRAFO'!$L$46,MATCH(I73,GRAFO!$L$2:'GRAFO'!$L$46,0),1)&lt;&gt;0,1,0)</f>
        <v>1</v>
      </c>
      <c r="M73" s="3">
        <f t="shared" si="7"/>
        <v>1</v>
      </c>
      <c r="O73" s="10" t="str">
        <f t="shared" si="2"/>
        <v>logistica-rdfs:subClassOf-estruturas</v>
      </c>
      <c r="P73" s="10"/>
      <c r="Q73" s="10"/>
      <c r="R73" s="10"/>
      <c r="S73" s="10"/>
      <c r="T73" s="10">
        <f>IF(INDEX(GRAFO!$M$2:'GRAFO'!$M$46,MATCH(O73,GRAFO!$M$2:'GRAFO'!$M$46,0),1)&lt;&gt;0,1,0)</f>
        <v>1</v>
      </c>
      <c r="U73" s="10">
        <f t="shared" si="8"/>
        <v>1</v>
      </c>
    </row>
    <row r="74" spans="1:21">
      <c r="A74" s="10"/>
      <c r="B74" s="10"/>
      <c r="C74" s="9" t="e">
        <f t="shared" si="9"/>
        <v>#N/A</v>
      </c>
      <c r="D74" s="10" t="str">
        <f t="shared" si="3"/>
        <v>operacao_conjunta</v>
      </c>
      <c r="E74" s="10" t="str">
        <f t="shared" si="4"/>
        <v>rdfs:seeAlso</v>
      </c>
      <c r="F74" s="10" t="str">
        <f t="shared" si="5"/>
        <v>estruturas</v>
      </c>
      <c r="G74" s="3" t="str">
        <f t="shared" si="6"/>
        <v>OK</v>
      </c>
      <c r="I74" s="10" t="str">
        <f t="shared" si="1"/>
        <v>operacao_conjunta-estruturas</v>
      </c>
      <c r="J74" s="10"/>
      <c r="K74" s="10"/>
      <c r="L74" s="3" t="e">
        <f>IF(INDEX(GRAFO!$L$2:'GRAFO'!$L$46,MATCH(I74,GRAFO!$L$2:'GRAFO'!$L$46,0),1)&lt;&gt;0,1,0)</f>
        <v>#N/A</v>
      </c>
      <c r="M74" s="3">
        <f t="shared" si="7"/>
        <v>0</v>
      </c>
      <c r="O74" s="10" t="str">
        <f t="shared" si="2"/>
        <v>operacao_conjunta-rdfs:seeAlso-estruturas</v>
      </c>
      <c r="P74" s="10"/>
      <c r="Q74" s="10"/>
      <c r="R74" s="10"/>
      <c r="S74" s="10"/>
      <c r="T74" s="10" t="e">
        <f>IF(INDEX(GRAFO!$M$2:'GRAFO'!$M$46,MATCH(O74,GRAFO!$M$2:'GRAFO'!$M$46,0),1)&lt;&gt;0,1,0)</f>
        <v>#N/A</v>
      </c>
      <c r="U74" s="10">
        <f t="shared" si="8"/>
        <v>0</v>
      </c>
    </row>
    <row r="75" spans="1:21">
      <c r="A75" s="56"/>
      <c r="C75" s="9" t="e">
        <f t="shared" si="9"/>
        <v>#N/A</v>
      </c>
      <c r="D75" s="10" t="str">
        <f t="shared" si="3"/>
        <v>operacao_conjunta</v>
      </c>
      <c r="E75" s="10" t="str">
        <f t="shared" si="4"/>
        <v>rdfs:seeAlso</v>
      </c>
      <c r="F75" s="10" t="str">
        <f t="shared" si="5"/>
        <v>objetivos_estrategicos</v>
      </c>
      <c r="G75" s="3" t="str">
        <f t="shared" si="6"/>
        <v>NOK</v>
      </c>
      <c r="I75" s="10" t="str">
        <f t="shared" si="1"/>
        <v>operacao_conjunta-objetivos_estrategicos</v>
      </c>
      <c r="J75" s="10"/>
      <c r="K75" s="10"/>
      <c r="L75" s="3" t="e">
        <f>IF(INDEX(GRAFO!$L$2:'GRAFO'!$L$46,MATCH(I75,GRAFO!$L$2:'GRAFO'!$L$46,0),1)&lt;&gt;0,1,0)</f>
        <v>#N/A</v>
      </c>
      <c r="M75" s="3">
        <f t="shared" si="7"/>
        <v>0</v>
      </c>
      <c r="O75" s="10" t="str">
        <f t="shared" si="2"/>
        <v>operacao_conjunta-rdfs:seeAlso-objetivos_estrategicos</v>
      </c>
      <c r="P75" s="10"/>
      <c r="Q75" s="10"/>
      <c r="R75" s="10"/>
      <c r="S75" s="10"/>
      <c r="T75" s="10" t="e">
        <f>IF(INDEX(GRAFO!$M$2:'GRAFO'!$M$46,MATCH(O75,GRAFO!$M$2:'GRAFO'!$M$46,0),1)&lt;&gt;0,1,0)</f>
        <v>#N/A</v>
      </c>
      <c r="U75" s="10">
        <f t="shared" si="8"/>
        <v>0</v>
      </c>
    </row>
    <row r="76" spans="1:21">
      <c r="A76" s="56"/>
      <c r="C76" s="9" t="e">
        <f t="shared" si="9"/>
        <v>#N/A</v>
      </c>
      <c r="D76" s="10" t="str">
        <f t="shared" si="3"/>
        <v>objetivos_estrategicos</v>
      </c>
      <c r="E76" s="10" t="str">
        <f t="shared" si="4"/>
        <v>c2rm:applied_to</v>
      </c>
      <c r="F76" s="10" t="str">
        <f t="shared" si="5"/>
        <v>nivel</v>
      </c>
      <c r="G76" s="3" t="str">
        <f t="shared" si="6"/>
        <v>OK</v>
      </c>
      <c r="I76" s="10" t="str">
        <f t="shared" si="1"/>
        <v>objetivos_estrategicos-nivel</v>
      </c>
      <c r="J76" s="10"/>
      <c r="K76" s="10"/>
      <c r="L76" s="3" t="e">
        <f>IF(INDEX(GRAFO!$L$2:'GRAFO'!$L$46,MATCH(I76,GRAFO!$L$2:'GRAFO'!$L$46,0),1)&lt;&gt;0,1,0)</f>
        <v>#N/A</v>
      </c>
      <c r="M76" s="3">
        <f t="shared" si="7"/>
        <v>0</v>
      </c>
      <c r="O76" s="10" t="str">
        <f t="shared" si="2"/>
        <v>objetivos_estrategicos-c2rm:applied_to-nivel</v>
      </c>
      <c r="P76" s="10"/>
      <c r="Q76" s="10"/>
      <c r="R76" s="10"/>
      <c r="S76" s="10"/>
      <c r="T76" s="10" t="e">
        <f>IF(INDEX(GRAFO!$M$2:'GRAFO'!$M$46,MATCH(O76,GRAFO!$M$2:'GRAFO'!$M$46,0),1)&lt;&gt;0,1,0)</f>
        <v>#N/A</v>
      </c>
      <c r="U76" s="10">
        <f t="shared" si="8"/>
        <v>0</v>
      </c>
    </row>
    <row r="77" spans="1:21">
      <c r="A77" s="56"/>
      <c r="C77" s="9" t="e">
        <f t="shared" si="9"/>
        <v>#N/A</v>
      </c>
      <c r="D77" s="10" t="str">
        <f t="shared" si="3"/>
        <v>operacao_conjunta</v>
      </c>
      <c r="E77" s="10" t="str">
        <f t="shared" si="4"/>
        <v>c2rm:responsible_for</v>
      </c>
      <c r="F77" s="10" t="str">
        <f t="shared" si="5"/>
        <v>forca_componente</v>
      </c>
      <c r="G77" s="3" t="str">
        <f t="shared" si="6"/>
        <v>OK</v>
      </c>
      <c r="I77" s="10" t="str">
        <f t="shared" si="1"/>
        <v>operacao_conjunta-forca_componente</v>
      </c>
      <c r="J77" s="10"/>
      <c r="K77" s="10"/>
      <c r="L77" s="3" t="e">
        <f>IF(INDEX(GRAFO!$L$2:'GRAFO'!$L$46,MATCH(I77,GRAFO!$L$2:'GRAFO'!$L$46,0),1)&lt;&gt;0,1,0)</f>
        <v>#N/A</v>
      </c>
      <c r="M77" s="3">
        <f t="shared" si="7"/>
        <v>0</v>
      </c>
      <c r="O77" s="10" t="str">
        <f t="shared" si="2"/>
        <v>operacao_conjunta-c2rm:responsible_for-forca_componente</v>
      </c>
      <c r="P77" s="10"/>
      <c r="Q77" s="10"/>
      <c r="R77" s="10"/>
      <c r="S77" s="10"/>
      <c r="T77" s="10" t="e">
        <f>IF(INDEX(GRAFO!$M$2:'GRAFO'!$M$46,MATCH(O77,GRAFO!$M$2:'GRAFO'!$M$46,0),1)&lt;&gt;0,1,0)</f>
        <v>#N/A</v>
      </c>
      <c r="U77" s="10">
        <f t="shared" si="8"/>
        <v>0</v>
      </c>
    </row>
    <row r="78" spans="1:21">
      <c r="A78" s="56"/>
      <c r="C78" s="9" t="e">
        <f t="shared" si="9"/>
        <v>#N/A</v>
      </c>
      <c r="D78" s="10" t="str">
        <f t="shared" si="3"/>
        <v>operacao_conjunta</v>
      </c>
      <c r="E78" s="10" t="str">
        <f t="shared" si="4"/>
        <v>rdfs:subClassOf</v>
      </c>
      <c r="F78" s="10" t="str">
        <f t="shared" si="5"/>
        <v>operacao</v>
      </c>
      <c r="G78" s="3" t="str">
        <f t="shared" si="6"/>
        <v>OK</v>
      </c>
      <c r="I78" s="10" t="str">
        <f t="shared" si="1"/>
        <v>operacao_conjunta-operacao</v>
      </c>
      <c r="J78" s="10"/>
      <c r="K78" s="10"/>
      <c r="L78" s="3">
        <f>IF(INDEX(GRAFO!$L$2:'GRAFO'!$L$46,MATCH(I78,GRAFO!$L$2:'GRAFO'!$L$46,0),1)&lt;&gt;0,1,0)</f>
        <v>1</v>
      </c>
      <c r="M78" s="3">
        <f t="shared" si="7"/>
        <v>1</v>
      </c>
      <c r="O78" s="10" t="str">
        <f t="shared" si="2"/>
        <v>operacao_conjunta-rdfs:subClassOf-operacao</v>
      </c>
      <c r="P78" s="10"/>
      <c r="Q78" s="10"/>
      <c r="R78" s="10"/>
      <c r="S78" s="10"/>
      <c r="T78" s="10">
        <f>IF(INDEX(GRAFO!$M$2:'GRAFO'!$M$46,MATCH(O78,GRAFO!$M$2:'GRAFO'!$M$46,0),1)&lt;&gt;0,1,0)</f>
        <v>1</v>
      </c>
      <c r="U78" s="10">
        <f t="shared" si="8"/>
        <v>1</v>
      </c>
    </row>
    <row r="79" spans="1:21">
      <c r="A79" s="56"/>
      <c r="C79" s="9" t="e">
        <f t="shared" si="9"/>
        <v>#N/A</v>
      </c>
      <c r="D79" s="10" t="str">
        <f t="shared" si="3"/>
        <v>comandante_supremo</v>
      </c>
      <c r="E79" s="10" t="str">
        <f t="shared" si="4"/>
        <v>c2rm:responsible_for</v>
      </c>
      <c r="F79" s="10" t="str">
        <f t="shared" si="5"/>
        <v>operacao_conjunta</v>
      </c>
      <c r="G79" s="3" t="str">
        <f t="shared" si="6"/>
        <v>OK</v>
      </c>
      <c r="I79" s="10" t="str">
        <f t="shared" si="1"/>
        <v>comandante_supremo-operacao_conjunta</v>
      </c>
      <c r="J79" s="10"/>
      <c r="K79" s="10"/>
      <c r="L79" s="3" t="e">
        <f>IF(INDEX(GRAFO!$L$2:'GRAFO'!$L$46,MATCH(I79,GRAFO!$L$2:'GRAFO'!$L$46,0),1)&lt;&gt;0,1,0)</f>
        <v>#N/A</v>
      </c>
      <c r="M79" s="3">
        <f t="shared" si="7"/>
        <v>0</v>
      </c>
      <c r="O79" s="10" t="str">
        <f t="shared" si="2"/>
        <v>comandante_supremo-c2rm:responsible_for-operacao_conjunta</v>
      </c>
      <c r="P79" s="10"/>
      <c r="Q79" s="10"/>
      <c r="R79" s="10"/>
      <c r="S79" s="10"/>
      <c r="T79" s="10" t="e">
        <f>IF(INDEX(GRAFO!$M$2:'GRAFO'!$M$46,MATCH(O79,GRAFO!$M$2:'GRAFO'!$M$46,0),1)&lt;&gt;0,1,0)</f>
        <v>#N/A</v>
      </c>
      <c r="U79" s="10">
        <f t="shared" si="8"/>
        <v>0</v>
      </c>
    </row>
    <row r="80" spans="1:21">
      <c r="A80" s="56"/>
      <c r="C80" s="9" t="e">
        <f t="shared" si="9"/>
        <v>#N/A</v>
      </c>
      <c r="D80" s="10" t="str">
        <f t="shared" si="3"/>
        <v>comandante_supremo</v>
      </c>
      <c r="E80" s="10" t="str">
        <f t="shared" si="4"/>
        <v>rdfs:seeAlso</v>
      </c>
      <c r="F80" s="10" t="str">
        <f t="shared" si="5"/>
        <v>comandos_operacionais</v>
      </c>
      <c r="G80" s="3" t="str">
        <f t="shared" si="6"/>
        <v>OK</v>
      </c>
      <c r="I80" s="10" t="str">
        <f t="shared" si="1"/>
        <v>comandante_supremo-comandos_operacionais</v>
      </c>
      <c r="J80" s="10"/>
      <c r="K80" s="10"/>
      <c r="L80" s="3" t="e">
        <f>IF(INDEX(GRAFO!$L$2:'GRAFO'!$L$46,MATCH(I80,GRAFO!$L$2:'GRAFO'!$L$46,0),1)&lt;&gt;0,1,0)</f>
        <v>#N/A</v>
      </c>
      <c r="M80" s="3">
        <f t="shared" si="7"/>
        <v>0</v>
      </c>
      <c r="O80" s="10" t="str">
        <f t="shared" si="2"/>
        <v>comandante_supremo-rdfs:seeAlso-comandos_operacionais</v>
      </c>
      <c r="P80" s="10"/>
      <c r="Q80" s="10"/>
      <c r="R80" s="10"/>
      <c r="S80" s="10"/>
      <c r="T80" s="10" t="e">
        <f>IF(INDEX(GRAFO!$M$2:'GRAFO'!$M$46,MATCH(O80,GRAFO!$M$2:'GRAFO'!$M$46,0),1)&lt;&gt;0,1,0)</f>
        <v>#N/A</v>
      </c>
      <c r="U80" s="10">
        <f t="shared" si="8"/>
        <v>0</v>
      </c>
    </row>
    <row r="81" spans="1:21">
      <c r="A81" s="56"/>
      <c r="C81" s="9" t="e">
        <f t="shared" si="9"/>
        <v>#N/A</v>
      </c>
      <c r="D81" s="10" t="str">
        <f t="shared" si="3"/>
        <v>planos_operacionais</v>
      </c>
      <c r="E81" s="10" t="str">
        <f t="shared" si="4"/>
        <v>rdfs:seeAlso</v>
      </c>
      <c r="F81" s="10" t="str">
        <f t="shared" si="5"/>
        <v>forca_componente</v>
      </c>
      <c r="G81" s="3" t="str">
        <f t="shared" si="6"/>
        <v>OK</v>
      </c>
      <c r="I81" s="10" t="str">
        <f t="shared" si="1"/>
        <v>planos_operacionais-forca_componente</v>
      </c>
      <c r="J81" s="10"/>
      <c r="K81" s="10"/>
      <c r="L81" s="3" t="e">
        <f>IF(INDEX(GRAFO!$L$2:'GRAFO'!$L$46,MATCH(I81,GRAFO!$L$2:'GRAFO'!$L$46,0),1)&lt;&gt;0,1,0)</f>
        <v>#N/A</v>
      </c>
      <c r="M81" s="3">
        <f t="shared" si="7"/>
        <v>0</v>
      </c>
      <c r="O81" s="10" t="str">
        <f t="shared" si="2"/>
        <v>planos_operacionais-rdfs:seeAlso-forca_componente</v>
      </c>
      <c r="P81" s="10"/>
      <c r="Q81" s="10"/>
      <c r="R81" s="10"/>
      <c r="S81" s="10"/>
      <c r="T81" s="10" t="e">
        <f>IF(INDEX(GRAFO!$M$2:'GRAFO'!$M$46,MATCH(O81,GRAFO!$M$2:'GRAFO'!$M$46,0),1)&lt;&gt;0,1,0)</f>
        <v>#N/A</v>
      </c>
      <c r="U81" s="10">
        <f t="shared" si="8"/>
        <v>0</v>
      </c>
    </row>
    <row r="82" spans="1:21">
      <c r="A82" s="56"/>
      <c r="D82" s="10" t="str">
        <f t="shared" si="3"/>
        <v>forca_componente</v>
      </c>
      <c r="E82" s="10" t="str">
        <f t="shared" si="4"/>
        <v>c2rm:responsible_for</v>
      </c>
      <c r="F82" s="10" t="str">
        <f t="shared" si="5"/>
        <v>meios</v>
      </c>
      <c r="G82" s="3" t="str">
        <f t="shared" si="6"/>
        <v>NOK</v>
      </c>
      <c r="I82" s="10" t="str">
        <f t="shared" si="1"/>
        <v>forca_componente-meios</v>
      </c>
      <c r="J82" s="10"/>
      <c r="K82" s="10"/>
      <c r="L82" s="3" t="e">
        <f>IF(INDEX(GRAFO!$L$2:'GRAFO'!$L$46,MATCH(I82,GRAFO!$L$2:'GRAFO'!$L$46,0),1)&lt;&gt;0,1,0)</f>
        <v>#N/A</v>
      </c>
      <c r="M82" s="3">
        <f t="shared" si="7"/>
        <v>0</v>
      </c>
      <c r="O82" s="10" t="str">
        <f t="shared" si="2"/>
        <v>forca_componente-c2rm:responsible_for-meios</v>
      </c>
      <c r="P82" s="10"/>
      <c r="Q82" s="10"/>
      <c r="R82" s="10"/>
      <c r="S82" s="10"/>
      <c r="T82" s="10" t="e">
        <f>IF(INDEX(GRAFO!$M$2:'GRAFO'!$M$46,MATCH(O82,GRAFO!$M$2:'GRAFO'!$M$46,0),1)&lt;&gt;0,1,0)</f>
        <v>#N/A</v>
      </c>
      <c r="U82" s="10">
        <f t="shared" si="8"/>
        <v>0</v>
      </c>
    </row>
    <row r="83" spans="1:21">
      <c r="D83" s="10" t="str">
        <f t="shared" si="3"/>
        <v>forcas_armadas</v>
      </c>
      <c r="E83" s="10" t="str">
        <f t="shared" si="4"/>
        <v>rdfs:seeAlso</v>
      </c>
      <c r="F83" s="10" t="str">
        <f t="shared" si="5"/>
        <v>forca_componente</v>
      </c>
      <c r="G83" s="3" t="str">
        <f t="shared" si="6"/>
        <v>OK</v>
      </c>
      <c r="I83" s="10" t="str">
        <f t="shared" ref="I83:I102" si="10">D83 &amp;"-"&amp;F83</f>
        <v>forcas_armadas-forca_componente</v>
      </c>
      <c r="J83" s="10"/>
      <c r="K83" s="10"/>
      <c r="L83" s="3" t="e">
        <f>IF(INDEX(GRAFO!$L$2:'GRAFO'!$L$46,MATCH(I83,GRAFO!$L$2:'GRAFO'!$L$46,0),1)&lt;&gt;0,1,0)</f>
        <v>#N/A</v>
      </c>
      <c r="M83" s="3">
        <f t="shared" ref="M83:M102" si="11">IFERROR(L83,0)</f>
        <v>0</v>
      </c>
      <c r="O83" s="10" t="str">
        <f t="shared" ref="O83:O102" si="12">D83 &amp; "-" &amp; E83 &amp; "-" &amp; F83</f>
        <v>forcas_armadas-rdfs:seeAlso-forca_componente</v>
      </c>
      <c r="P83" s="10"/>
      <c r="Q83" s="10"/>
      <c r="R83" s="10"/>
      <c r="S83" s="10"/>
      <c r="T83" s="10" t="e">
        <f>IF(INDEX(GRAFO!$M$2:'GRAFO'!$M$46,MATCH(O83,GRAFO!$M$2:'GRAFO'!$M$46,0),1)&lt;&gt;0,1,0)</f>
        <v>#N/A</v>
      </c>
      <c r="U83" s="10">
        <f t="shared" ref="U83:U102" si="13">IFERROR(T83,0)</f>
        <v>0</v>
      </c>
    </row>
    <row r="84" spans="1:21">
      <c r="D84" s="10" t="str">
        <f t="shared" si="3"/>
        <v>forcas_armadas</v>
      </c>
      <c r="E84" s="10" t="str">
        <f t="shared" si="4"/>
        <v>c2rm:applied_to</v>
      </c>
      <c r="F84" s="10" t="str">
        <f t="shared" si="5"/>
        <v>comandos_operacionais</v>
      </c>
      <c r="G84" s="3" t="str">
        <f t="shared" si="6"/>
        <v>OK</v>
      </c>
      <c r="I84" s="10" t="str">
        <f t="shared" si="10"/>
        <v>forcas_armadas-comandos_operacionais</v>
      </c>
      <c r="J84" s="10"/>
      <c r="K84" s="10"/>
      <c r="L84" s="3" t="e">
        <f>IF(INDEX(GRAFO!$L$2:'GRAFO'!$L$46,MATCH(I84,GRAFO!$L$2:'GRAFO'!$L$46,0),1)&lt;&gt;0,1,0)</f>
        <v>#N/A</v>
      </c>
      <c r="M84" s="3">
        <f t="shared" si="11"/>
        <v>0</v>
      </c>
      <c r="O84" s="10" t="str">
        <f t="shared" si="12"/>
        <v>forcas_armadas-c2rm:applied_to-comandos_operacionais</v>
      </c>
      <c r="P84" s="10"/>
      <c r="Q84" s="10"/>
      <c r="R84" s="10"/>
      <c r="S84" s="10"/>
      <c r="T84" s="10" t="e">
        <f>IF(INDEX(GRAFO!$M$2:'GRAFO'!$M$46,MATCH(O84,GRAFO!$M$2:'GRAFO'!$M$46,0),1)&lt;&gt;0,1,0)</f>
        <v>#N/A</v>
      </c>
      <c r="U84" s="10">
        <f t="shared" si="13"/>
        <v>0</v>
      </c>
    </row>
    <row r="85" spans="1:21">
      <c r="D85" s="10" t="str">
        <f t="shared" si="3"/>
        <v>comandos_operacionais</v>
      </c>
      <c r="E85" s="10" t="str">
        <f t="shared" si="4"/>
        <v>c2rm:responsible_for</v>
      </c>
      <c r="F85" s="10" t="str">
        <f t="shared" si="5"/>
        <v>comando_logistico</v>
      </c>
      <c r="G85" s="3" t="str">
        <f t="shared" si="6"/>
        <v>NOK</v>
      </c>
      <c r="I85" s="10" t="str">
        <f t="shared" si="10"/>
        <v>comandos_operacionais-comando_logistico</v>
      </c>
      <c r="J85" s="10"/>
      <c r="K85" s="10"/>
      <c r="L85" s="3" t="e">
        <f>IF(INDEX(GRAFO!$L$2:'GRAFO'!$L$46,MATCH(I85,GRAFO!$L$2:'GRAFO'!$L$46,0),1)&lt;&gt;0,1,0)</f>
        <v>#N/A</v>
      </c>
      <c r="M85" s="3">
        <f t="shared" si="11"/>
        <v>0</v>
      </c>
      <c r="O85" s="10" t="str">
        <f t="shared" si="12"/>
        <v>comandos_operacionais-c2rm:responsible_for-comando_logistico</v>
      </c>
      <c r="P85" s="10"/>
      <c r="Q85" s="10"/>
      <c r="R85" s="10"/>
      <c r="S85" s="10"/>
      <c r="T85" s="10" t="e">
        <f>IF(INDEX(GRAFO!$M$2:'GRAFO'!$M$46,MATCH(O85,GRAFO!$M$2:'GRAFO'!$M$46,0),1)&lt;&gt;0,1,0)</f>
        <v>#N/A</v>
      </c>
      <c r="U85" s="10">
        <f t="shared" si="13"/>
        <v>0</v>
      </c>
    </row>
    <row r="86" spans="1:21">
      <c r="D86" s="10" t="str">
        <f t="shared" si="3"/>
        <v>comandos_operacionais</v>
      </c>
      <c r="E86" s="10" t="str">
        <f t="shared" si="4"/>
        <v>c2rm:responsible_for</v>
      </c>
      <c r="F86" s="10" t="str">
        <f t="shared" si="5"/>
        <v>planos_operacionais</v>
      </c>
      <c r="G86" s="3" t="str">
        <f t="shared" si="6"/>
        <v>NOK</v>
      </c>
      <c r="I86" s="10" t="str">
        <f t="shared" si="10"/>
        <v>comandos_operacionais-planos_operacionais</v>
      </c>
      <c r="J86" s="10"/>
      <c r="K86" s="10"/>
      <c r="L86" s="3" t="e">
        <f>IF(INDEX(GRAFO!$L$2:'GRAFO'!$L$46,MATCH(I86,GRAFO!$L$2:'GRAFO'!$L$46,0),1)&lt;&gt;0,1,0)</f>
        <v>#N/A</v>
      </c>
      <c r="M86" s="3">
        <f t="shared" si="11"/>
        <v>0</v>
      </c>
      <c r="O86" s="10" t="str">
        <f t="shared" si="12"/>
        <v>comandos_operacionais-c2rm:responsible_for-planos_operacionais</v>
      </c>
      <c r="P86" s="10"/>
      <c r="Q86" s="10"/>
      <c r="R86" s="10"/>
      <c r="S86" s="10"/>
      <c r="T86" s="10" t="e">
        <f>IF(INDEX(GRAFO!$M$2:'GRAFO'!$M$46,MATCH(O86,GRAFO!$M$2:'GRAFO'!$M$46,0),1)&lt;&gt;0,1,0)</f>
        <v>#N/A</v>
      </c>
      <c r="U86" s="10">
        <f t="shared" si="13"/>
        <v>0</v>
      </c>
    </row>
    <row r="87" spans="1:21">
      <c r="D87" s="10" t="str">
        <f t="shared" si="3"/>
        <v>planos_operacionais</v>
      </c>
      <c r="E87" s="10" t="str">
        <f t="shared" si="4"/>
        <v>rdfs:seeAlso</v>
      </c>
      <c r="F87" s="10" t="str">
        <f t="shared" si="5"/>
        <v>planos_estrategicos</v>
      </c>
      <c r="G87" s="3" t="str">
        <f t="shared" si="6"/>
        <v>NOK</v>
      </c>
      <c r="I87" s="10" t="str">
        <f t="shared" si="10"/>
        <v>planos_operacionais-planos_estrategicos</v>
      </c>
      <c r="J87" s="10"/>
      <c r="K87" s="10"/>
      <c r="L87" s="3" t="e">
        <f>IF(INDEX(GRAFO!$L$2:'GRAFO'!$L$46,MATCH(I87,GRAFO!$L$2:'GRAFO'!$L$46,0),1)&lt;&gt;0,1,0)</f>
        <v>#N/A</v>
      </c>
      <c r="M87" s="3">
        <f t="shared" si="11"/>
        <v>0</v>
      </c>
      <c r="O87" s="10" t="str">
        <f t="shared" si="12"/>
        <v>planos_operacionais-rdfs:seeAlso-planos_estrategicos</v>
      </c>
      <c r="P87" s="10"/>
      <c r="Q87" s="10"/>
      <c r="R87" s="10"/>
      <c r="S87" s="10"/>
      <c r="T87" s="10" t="e">
        <f>IF(INDEX(GRAFO!$M$2:'GRAFO'!$M$46,MATCH(O87,GRAFO!$M$2:'GRAFO'!$M$46,0),1)&lt;&gt;0,1,0)</f>
        <v>#N/A</v>
      </c>
      <c r="U87" s="10">
        <f t="shared" si="13"/>
        <v>0</v>
      </c>
    </row>
    <row r="88" spans="1:21">
      <c r="D88" s="10" t="str">
        <f t="shared" si="3"/>
        <v>planos_estrategicos</v>
      </c>
      <c r="E88" s="10" t="str">
        <f t="shared" si="4"/>
        <v>rdfs:subClassOf</v>
      </c>
      <c r="F88" s="10" t="str">
        <f t="shared" si="5"/>
        <v>diretriz_ministerial_defesa</v>
      </c>
      <c r="G88" s="3" t="str">
        <f t="shared" si="6"/>
        <v>NOK</v>
      </c>
      <c r="I88" s="10" t="str">
        <f t="shared" si="10"/>
        <v>planos_estrategicos-diretriz_ministerial_defesa</v>
      </c>
      <c r="J88" s="10"/>
      <c r="K88" s="10"/>
      <c r="L88" s="3" t="e">
        <f>IF(INDEX(GRAFO!$L$2:'GRAFO'!$L$46,MATCH(I88,GRAFO!$L$2:'GRAFO'!$L$46,0),1)&lt;&gt;0,1,0)</f>
        <v>#N/A</v>
      </c>
      <c r="M88" s="3">
        <f t="shared" si="11"/>
        <v>0</v>
      </c>
      <c r="O88" s="10" t="str">
        <f t="shared" si="12"/>
        <v>planos_estrategicos-rdfs:subClassOf-diretriz_ministerial_defesa</v>
      </c>
      <c r="P88" s="10"/>
      <c r="Q88" s="10"/>
      <c r="R88" s="10"/>
      <c r="S88" s="10"/>
      <c r="T88" s="10" t="e">
        <f>IF(INDEX(GRAFO!$M$2:'GRAFO'!$M$46,MATCH(O88,GRAFO!$M$2:'GRAFO'!$M$46,0),1)&lt;&gt;0,1,0)</f>
        <v>#N/A</v>
      </c>
      <c r="U88" s="10">
        <f t="shared" si="13"/>
        <v>0</v>
      </c>
    </row>
    <row r="89" spans="1:21">
      <c r="D89" s="10" t="str">
        <f t="shared" si="3"/>
        <v>planos_operacionais</v>
      </c>
      <c r="E89" s="10" t="str">
        <f t="shared" si="4"/>
        <v>rdfs:seeAlso</v>
      </c>
      <c r="F89" s="10" t="str">
        <f t="shared" si="5"/>
        <v>planos_taticos</v>
      </c>
      <c r="G89" s="3" t="str">
        <f t="shared" si="6"/>
        <v>NOK</v>
      </c>
      <c r="I89" s="10" t="str">
        <f t="shared" si="10"/>
        <v>planos_operacionais-planos_taticos</v>
      </c>
      <c r="J89" s="10"/>
      <c r="K89" s="10"/>
      <c r="L89" s="3" t="e">
        <f>IF(INDEX(GRAFO!$L$2:'GRAFO'!$L$46,MATCH(I89,GRAFO!$L$2:'GRAFO'!$L$46,0),1)&lt;&gt;0,1,0)</f>
        <v>#N/A</v>
      </c>
      <c r="M89" s="3">
        <f t="shared" si="11"/>
        <v>0</v>
      </c>
      <c r="O89" s="10" t="str">
        <f t="shared" si="12"/>
        <v>planos_operacionais-rdfs:seeAlso-planos_taticos</v>
      </c>
      <c r="P89" s="10"/>
      <c r="Q89" s="10"/>
      <c r="R89" s="10"/>
      <c r="S89" s="10"/>
      <c r="T89" s="10" t="e">
        <f>IF(INDEX(GRAFO!$M$2:'GRAFO'!$M$46,MATCH(O89,GRAFO!$M$2:'GRAFO'!$M$46,0),1)&lt;&gt;0,1,0)</f>
        <v>#N/A</v>
      </c>
      <c r="U89" s="10">
        <f t="shared" si="13"/>
        <v>0</v>
      </c>
    </row>
    <row r="90" spans="1:21">
      <c r="D90" s="10" t="str">
        <f t="shared" si="3"/>
        <v>forca_componente</v>
      </c>
      <c r="E90" s="10" t="str">
        <f t="shared" si="4"/>
        <v>c2rm:responsible_for</v>
      </c>
      <c r="F90" s="10" t="str">
        <f t="shared" si="5"/>
        <v>planos_taticos</v>
      </c>
      <c r="G90" s="3" t="str">
        <f t="shared" si="6"/>
        <v>NOK</v>
      </c>
      <c r="I90" s="10" t="str">
        <f t="shared" si="10"/>
        <v>forca_componente-planos_taticos</v>
      </c>
      <c r="J90" s="10"/>
      <c r="K90" s="10"/>
      <c r="L90" s="3" t="e">
        <f>IF(INDEX(GRAFO!$L$2:'GRAFO'!$L$46,MATCH(I90,GRAFO!$L$2:'GRAFO'!$L$46,0),1)&lt;&gt;0,1,0)</f>
        <v>#N/A</v>
      </c>
      <c r="M90" s="3">
        <f t="shared" si="11"/>
        <v>0</v>
      </c>
      <c r="O90" s="10" t="str">
        <f t="shared" si="12"/>
        <v>forca_componente-c2rm:responsible_for-planos_taticos</v>
      </c>
      <c r="P90" s="10"/>
      <c r="Q90" s="10"/>
      <c r="R90" s="10"/>
      <c r="S90" s="10"/>
      <c r="T90" s="10" t="e">
        <f>IF(INDEX(GRAFO!$M$2:'GRAFO'!$M$46,MATCH(O90,GRAFO!$M$2:'GRAFO'!$M$46,0),1)&lt;&gt;0,1,0)</f>
        <v>#N/A</v>
      </c>
      <c r="U90" s="10">
        <f t="shared" si="13"/>
        <v>0</v>
      </c>
    </row>
    <row r="91" spans="1:21">
      <c r="D91" s="10" t="str">
        <f t="shared" si="3"/>
        <v>comandante_supremo</v>
      </c>
      <c r="E91" s="10" t="str">
        <f t="shared" si="4"/>
        <v>c2rm:responsible_for</v>
      </c>
      <c r="F91" s="10" t="str">
        <f t="shared" si="5"/>
        <v>comandos_operacionais</v>
      </c>
      <c r="G91" s="3" t="str">
        <f t="shared" si="6"/>
        <v>OK</v>
      </c>
      <c r="I91" s="10" t="str">
        <f t="shared" si="10"/>
        <v>comandante_supremo-comandos_operacionais</v>
      </c>
      <c r="J91" s="10"/>
      <c r="K91" s="10"/>
      <c r="L91" s="3" t="e">
        <f>IF(INDEX(GRAFO!$L$2:'GRAFO'!$L$46,MATCH(I91,GRAFO!$L$2:'GRAFO'!$L$46,0),1)&lt;&gt;0,1,0)</f>
        <v>#N/A</v>
      </c>
      <c r="M91" s="3">
        <f t="shared" si="11"/>
        <v>0</v>
      </c>
      <c r="O91" s="10" t="str">
        <f t="shared" si="12"/>
        <v>comandante_supremo-c2rm:responsible_for-comandos_operacionais</v>
      </c>
      <c r="P91" s="10"/>
      <c r="Q91" s="10"/>
      <c r="R91" s="10"/>
      <c r="S91" s="10"/>
      <c r="T91" s="10" t="e">
        <f>IF(INDEX(GRAFO!$M$2:'GRAFO'!$M$46,MATCH(O91,GRAFO!$M$2:'GRAFO'!$M$46,0),1)&lt;&gt;0,1,0)</f>
        <v>#N/A</v>
      </c>
      <c r="U91" s="10">
        <f t="shared" si="13"/>
        <v>0</v>
      </c>
    </row>
    <row r="92" spans="1:21">
      <c r="D92" s="10" t="str">
        <f t="shared" si="3"/>
        <v>comandante_supremo</v>
      </c>
      <c r="E92" s="10" t="str">
        <f t="shared" si="4"/>
        <v>c2rm:responsible_for</v>
      </c>
      <c r="F92" s="10" t="str">
        <f t="shared" si="5"/>
        <v>planos_taticos</v>
      </c>
      <c r="G92" s="3" t="str">
        <f t="shared" si="6"/>
        <v>NOK</v>
      </c>
      <c r="I92" s="10" t="str">
        <f t="shared" si="10"/>
        <v>comandante_supremo-planos_taticos</v>
      </c>
      <c r="J92" s="10"/>
      <c r="K92" s="10"/>
      <c r="L92" s="3" t="e">
        <f>IF(INDEX(GRAFO!$L$2:'GRAFO'!$L$46,MATCH(I92,GRAFO!$L$2:'GRAFO'!$L$46,0),1)&lt;&gt;0,1,0)</f>
        <v>#N/A</v>
      </c>
      <c r="M92" s="3">
        <f t="shared" si="11"/>
        <v>0</v>
      </c>
      <c r="O92" s="10" t="str">
        <f t="shared" si="12"/>
        <v>comandante_supremo-c2rm:responsible_for-planos_taticos</v>
      </c>
      <c r="P92" s="10"/>
      <c r="Q92" s="10"/>
      <c r="R92" s="10"/>
      <c r="S92" s="10"/>
      <c r="T92" s="10" t="e">
        <f>IF(INDEX(GRAFO!$M$2:'GRAFO'!$M$46,MATCH(O92,GRAFO!$M$2:'GRAFO'!$M$46,0),1)&lt;&gt;0,1,0)</f>
        <v>#N/A</v>
      </c>
      <c r="U92" s="10">
        <f t="shared" si="13"/>
        <v>0</v>
      </c>
    </row>
    <row r="93" spans="1:21">
      <c r="D93" s="10" t="str">
        <f t="shared" si="3"/>
        <v>ministerio_da_defesa</v>
      </c>
      <c r="E93" s="10" t="str">
        <f t="shared" si="4"/>
        <v>c2rm:responsible_for</v>
      </c>
      <c r="F93" s="10" t="str">
        <f t="shared" si="5"/>
        <v>diretriz_ministerial_defesa</v>
      </c>
      <c r="G93" s="3" t="str">
        <f t="shared" si="6"/>
        <v>NOK</v>
      </c>
      <c r="I93" s="10" t="str">
        <f t="shared" si="10"/>
        <v>ministerio_da_defesa-diretriz_ministerial_defesa</v>
      </c>
      <c r="J93" s="10"/>
      <c r="K93" s="10"/>
      <c r="L93" s="3" t="e">
        <f>IF(INDEX(GRAFO!$L$2:'GRAFO'!$L$46,MATCH(I93,GRAFO!$L$2:'GRAFO'!$L$46,0),1)&lt;&gt;0,1,0)</f>
        <v>#N/A</v>
      </c>
      <c r="M93" s="3">
        <f t="shared" si="11"/>
        <v>0</v>
      </c>
      <c r="O93" s="10" t="str">
        <f t="shared" si="12"/>
        <v>ministerio_da_defesa-c2rm:responsible_for-diretriz_ministerial_defesa</v>
      </c>
      <c r="P93" s="10"/>
      <c r="Q93" s="10"/>
      <c r="R93" s="10"/>
      <c r="S93" s="10"/>
      <c r="T93" s="10" t="e">
        <f>IF(INDEX(GRAFO!$M$2:'GRAFO'!$M$46,MATCH(O93,GRAFO!$M$2:'GRAFO'!$M$46,0),1)&lt;&gt;0,1,0)</f>
        <v>#N/A</v>
      </c>
      <c r="U93" s="10">
        <f t="shared" si="13"/>
        <v>0</v>
      </c>
    </row>
    <row r="94" spans="1:21">
      <c r="D94" s="10" t="str">
        <f t="shared" si="3"/>
        <v>objetivos_politicos</v>
      </c>
      <c r="E94" s="10" t="str">
        <f t="shared" si="4"/>
        <v>c2rm:applied_to</v>
      </c>
      <c r="F94" s="10" t="str">
        <f t="shared" si="5"/>
        <v>politico</v>
      </c>
      <c r="G94" s="3" t="str">
        <f t="shared" si="6"/>
        <v>OK</v>
      </c>
      <c r="I94" s="10" t="str">
        <f t="shared" si="10"/>
        <v>objetivos_politicos-politico</v>
      </c>
      <c r="J94" s="10"/>
      <c r="K94" s="10"/>
      <c r="L94" s="3" t="e">
        <f>IF(INDEX(GRAFO!$L$2:'GRAFO'!$L$46,MATCH(I94,GRAFO!$L$2:'GRAFO'!$L$46,0),1)&lt;&gt;0,1,0)</f>
        <v>#N/A</v>
      </c>
      <c r="M94" s="3">
        <f t="shared" si="11"/>
        <v>0</v>
      </c>
      <c r="O94" s="10" t="str">
        <f t="shared" si="12"/>
        <v>objetivos_politicos-c2rm:applied_to-politico</v>
      </c>
      <c r="P94" s="10"/>
      <c r="Q94" s="10"/>
      <c r="R94" s="10"/>
      <c r="S94" s="10"/>
      <c r="T94" s="10" t="e">
        <f>IF(INDEX(GRAFO!$M$2:'GRAFO'!$M$46,MATCH(O94,GRAFO!$M$2:'GRAFO'!$M$46,0),1)&lt;&gt;0,1,0)</f>
        <v>#N/A</v>
      </c>
      <c r="U94" s="10">
        <f t="shared" si="13"/>
        <v>0</v>
      </c>
    </row>
    <row r="95" spans="1:21">
      <c r="D95" s="10" t="str">
        <f t="shared" si="3"/>
        <v>comandante_supremo</v>
      </c>
      <c r="E95" s="10" t="str">
        <f t="shared" si="4"/>
        <v>c2rm:responsible_for</v>
      </c>
      <c r="F95" s="10" t="str">
        <f t="shared" si="5"/>
        <v>objetivos_politicos</v>
      </c>
      <c r="G95" s="3" t="str">
        <f t="shared" si="6"/>
        <v>OK</v>
      </c>
      <c r="I95" s="10" t="str">
        <f t="shared" si="10"/>
        <v>comandante_supremo-objetivos_politicos</v>
      </c>
      <c r="J95" s="10"/>
      <c r="K95" s="10"/>
      <c r="L95" s="3" t="e">
        <f>IF(INDEX(GRAFO!$L$2:'GRAFO'!$L$46,MATCH(I95,GRAFO!$L$2:'GRAFO'!$L$46,0),1)&lt;&gt;0,1,0)</f>
        <v>#N/A</v>
      </c>
      <c r="M95" s="3">
        <f t="shared" si="11"/>
        <v>0</v>
      </c>
      <c r="O95" s="10" t="str">
        <f t="shared" si="12"/>
        <v>comandante_supremo-c2rm:responsible_for-objetivos_politicos</v>
      </c>
      <c r="P95" s="10"/>
      <c r="Q95" s="10"/>
      <c r="R95" s="10"/>
      <c r="S95" s="10"/>
      <c r="T95" s="10" t="e">
        <f>IF(INDEX(GRAFO!$M$2:'GRAFO'!$M$46,MATCH(O95,GRAFO!$M$2:'GRAFO'!$M$46,0),1)&lt;&gt;0,1,0)</f>
        <v>#N/A</v>
      </c>
      <c r="U95" s="10">
        <f t="shared" si="13"/>
        <v>0</v>
      </c>
    </row>
    <row r="96" spans="1:21">
      <c r="D96" s="10" t="str">
        <f t="shared" si="3"/>
        <v>diretriz_ministerial_defesa</v>
      </c>
      <c r="E96" s="10" t="str">
        <f t="shared" si="4"/>
        <v>c2rm:applied_to</v>
      </c>
      <c r="F96" s="10" t="str">
        <f t="shared" si="5"/>
        <v>diretriz_presidencial_defesa</v>
      </c>
      <c r="G96" s="3" t="str">
        <f t="shared" si="6"/>
        <v>NOK</v>
      </c>
      <c r="I96" s="10" t="str">
        <f t="shared" si="10"/>
        <v>diretriz_ministerial_defesa-diretriz_presidencial_defesa</v>
      </c>
      <c r="J96" s="10"/>
      <c r="K96" s="10"/>
      <c r="L96" s="3" t="e">
        <f>IF(INDEX(GRAFO!$L$2:'GRAFO'!$L$46,MATCH(I96,GRAFO!$L$2:'GRAFO'!$L$46,0),1)&lt;&gt;0,1,0)</f>
        <v>#N/A</v>
      </c>
      <c r="M96" s="3">
        <f t="shared" si="11"/>
        <v>0</v>
      </c>
      <c r="O96" s="10" t="str">
        <f t="shared" si="12"/>
        <v>diretriz_ministerial_defesa-c2rm:applied_to-diretriz_presidencial_defesa</v>
      </c>
      <c r="P96" s="10"/>
      <c r="Q96" s="10"/>
      <c r="R96" s="10"/>
      <c r="S96" s="10"/>
      <c r="T96" s="10" t="e">
        <f>IF(INDEX(GRAFO!$M$2:'GRAFO'!$M$46,MATCH(O96,GRAFO!$M$2:'GRAFO'!$M$46,0),1)&lt;&gt;0,1,0)</f>
        <v>#N/A</v>
      </c>
      <c r="U96" s="10">
        <f t="shared" si="13"/>
        <v>0</v>
      </c>
    </row>
    <row r="97" spans="4:21">
      <c r="D97" s="10" t="str">
        <f t="shared" si="3"/>
        <v>comandante_supremo</v>
      </c>
      <c r="E97" s="10" t="str">
        <f t="shared" si="4"/>
        <v>c2rm:responsible_for</v>
      </c>
      <c r="F97" s="10" t="str">
        <f t="shared" si="5"/>
        <v>diretriz_presidencial_defesa</v>
      </c>
      <c r="G97" s="3" t="str">
        <f t="shared" si="6"/>
        <v>NOK</v>
      </c>
      <c r="I97" s="10" t="str">
        <f t="shared" si="10"/>
        <v>comandante_supremo-diretriz_presidencial_defesa</v>
      </c>
      <c r="J97" s="10"/>
      <c r="K97" s="10"/>
      <c r="L97" s="3" t="e">
        <f>IF(INDEX(GRAFO!$L$2:'GRAFO'!$L$46,MATCH(I97,GRAFO!$L$2:'GRAFO'!$L$46,0),1)&lt;&gt;0,1,0)</f>
        <v>#N/A</v>
      </c>
      <c r="M97" s="3">
        <f t="shared" si="11"/>
        <v>0</v>
      </c>
      <c r="O97" s="10" t="str">
        <f t="shared" si="12"/>
        <v>comandante_supremo-c2rm:responsible_for-diretriz_presidencial_defesa</v>
      </c>
      <c r="P97" s="10"/>
      <c r="Q97" s="10"/>
      <c r="R97" s="10"/>
      <c r="S97" s="10"/>
      <c r="T97" s="10" t="e">
        <f>IF(INDEX(GRAFO!$M$2:'GRAFO'!$M$46,MATCH(O97,GRAFO!$M$2:'GRAFO'!$M$46,0),1)&lt;&gt;0,1,0)</f>
        <v>#N/A</v>
      </c>
      <c r="U97" s="10">
        <f t="shared" si="13"/>
        <v>0</v>
      </c>
    </row>
    <row r="98" spans="4:21">
      <c r="D98" s="10" t="str">
        <f t="shared" si="3"/>
        <v>ministerio_da_defesa</v>
      </c>
      <c r="E98" s="10" t="str">
        <f t="shared" si="4"/>
        <v>rdfs:seeAlso</v>
      </c>
      <c r="F98" s="10" t="str">
        <f t="shared" si="5"/>
        <v>comandos_operacionais</v>
      </c>
      <c r="G98" s="3" t="str">
        <f t="shared" si="6"/>
        <v>OK</v>
      </c>
      <c r="I98" s="10" t="str">
        <f t="shared" si="10"/>
        <v>ministerio_da_defesa-comandos_operacionais</v>
      </c>
      <c r="J98" s="10"/>
      <c r="K98" s="10"/>
      <c r="L98" s="3" t="e">
        <f>IF(INDEX(GRAFO!$L$2:'GRAFO'!$L$46,MATCH(I98,GRAFO!$L$2:'GRAFO'!$L$46,0),1)&lt;&gt;0,1,0)</f>
        <v>#N/A</v>
      </c>
      <c r="M98" s="3">
        <f t="shared" si="11"/>
        <v>0</v>
      </c>
      <c r="O98" s="10" t="str">
        <f t="shared" si="12"/>
        <v>ministerio_da_defesa-rdfs:seeAlso-comandos_operacionais</v>
      </c>
      <c r="P98" s="10"/>
      <c r="Q98" s="10"/>
      <c r="R98" s="10"/>
      <c r="S98" s="10"/>
      <c r="T98" s="10" t="e">
        <f>IF(INDEX(GRAFO!$M$2:'GRAFO'!$M$46,MATCH(O98,GRAFO!$M$2:'GRAFO'!$M$46,0),1)&lt;&gt;0,1,0)</f>
        <v>#N/A</v>
      </c>
      <c r="U98" s="10">
        <f t="shared" si="13"/>
        <v>0</v>
      </c>
    </row>
    <row r="99" spans="4:21">
      <c r="D99" s="10" t="str">
        <f t="shared" si="3"/>
        <v>operacao_conjunta</v>
      </c>
      <c r="E99" s="10" t="str">
        <f t="shared" si="4"/>
        <v>rdfs:seeAlso</v>
      </c>
      <c r="F99" s="10" t="str">
        <f t="shared" si="5"/>
        <v>objetivos_operacionais</v>
      </c>
      <c r="G99" s="3" t="str">
        <f t="shared" si="6"/>
        <v>NOK</v>
      </c>
      <c r="I99" s="10" t="str">
        <f t="shared" si="10"/>
        <v>operacao_conjunta-objetivos_operacionais</v>
      </c>
      <c r="J99" s="10"/>
      <c r="K99" s="10"/>
      <c r="L99" s="3" t="e">
        <f>IF(INDEX(GRAFO!$L$2:'GRAFO'!$L$46,MATCH(I99,GRAFO!$L$2:'GRAFO'!$L$46,0),1)&lt;&gt;0,1,0)</f>
        <v>#N/A</v>
      </c>
      <c r="M99" s="3">
        <f t="shared" si="11"/>
        <v>0</v>
      </c>
      <c r="O99" s="10" t="str">
        <f t="shared" si="12"/>
        <v>operacao_conjunta-rdfs:seeAlso-objetivos_operacionais</v>
      </c>
      <c r="P99" s="10"/>
      <c r="Q99" s="10"/>
      <c r="R99" s="10"/>
      <c r="S99" s="10"/>
      <c r="T99" s="10" t="e">
        <f>IF(INDEX(GRAFO!$M$2:'GRAFO'!$M$46,MATCH(O99,GRAFO!$M$2:'GRAFO'!$M$46,0),1)&lt;&gt;0,1,0)</f>
        <v>#N/A</v>
      </c>
      <c r="U99" s="10">
        <f t="shared" si="13"/>
        <v>0</v>
      </c>
    </row>
    <row r="100" spans="4:21">
      <c r="D100" s="10" t="str">
        <f t="shared" si="3"/>
        <v>comandos_operacionais</v>
      </c>
      <c r="E100" s="10" t="str">
        <f t="shared" si="4"/>
        <v>c2rm:responsible_for</v>
      </c>
      <c r="F100" s="10" t="str">
        <f t="shared" si="5"/>
        <v>area_de_interesse</v>
      </c>
      <c r="G100" s="3" t="str">
        <f t="shared" si="6"/>
        <v>NOK</v>
      </c>
      <c r="I100" s="10" t="str">
        <f t="shared" si="10"/>
        <v>comandos_operacionais-area_de_interesse</v>
      </c>
      <c r="J100" s="10"/>
      <c r="K100" s="10"/>
      <c r="L100" s="3" t="e">
        <f>IF(INDEX(GRAFO!$L$2:'GRAFO'!$L$46,MATCH(I100,GRAFO!$L$2:'GRAFO'!$L$46,0),1)&lt;&gt;0,1,0)</f>
        <v>#N/A</v>
      </c>
      <c r="M100" s="3">
        <f t="shared" si="11"/>
        <v>0</v>
      </c>
      <c r="O100" s="10" t="str">
        <f t="shared" si="12"/>
        <v>comandos_operacionais-c2rm:responsible_for-area_de_interesse</v>
      </c>
      <c r="P100" s="10"/>
      <c r="Q100" s="10"/>
      <c r="R100" s="10"/>
      <c r="S100" s="10"/>
      <c r="T100" s="10" t="e">
        <f>IF(INDEX(GRAFO!$M$2:'GRAFO'!$M$46,MATCH(O100,GRAFO!$M$2:'GRAFO'!$M$46,0),1)&lt;&gt;0,1,0)</f>
        <v>#N/A</v>
      </c>
      <c r="U100" s="10">
        <f t="shared" si="13"/>
        <v>0</v>
      </c>
    </row>
    <row r="101" spans="4:21">
      <c r="D101" s="10" t="str">
        <f t="shared" si="3"/>
        <v>operacao</v>
      </c>
      <c r="E101" s="10" t="str">
        <f t="shared" si="4"/>
        <v>rdfs:seeAlso</v>
      </c>
      <c r="F101" s="10" t="str">
        <f t="shared" si="5"/>
        <v>area_de_interesse</v>
      </c>
      <c r="G101" s="3" t="str">
        <f t="shared" si="6"/>
        <v>NOK</v>
      </c>
      <c r="I101" s="10" t="str">
        <f t="shared" si="10"/>
        <v>operacao-area_de_interesse</v>
      </c>
      <c r="J101" s="10"/>
      <c r="K101" s="10"/>
      <c r="L101" s="3" t="e">
        <f>IF(INDEX(GRAFO!$L$2:'GRAFO'!$L$46,MATCH(I101,GRAFO!$L$2:'GRAFO'!$L$46,0),1)&lt;&gt;0,1,0)</f>
        <v>#N/A</v>
      </c>
      <c r="M101" s="3">
        <f t="shared" si="11"/>
        <v>0</v>
      </c>
      <c r="O101" s="10" t="str">
        <f t="shared" si="12"/>
        <v>operacao-rdfs:seeAlso-area_de_interesse</v>
      </c>
      <c r="P101" s="10"/>
      <c r="Q101" s="10"/>
      <c r="R101" s="10"/>
      <c r="S101" s="10"/>
      <c r="T101" s="10" t="e">
        <f>IF(INDEX(GRAFO!$M$2:'GRAFO'!$M$46,MATCH(O101,GRAFO!$M$2:'GRAFO'!$M$46,0),1)&lt;&gt;0,1,0)</f>
        <v>#N/A</v>
      </c>
      <c r="U101" s="10">
        <f t="shared" si="13"/>
        <v>0</v>
      </c>
    </row>
    <row r="102" spans="4:21">
      <c r="D102" s="10" t="str">
        <f t="shared" si="3"/>
        <v>area_operacao</v>
      </c>
      <c r="E102" s="10" t="str">
        <f t="shared" si="4"/>
        <v>rdfs:subClassOf</v>
      </c>
      <c r="F102" s="10" t="str">
        <f t="shared" si="5"/>
        <v>area_de_interesse</v>
      </c>
      <c r="G102" s="3" t="str">
        <f t="shared" si="6"/>
        <v>NOK</v>
      </c>
      <c r="I102" s="10" t="str">
        <f t="shared" si="10"/>
        <v>area_operacao-area_de_interesse</v>
      </c>
      <c r="J102" s="10"/>
      <c r="K102" s="10"/>
      <c r="L102" s="3" t="e">
        <f>IF(INDEX(GRAFO!$L$2:'GRAFO'!$L$46,MATCH(I102,GRAFO!$L$2:'GRAFO'!$L$46,0),1)&lt;&gt;0,1,0)</f>
        <v>#N/A</v>
      </c>
      <c r="M102" s="3">
        <f t="shared" si="11"/>
        <v>0</v>
      </c>
      <c r="O102" s="10" t="str">
        <f t="shared" si="12"/>
        <v>area_operacao-rdfs:subClassOf-area_de_interesse</v>
      </c>
      <c r="P102" s="10"/>
      <c r="Q102" s="10"/>
      <c r="R102" s="10"/>
      <c r="S102" s="10"/>
      <c r="T102" s="10" t="e">
        <f>IF(INDEX(GRAFO!$M$2:'GRAFO'!$M$46,MATCH(O102,GRAFO!$M$2:'GRAFO'!$M$46,0),1)&lt;&gt;0,1,0)</f>
        <v>#N/A</v>
      </c>
      <c r="U102" s="10">
        <f t="shared" si="13"/>
        <v>0</v>
      </c>
    </row>
    <row r="103" spans="4:21">
      <c r="D103" s="10"/>
      <c r="E103" s="10"/>
      <c r="F103" s="10"/>
      <c r="G103" s="3"/>
    </row>
    <row r="104" spans="4:21">
      <c r="D104" s="10"/>
      <c r="E104" s="10"/>
      <c r="F104" s="10"/>
      <c r="G104" s="3"/>
    </row>
    <row r="105" spans="4:21">
      <c r="D105" s="10"/>
      <c r="E105" s="10"/>
      <c r="F105" s="10"/>
      <c r="G105" s="3"/>
    </row>
    <row r="106" spans="4:21">
      <c r="D106" s="10"/>
      <c r="E106" s="10"/>
      <c r="F106" s="10"/>
      <c r="G106" s="3"/>
    </row>
    <row r="107" spans="4:21">
      <c r="D107" s="10"/>
      <c r="E107" s="10"/>
      <c r="F107" s="10"/>
      <c r="G107" s="3"/>
    </row>
    <row r="108" spans="4:21">
      <c r="D108" s="10"/>
      <c r="E108" s="10"/>
      <c r="F108" s="10"/>
      <c r="G108" s="3"/>
    </row>
    <row r="109" spans="4:21">
      <c r="D109" s="10"/>
      <c r="E109" s="10"/>
      <c r="F109" s="10"/>
      <c r="G109" s="3"/>
    </row>
    <row r="110" spans="4:21">
      <c r="D110" s="10"/>
      <c r="E110" s="10"/>
      <c r="F110" s="10"/>
      <c r="G110" s="3"/>
    </row>
    <row r="111" spans="4:21">
      <c r="D111" s="10"/>
      <c r="E111" s="10"/>
      <c r="F111" s="10"/>
      <c r="G111" s="3"/>
    </row>
    <row r="112" spans="4:21">
      <c r="D112" s="10"/>
      <c r="E112" s="10"/>
      <c r="F112" s="10"/>
      <c r="G112" s="3"/>
    </row>
    <row r="113" spans="4:7">
      <c r="D113" s="10"/>
      <c r="E113" s="10"/>
      <c r="F113" s="10"/>
      <c r="G113" s="3"/>
    </row>
    <row r="114" spans="4:7">
      <c r="D114" s="10"/>
      <c r="E114" s="10"/>
      <c r="F114" s="10"/>
      <c r="G114" s="3"/>
    </row>
    <row r="115" spans="4:7">
      <c r="D115" s="10"/>
      <c r="E115" s="10"/>
      <c r="F115" s="10"/>
      <c r="G115" s="3"/>
    </row>
    <row r="116" spans="4:7">
      <c r="D116" s="10"/>
      <c r="E116" s="10"/>
      <c r="F116" s="10"/>
      <c r="G116" s="3"/>
    </row>
  </sheetData>
  <mergeCells count="10">
    <mergeCell ref="I57:K57"/>
    <mergeCell ref="L57:M57"/>
    <mergeCell ref="O57:S57"/>
    <mergeCell ref="T57:U57"/>
    <mergeCell ref="A1:B1"/>
    <mergeCell ref="D1:F1"/>
    <mergeCell ref="K4:K5"/>
    <mergeCell ref="D56:G56"/>
    <mergeCell ref="I56:M56"/>
    <mergeCell ref="O56:U56"/>
  </mergeCells>
  <dataValidations count="13">
    <dataValidation type="list" allowBlank="1" showInputMessage="1" showErrorMessage="1" sqref="E31:E35">
      <formula1>$A$58:$A$72</formula1>
    </dataValidation>
    <dataValidation type="list" allowBlank="1" showInputMessage="1" showErrorMessage="1" sqref="E3:E30">
      <formula1>$A$58:$A$71</formula1>
    </dataValidation>
    <dataValidation type="list" allowBlank="1" showInputMessage="1" showErrorMessage="1" sqref="B3">
      <formula1>$Y$3:$Y$31</formula1>
    </dataValidation>
    <dataValidation type="list" allowBlank="1" showInputMessage="1" showErrorMessage="1" sqref="E55">
      <formula1>$A$58:$A$66</formula1>
    </dataValidation>
    <dataValidation type="list" allowBlank="1" showInputMessage="1" showErrorMessage="1" sqref="F55 D55">
      <formula1>$A$3:$A$28</formula1>
    </dataValidation>
    <dataValidation type="list" allowBlank="1" showInputMessage="1" showErrorMessage="1" sqref="B58:B74">
      <formula1>$AE$2:$AE$12</formula1>
    </dataValidation>
    <dataValidation type="list" allowBlank="1" showInputMessage="1" showErrorMessage="1" sqref="H3:H62 G3:G55">
      <formula1>$A$3:$A$22</formula1>
    </dataValidation>
    <dataValidation type="list" allowBlank="1" showInputMessage="1" showErrorMessage="1" sqref="C3:C55 B4:B55">
      <formula1>$Y$3:$Y$57</formula1>
    </dataValidation>
    <dataValidation type="list" allowBlank="1" showInputMessage="1" showErrorMessage="1" sqref="F56:G56">
      <formula1>$A$3:$A$27</formula1>
    </dataValidation>
    <dataValidation type="list" allowBlank="1" showInputMessage="1" showErrorMessage="1" sqref="D3:D20 F3:F19 F21 D22:D23 F24 D28:D29 D44 D46:D54">
      <formula1>$A$3:$A$35</formula1>
    </dataValidation>
    <dataValidation type="list" allowBlank="1" showInputMessage="1" showErrorMessage="1" sqref="F25:F29 F20 D21 F22:F23 D24:D27 D30:D31 D35 F36 F43 D45">
      <formula1>$A$3:$A$36</formula1>
    </dataValidation>
    <dataValidation type="list" allowBlank="1" showInputMessage="1" showErrorMessage="1" sqref="D36:D43 D32:D34 F30:F35 F37:F42 F44:F54">
      <formula1>$A$3:$A$37</formula1>
    </dataValidation>
    <dataValidation type="list" allowBlank="1" showInputMessage="1" showErrorMessage="1" sqref="E36:E54">
      <formula1>$A$58:$A$73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E73"/>
  <sheetViews>
    <sheetView zoomScale="85" zoomScaleNormal="85" workbookViewId="0">
      <selection sqref="A1:B1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9" t="s">
        <v>184</v>
      </c>
      <c r="AD2" s="9" t="s">
        <v>195</v>
      </c>
      <c r="AE2" s="9" t="s">
        <v>35</v>
      </c>
    </row>
    <row r="3" spans="1:31" ht="16.75">
      <c r="A3" s="46" t="s">
        <v>402</v>
      </c>
      <c r="B3" s="10"/>
      <c r="D3" s="10" t="s">
        <v>11</v>
      </c>
      <c r="E3" s="10" t="s">
        <v>101</v>
      </c>
      <c r="F3" s="10" t="s">
        <v>402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s="16" t="s">
        <v>33</v>
      </c>
      <c r="AC3" s="9" t="s">
        <v>185</v>
      </c>
      <c r="AD3" s="9" t="s">
        <v>196</v>
      </c>
      <c r="AE3" s="9" t="s">
        <v>4</v>
      </c>
    </row>
    <row r="4" spans="1:31" ht="16.75">
      <c r="A4" s="46" t="s">
        <v>8</v>
      </c>
      <c r="B4" s="46" t="s">
        <v>8</v>
      </c>
      <c r="D4" s="10" t="s">
        <v>8</v>
      </c>
      <c r="E4" s="10" t="s">
        <v>101</v>
      </c>
      <c r="F4" s="10" t="s">
        <v>402</v>
      </c>
      <c r="K4" s="85" t="s">
        <v>80</v>
      </c>
      <c r="L4" s="8" t="s">
        <v>0</v>
      </c>
      <c r="M4" s="4">
        <f>GRAFO!J2</f>
        <v>29</v>
      </c>
      <c r="N4" s="11">
        <f>COUNTA(A3:A20)</f>
        <v>18</v>
      </c>
      <c r="O4" s="11">
        <f>COUNTIF(B3:B20,"&lt;&gt;"&amp;"")</f>
        <v>10</v>
      </c>
      <c r="P4" s="2">
        <f>N4-R4</f>
        <v>10</v>
      </c>
      <c r="Q4" s="2">
        <f>M4-O4</f>
        <v>19</v>
      </c>
      <c r="R4" s="2">
        <f>N4-O4</f>
        <v>8</v>
      </c>
      <c r="S4" s="2">
        <f>O4+P4</f>
        <v>20</v>
      </c>
      <c r="T4" s="2">
        <f>Q4+R4</f>
        <v>27</v>
      </c>
      <c r="U4" s="6">
        <f>O4/(O4+R4)</f>
        <v>0.55555555555555558</v>
      </c>
      <c r="V4" s="6">
        <f>O4/(O4+Q4)</f>
        <v>0.34482758620689657</v>
      </c>
      <c r="W4" s="6">
        <f>(O4+P4)/(O4+P4+Q4+R4)</f>
        <v>0.42553191489361702</v>
      </c>
      <c r="X4" s="62">
        <f>AVERAGE(U4:W4)</f>
        <v>0.44197168555202304</v>
      </c>
      <c r="Y4" s="16" t="s">
        <v>21</v>
      </c>
      <c r="AC4" s="9" t="s">
        <v>186</v>
      </c>
      <c r="AD4" s="9" t="s">
        <v>197</v>
      </c>
      <c r="AE4" s="9" t="s">
        <v>205</v>
      </c>
    </row>
    <row r="5" spans="1:31" ht="16.75">
      <c r="A5" s="46" t="s">
        <v>10</v>
      </c>
      <c r="B5" s="46" t="s">
        <v>10</v>
      </c>
      <c r="D5" s="10" t="s">
        <v>10</v>
      </c>
      <c r="E5" s="10" t="s">
        <v>101</v>
      </c>
      <c r="F5" s="10" t="s">
        <v>402</v>
      </c>
      <c r="K5" s="85"/>
      <c r="L5" s="8" t="s">
        <v>100</v>
      </c>
      <c r="M5" s="5">
        <f>GRAFO!J3</f>
        <v>41</v>
      </c>
      <c r="N5" s="12">
        <f>COUNTA(D40:D56)</f>
        <v>17</v>
      </c>
      <c r="O5" s="12">
        <f>COUNTIF(M40:M56,"=1")</f>
        <v>3</v>
      </c>
      <c r="P5" s="2">
        <f>N5-R5</f>
        <v>3</v>
      </c>
      <c r="Q5" s="2">
        <f>M5-O5</f>
        <v>38</v>
      </c>
      <c r="R5" s="2">
        <f>N5-O5</f>
        <v>14</v>
      </c>
      <c r="S5" s="2">
        <f>O5+P5</f>
        <v>6</v>
      </c>
      <c r="T5" s="2">
        <f>Q5+R5</f>
        <v>52</v>
      </c>
      <c r="U5" s="6">
        <f>O5/(O5+R5)</f>
        <v>0.17647058823529413</v>
      </c>
      <c r="V5" s="6">
        <f>O5/(O5+Q5)</f>
        <v>7.3170731707317069E-2</v>
      </c>
      <c r="W5" s="6">
        <f>(O5+P5)/(O5+P5+Q5+R5)</f>
        <v>0.10344827586206896</v>
      </c>
      <c r="X5" s="62">
        <f t="shared" ref="X5:X6" si="0">AVERAGE(U5:W5)</f>
        <v>0.11769653193489338</v>
      </c>
      <c r="Y5" s="16" t="s">
        <v>17</v>
      </c>
      <c r="AC5" s="9" t="s">
        <v>187</v>
      </c>
      <c r="AD5" s="9" t="s">
        <v>198</v>
      </c>
      <c r="AE5" s="9" t="s">
        <v>3</v>
      </c>
    </row>
    <row r="6" spans="1:31" ht="16.75">
      <c r="A6" s="46" t="s">
        <v>12</v>
      </c>
      <c r="B6" s="46" t="s">
        <v>12</v>
      </c>
      <c r="D6" s="10" t="s">
        <v>12</v>
      </c>
      <c r="E6" s="10" t="s">
        <v>101</v>
      </c>
      <c r="F6" s="10" t="s">
        <v>402</v>
      </c>
      <c r="L6" s="8" t="s">
        <v>99</v>
      </c>
      <c r="M6" s="5">
        <v>41</v>
      </c>
      <c r="N6" s="12">
        <f>COUNTA(D40:D56)</f>
        <v>17</v>
      </c>
      <c r="O6" s="12">
        <f>COUNTIF(U40:U56,"=1")</f>
        <v>3</v>
      </c>
      <c r="P6" s="2">
        <f>N6-R6</f>
        <v>3</v>
      </c>
      <c r="Q6" s="2">
        <f>M6-O6</f>
        <v>38</v>
      </c>
      <c r="R6" s="2">
        <f>N6-O6</f>
        <v>14</v>
      </c>
      <c r="S6" s="2">
        <f>O6+P6</f>
        <v>6</v>
      </c>
      <c r="T6" s="2">
        <f>Q6+R6</f>
        <v>52</v>
      </c>
      <c r="U6" s="6">
        <f>O6/(O6+R6)</f>
        <v>0.17647058823529413</v>
      </c>
      <c r="V6" s="6">
        <f>O6/(O6+Q6)</f>
        <v>7.3170731707317069E-2</v>
      </c>
      <c r="W6" s="6">
        <f>(O6+P6)/(O6+P6+Q6+R6)</f>
        <v>0.10344827586206896</v>
      </c>
      <c r="X6" s="62">
        <f t="shared" si="0"/>
        <v>0.11769653193489338</v>
      </c>
      <c r="Y6" s="16" t="s">
        <v>40</v>
      </c>
      <c r="AC6" s="9" t="s">
        <v>188</v>
      </c>
      <c r="AD6" s="9" t="s">
        <v>199</v>
      </c>
      <c r="AE6" s="9" t="s">
        <v>6</v>
      </c>
    </row>
    <row r="7" spans="1:31" ht="16.75">
      <c r="A7" s="46" t="s">
        <v>11</v>
      </c>
      <c r="B7" s="46" t="s">
        <v>11</v>
      </c>
      <c r="D7" s="10" t="s">
        <v>55</v>
      </c>
      <c r="E7" s="10" t="s">
        <v>101</v>
      </c>
      <c r="F7" s="10" t="s">
        <v>54</v>
      </c>
      <c r="X7" s="62">
        <f>AVERAGE(X4:X6)</f>
        <v>0.22578824980726994</v>
      </c>
      <c r="Y7" s="16" t="s">
        <v>13</v>
      </c>
      <c r="AC7" s="9" t="s">
        <v>189</v>
      </c>
      <c r="AD7" s="9" t="s">
        <v>200</v>
      </c>
      <c r="AE7" s="9" t="s">
        <v>206</v>
      </c>
    </row>
    <row r="8" spans="1:31" ht="16.75">
      <c r="A8" s="46" t="s">
        <v>52</v>
      </c>
      <c r="B8" s="10" t="s">
        <v>20</v>
      </c>
      <c r="D8" s="10" t="s">
        <v>56</v>
      </c>
      <c r="E8" s="10" t="s">
        <v>101</v>
      </c>
      <c r="F8" s="10" t="s">
        <v>54</v>
      </c>
      <c r="Y8" s="16" t="s">
        <v>39</v>
      </c>
      <c r="AC8" s="9" t="s">
        <v>190</v>
      </c>
      <c r="AD8" s="9" t="s">
        <v>148</v>
      </c>
      <c r="AE8" s="9" t="s">
        <v>36</v>
      </c>
    </row>
    <row r="9" spans="1:31" ht="16.75">
      <c r="A9" s="46" t="s">
        <v>123</v>
      </c>
      <c r="B9" s="10"/>
      <c r="D9" s="10" t="s">
        <v>57</v>
      </c>
      <c r="E9" s="10" t="s">
        <v>101</v>
      </c>
      <c r="F9" s="10" t="s">
        <v>54</v>
      </c>
      <c r="K9" t="s">
        <v>74</v>
      </c>
      <c r="L9" t="s">
        <v>75</v>
      </c>
      <c r="N9">
        <f>GRAFO!J2</f>
        <v>29</v>
      </c>
      <c r="Y9" s="16" t="s">
        <v>19</v>
      </c>
      <c r="AC9" s="9" t="s">
        <v>191</v>
      </c>
      <c r="AD9" s="9" t="s">
        <v>201</v>
      </c>
      <c r="AE9" s="9" t="s">
        <v>7</v>
      </c>
    </row>
    <row r="10" spans="1:31" ht="16.75">
      <c r="A10" s="46" t="s">
        <v>66</v>
      </c>
      <c r="B10" s="10" t="s">
        <v>22</v>
      </c>
      <c r="D10" s="10" t="s">
        <v>54</v>
      </c>
      <c r="E10" s="10" t="s">
        <v>404</v>
      </c>
      <c r="F10" s="10" t="s">
        <v>402</v>
      </c>
      <c r="K10" t="s">
        <v>80</v>
      </c>
      <c r="L10" t="s">
        <v>76</v>
      </c>
      <c r="N10">
        <f>N4</f>
        <v>18</v>
      </c>
      <c r="Y10" s="16" t="s">
        <v>37</v>
      </c>
      <c r="AC10" s="9" t="s">
        <v>192</v>
      </c>
      <c r="AD10" s="9" t="s">
        <v>202</v>
      </c>
      <c r="AE10" s="9" t="s">
        <v>207</v>
      </c>
    </row>
    <row r="11" spans="1:31" ht="16.75">
      <c r="A11" s="46" t="s">
        <v>54</v>
      </c>
      <c r="B11" s="46" t="s">
        <v>31</v>
      </c>
      <c r="D11" s="10" t="s">
        <v>66</v>
      </c>
      <c r="E11" s="10" t="s">
        <v>404</v>
      </c>
      <c r="F11" s="10" t="s">
        <v>402</v>
      </c>
      <c r="K11" t="s">
        <v>68</v>
      </c>
      <c r="L11" t="s">
        <v>77</v>
      </c>
      <c r="N11">
        <v>16</v>
      </c>
      <c r="Y11" s="16" t="s">
        <v>10</v>
      </c>
      <c r="AC11" s="9" t="s">
        <v>193</v>
      </c>
      <c r="AD11" s="9" t="s">
        <v>203</v>
      </c>
      <c r="AE11" s="9" t="s">
        <v>208</v>
      </c>
    </row>
    <row r="12" spans="1:31" ht="16.75">
      <c r="A12" s="46" t="s">
        <v>55</v>
      </c>
      <c r="B12" s="46" t="s">
        <v>32</v>
      </c>
      <c r="D12" s="10" t="s">
        <v>52</v>
      </c>
      <c r="E12" s="10" t="s">
        <v>351</v>
      </c>
      <c r="F12" s="10" t="s">
        <v>123</v>
      </c>
      <c r="K12" t="s">
        <v>70</v>
      </c>
      <c r="L12" t="s">
        <v>78</v>
      </c>
      <c r="M12" t="s">
        <v>86</v>
      </c>
      <c r="N12">
        <f>N9-N11</f>
        <v>13</v>
      </c>
      <c r="Y12" s="16" t="s">
        <v>14</v>
      </c>
      <c r="AC12" s="9" t="s">
        <v>194</v>
      </c>
      <c r="AD12" s="9" t="s">
        <v>204</v>
      </c>
      <c r="AE12" s="9" t="s">
        <v>5</v>
      </c>
    </row>
    <row r="13" spans="1:31" ht="16.75">
      <c r="A13" s="46" t="s">
        <v>56</v>
      </c>
      <c r="B13" s="46" t="s">
        <v>34</v>
      </c>
      <c r="D13" s="10" t="s">
        <v>123</v>
      </c>
      <c r="E13" s="10" t="s">
        <v>404</v>
      </c>
      <c r="F13" s="10" t="s">
        <v>8</v>
      </c>
      <c r="K13" t="s">
        <v>69</v>
      </c>
      <c r="L13" t="s">
        <v>79</v>
      </c>
      <c r="M13" t="s">
        <v>87</v>
      </c>
      <c r="Y13" s="16" t="s">
        <v>34</v>
      </c>
    </row>
    <row r="14" spans="1:31" ht="16.75">
      <c r="A14" s="46" t="s">
        <v>57</v>
      </c>
      <c r="B14" s="46" t="s">
        <v>33</v>
      </c>
      <c r="D14" s="10" t="s">
        <v>124</v>
      </c>
      <c r="E14" s="10" t="s">
        <v>404</v>
      </c>
      <c r="F14" s="10" t="s">
        <v>10</v>
      </c>
      <c r="K14" t="s">
        <v>83</v>
      </c>
      <c r="M14" t="s">
        <v>88</v>
      </c>
      <c r="Y14" s="16" t="s">
        <v>27</v>
      </c>
    </row>
    <row r="15" spans="1:31" ht="16.75">
      <c r="A15" s="46" t="s">
        <v>63</v>
      </c>
      <c r="B15" s="10"/>
      <c r="D15" s="10" t="s">
        <v>53</v>
      </c>
      <c r="E15" s="10" t="s">
        <v>351</v>
      </c>
      <c r="F15" s="10" t="s">
        <v>124</v>
      </c>
      <c r="K15" t="s">
        <v>89</v>
      </c>
      <c r="M15" t="s">
        <v>92</v>
      </c>
      <c r="Y15" s="16" t="s">
        <v>28</v>
      </c>
    </row>
    <row r="16" spans="1:31" ht="16.75">
      <c r="A16" s="46" t="s">
        <v>292</v>
      </c>
      <c r="B16" s="10"/>
      <c r="D16" s="10" t="s">
        <v>403</v>
      </c>
      <c r="E16" s="10" t="s">
        <v>404</v>
      </c>
      <c r="F16" s="10" t="s">
        <v>12</v>
      </c>
      <c r="K16" t="s">
        <v>90</v>
      </c>
      <c r="M16" t="s">
        <v>93</v>
      </c>
      <c r="Y16" s="16" t="s">
        <v>30</v>
      </c>
    </row>
    <row r="17" spans="1:25" ht="16.75">
      <c r="A17" s="46" t="s">
        <v>385</v>
      </c>
      <c r="B17" s="10"/>
      <c r="D17" s="10" t="s">
        <v>403</v>
      </c>
      <c r="E17" s="10" t="s">
        <v>404</v>
      </c>
      <c r="F17" s="10" t="s">
        <v>385</v>
      </c>
      <c r="K17" t="s">
        <v>91</v>
      </c>
      <c r="M17" t="s">
        <v>94</v>
      </c>
      <c r="Y17" s="16" t="s">
        <v>29</v>
      </c>
    </row>
    <row r="18" spans="1:25" ht="16.75">
      <c r="A18" s="46" t="s">
        <v>403</v>
      </c>
      <c r="B18" s="10"/>
      <c r="D18" s="10" t="s">
        <v>385</v>
      </c>
      <c r="E18" s="10" t="s">
        <v>404</v>
      </c>
      <c r="F18" s="10" t="s">
        <v>292</v>
      </c>
      <c r="K18" t="s">
        <v>84</v>
      </c>
      <c r="M18" t="s">
        <v>95</v>
      </c>
      <c r="Y18" s="16" t="s">
        <v>31</v>
      </c>
    </row>
    <row r="19" spans="1:25" ht="16.75">
      <c r="A19" s="46" t="s">
        <v>124</v>
      </c>
      <c r="B19" s="10"/>
      <c r="D19" s="10" t="s">
        <v>292</v>
      </c>
      <c r="E19" s="10" t="s">
        <v>404</v>
      </c>
      <c r="F19" s="10" t="s">
        <v>63</v>
      </c>
      <c r="K19" t="s">
        <v>85</v>
      </c>
      <c r="M19" t="s">
        <v>96</v>
      </c>
      <c r="Y19" s="16" t="s">
        <v>171</v>
      </c>
    </row>
    <row r="20" spans="1:25" ht="16.75">
      <c r="A20" s="46" t="s">
        <v>53</v>
      </c>
      <c r="B20" s="10"/>
      <c r="D20" s="10"/>
      <c r="E20" s="10"/>
      <c r="F20" s="10"/>
      <c r="K20" t="s">
        <v>97</v>
      </c>
      <c r="M20" t="s">
        <v>98</v>
      </c>
      <c r="Y20" s="16" t="s">
        <v>15</v>
      </c>
    </row>
    <row r="21" spans="1:25" ht="16.75">
      <c r="A21" s="10"/>
      <c r="B21" s="10"/>
      <c r="D21" s="10"/>
      <c r="E21" s="10"/>
      <c r="F21" s="10"/>
      <c r="Y21" s="16" t="s">
        <v>16</v>
      </c>
    </row>
    <row r="22" spans="1:25" ht="16.75">
      <c r="A22" s="10"/>
      <c r="B22" s="10"/>
      <c r="D22" s="10"/>
      <c r="E22" s="10"/>
      <c r="F22" s="10"/>
      <c r="Y22" s="16" t="s">
        <v>32</v>
      </c>
    </row>
    <row r="23" spans="1:25" ht="16.75">
      <c r="A23" s="10"/>
      <c r="B23" s="10"/>
      <c r="D23" s="10"/>
      <c r="E23" s="10"/>
      <c r="F23" s="10"/>
      <c r="Y23" s="16" t="s">
        <v>9</v>
      </c>
    </row>
    <row r="24" spans="1:25" ht="16.75">
      <c r="A24" s="10"/>
      <c r="B24" s="10"/>
      <c r="D24" s="10"/>
      <c r="E24" s="10"/>
      <c r="F24" s="10"/>
      <c r="Y24" s="16" t="s">
        <v>18</v>
      </c>
    </row>
    <row r="25" spans="1:25" ht="16.75">
      <c r="A25" s="10"/>
      <c r="B25" s="10"/>
      <c r="D25" s="10"/>
      <c r="E25" s="10"/>
      <c r="F25" s="10"/>
      <c r="Y25" s="16" t="s">
        <v>23</v>
      </c>
    </row>
    <row r="26" spans="1:25" ht="16.75">
      <c r="A26" s="10"/>
      <c r="B26" s="10"/>
      <c r="D26" s="10"/>
      <c r="E26" s="10"/>
      <c r="F26" s="10"/>
      <c r="Y26" s="16" t="s">
        <v>22</v>
      </c>
    </row>
    <row r="27" spans="1:25" ht="16.75">
      <c r="A27" s="46"/>
      <c r="B27" s="10"/>
      <c r="D27" s="10"/>
      <c r="E27" s="10"/>
      <c r="F27" s="10"/>
      <c r="Y27" s="16" t="s">
        <v>12</v>
      </c>
    </row>
    <row r="28" spans="1:25" ht="16.75">
      <c r="A28" s="46"/>
      <c r="B28" s="10"/>
      <c r="D28" s="10"/>
      <c r="E28" s="10"/>
      <c r="F28" s="10"/>
      <c r="Y28" s="16" t="s">
        <v>24</v>
      </c>
    </row>
    <row r="29" spans="1:25" ht="16.75">
      <c r="A29" s="10"/>
      <c r="B29" s="10"/>
      <c r="D29" s="10"/>
      <c r="E29" s="10"/>
      <c r="F29" s="10"/>
      <c r="Y29" s="16" t="s">
        <v>8</v>
      </c>
    </row>
    <row r="30" spans="1:25" ht="16.75">
      <c r="A30" s="10"/>
      <c r="B30" s="10"/>
      <c r="D30" s="10"/>
      <c r="E30" s="10"/>
      <c r="F30" s="10"/>
      <c r="Y30" s="16" t="s">
        <v>20</v>
      </c>
    </row>
    <row r="31" spans="1:25" ht="16.75">
      <c r="A31" s="10"/>
      <c r="B31" s="10"/>
      <c r="D31" s="10"/>
      <c r="E31" s="10"/>
      <c r="F31" s="10"/>
      <c r="Y31" s="16" t="s">
        <v>11</v>
      </c>
    </row>
    <row r="32" spans="1:25">
      <c r="A32" s="46"/>
      <c r="B32" s="10"/>
      <c r="D32" s="10"/>
      <c r="E32" s="10"/>
      <c r="F32" s="10"/>
    </row>
    <row r="33" spans="1:21">
      <c r="A33" s="10"/>
      <c r="B33" s="10"/>
      <c r="D33" s="10"/>
      <c r="E33" s="10"/>
      <c r="F33" s="10"/>
    </row>
    <row r="34" spans="1:21">
      <c r="A34" s="10"/>
      <c r="B34" s="10"/>
      <c r="D34" s="10"/>
      <c r="E34" s="10"/>
      <c r="F34" s="10"/>
    </row>
    <row r="35" spans="1:21">
      <c r="A35" s="10"/>
      <c r="B35" s="10"/>
      <c r="D35" s="10"/>
      <c r="E35" s="10"/>
      <c r="F35" s="10"/>
    </row>
    <row r="36" spans="1:21">
      <c r="A36" s="10"/>
      <c r="B36" s="10"/>
      <c r="D36" s="10"/>
      <c r="E36" s="10"/>
      <c r="F36" s="10"/>
    </row>
    <row r="37" spans="1:21">
      <c r="A37" s="10"/>
      <c r="B37" s="10"/>
    </row>
    <row r="38" spans="1:21">
      <c r="A38" s="30" t="s">
        <v>182</v>
      </c>
      <c r="B38" s="30"/>
      <c r="D38" s="104" t="s">
        <v>222</v>
      </c>
      <c r="E38" s="105"/>
      <c r="F38" s="105"/>
      <c r="G38" s="106"/>
      <c r="I38" s="98" t="s">
        <v>224</v>
      </c>
      <c r="J38" s="99"/>
      <c r="K38" s="99"/>
      <c r="L38" s="99"/>
      <c r="M38" s="100"/>
      <c r="O38" s="94" t="s">
        <v>229</v>
      </c>
      <c r="P38" s="94"/>
      <c r="Q38" s="94"/>
      <c r="R38" s="94"/>
      <c r="S38" s="94"/>
      <c r="T38" s="94"/>
      <c r="U38" s="94"/>
    </row>
    <row r="39" spans="1:21">
      <c r="A39" s="32" t="s">
        <v>251</v>
      </c>
      <c r="B39" s="33" t="s">
        <v>252</v>
      </c>
      <c r="D39" s="34" t="s">
        <v>220</v>
      </c>
      <c r="E39" s="34" t="s">
        <v>219</v>
      </c>
      <c r="F39" s="34" t="s">
        <v>221</v>
      </c>
      <c r="G39" s="34" t="s">
        <v>223</v>
      </c>
      <c r="I39" s="101" t="s">
        <v>225</v>
      </c>
      <c r="J39" s="102"/>
      <c r="K39" s="103"/>
      <c r="L39" s="101" t="s">
        <v>226</v>
      </c>
      <c r="M39" s="103"/>
      <c r="O39" s="95" t="s">
        <v>227</v>
      </c>
      <c r="P39" s="96"/>
      <c r="Q39" s="96"/>
      <c r="R39" s="96"/>
      <c r="S39" s="97"/>
      <c r="T39" s="95" t="s">
        <v>228</v>
      </c>
      <c r="U39" s="97"/>
    </row>
    <row r="40" spans="1:21">
      <c r="A40" s="46" t="s">
        <v>101</v>
      </c>
      <c r="B40" s="10" t="s">
        <v>3</v>
      </c>
      <c r="D40" s="10" t="str">
        <f>IF(INDEX($A$3:$B$20,MATCH(D3,$A$3:$A$20,0),2)&lt;&gt;0,INDEX($A$3:$B$20,MATCH(D3,$A$3:$A$20,0),2),D3)</f>
        <v>tatico</v>
      </c>
      <c r="E40" s="10" t="str">
        <f>IF(INDEX($A$40:$B$42,MATCH(E3,$A$40:$A$42,0),2)&lt;&gt;0,INDEX($A$40:$B$42,MATCH(E3,$A$40:$A$42,0),2),E3)</f>
        <v>rdfs:subClassOf</v>
      </c>
      <c r="F40" s="10" t="str">
        <f>IF(INDEX($A$3:$B$20,MATCH(F3,$A$3:$A$20,0),2)&lt;&gt;0,INDEX($A$3:$B$20,MATCH(F3,$A$3:$A$20,0),2),F3)</f>
        <v>obj</v>
      </c>
      <c r="G40" s="3" t="str">
        <f>IF(INDEX($A$3:$B$20,MATCH(F3,$A$3:$A$20,0),2)&lt;&gt;0,"OK","NOK")</f>
        <v>NOK</v>
      </c>
      <c r="I40" s="10" t="str">
        <f t="shared" ref="I40:I53" si="1">D40 &amp;"-"&amp;F40</f>
        <v>tatico-obj</v>
      </c>
      <c r="J40" s="10"/>
      <c r="K40" s="10"/>
      <c r="L40" s="3" t="e">
        <f>IF(INDEX(GRAFO!$L$2:'GRAFO'!$L$41,MATCH(I40,GRAFO!$L$2:'GRAFO'!$L$41,0),1)&lt;&gt;0,1,0)</f>
        <v>#N/A</v>
      </c>
      <c r="M40" s="3">
        <f>IFERROR(L40,0)</f>
        <v>0</v>
      </c>
      <c r="O40" s="10" t="str">
        <f t="shared" ref="O40:O53" si="2">D40 &amp; "-" &amp; E40 &amp; "-" &amp; F40</f>
        <v>tatico-rdfs:subClassOf-obj</v>
      </c>
      <c r="P40" s="10"/>
      <c r="Q40" s="10"/>
      <c r="R40" s="10"/>
      <c r="S40" s="10"/>
      <c r="T40" s="10" t="e">
        <f>IF(INDEX(GRAFO!$M$2:'GRAFO'!$M$41,MATCH(O40,GRAFO!$M$2:'GRAFO'!$M$41,0),1)&lt;&gt;0,1,0)</f>
        <v>#N/A</v>
      </c>
      <c r="U40" s="10">
        <f>IFERROR(T40,0)</f>
        <v>0</v>
      </c>
    </row>
    <row r="41" spans="1:21">
      <c r="A41" s="46" t="s">
        <v>351</v>
      </c>
      <c r="B41" s="10" t="s">
        <v>7</v>
      </c>
      <c r="D41" s="10" t="str">
        <f t="shared" ref="D41:D56" si="3">IF(INDEX($A$3:$B$20,MATCH(D4,$A$3:$A$20,0),2)&lt;&gt;0,INDEX($A$3:$B$20,MATCH(D4,$A$3:$A$20,0),2),D4)</f>
        <v>politico</v>
      </c>
      <c r="E41" s="10" t="str">
        <f t="shared" ref="E41:E56" si="4">IF(INDEX($A$40:$B$42,MATCH(E4,$A$40:$A$42,0),2)&lt;&gt;0,INDEX($A$40:$B$42,MATCH(E4,$A$40:$A$42,0),2),E4)</f>
        <v>rdfs:subClassOf</v>
      </c>
      <c r="F41" s="10" t="str">
        <f t="shared" ref="F41:F56" si="5">IF(INDEX($A$3:$B$20,MATCH(F4,$A$3:$A$20,0),2)&lt;&gt;0,INDEX($A$3:$B$20,MATCH(F4,$A$3:$A$20,0),2),F4)</f>
        <v>obj</v>
      </c>
      <c r="G41" s="3" t="str">
        <f t="shared" ref="G41:G56" si="6">IF(INDEX($A$3:$B$20,MATCH(F4,$A$3:$A$20,0),2)&lt;&gt;0,"OK","NOK")</f>
        <v>NOK</v>
      </c>
      <c r="I41" s="10" t="str">
        <f t="shared" si="1"/>
        <v>politico-obj</v>
      </c>
      <c r="J41" s="10"/>
      <c r="K41" s="10"/>
      <c r="L41" s="3" t="e">
        <f>IF(INDEX(GRAFO!$L$2:'GRAFO'!$L$41,MATCH(I41,GRAFO!$L$2:'GRAFO'!$L$41,0),1)&lt;&gt;0,1,0)</f>
        <v>#N/A</v>
      </c>
      <c r="M41" s="3">
        <f t="shared" ref="M41:M53" si="7">IFERROR(L41,0)</f>
        <v>0</v>
      </c>
      <c r="O41" s="10" t="str">
        <f t="shared" si="2"/>
        <v>politico-rdfs:subClassOf-obj</v>
      </c>
      <c r="P41" s="10"/>
      <c r="Q41" s="10"/>
      <c r="R41" s="10"/>
      <c r="S41" s="10"/>
      <c r="T41" s="10" t="e">
        <f>IF(INDEX(GRAFO!$M$2:'GRAFO'!$M$41,MATCH(O41,GRAFO!$M$2:'GRAFO'!$M$41,0),1)&lt;&gt;0,1,0)</f>
        <v>#N/A</v>
      </c>
      <c r="U41" s="10">
        <f t="shared" ref="U41:U53" si="8">IFERROR(T41,0)</f>
        <v>0</v>
      </c>
    </row>
    <row r="42" spans="1:21">
      <c r="A42" s="46" t="s">
        <v>404</v>
      </c>
      <c r="B42" s="10" t="s">
        <v>4</v>
      </c>
      <c r="D42" s="10" t="str">
        <f t="shared" si="3"/>
        <v>estrategico</v>
      </c>
      <c r="E42" s="10" t="str">
        <f t="shared" si="4"/>
        <v>rdfs:subClassOf</v>
      </c>
      <c r="F42" s="10" t="str">
        <f t="shared" si="5"/>
        <v>obj</v>
      </c>
      <c r="G42" s="3" t="str">
        <f t="shared" si="6"/>
        <v>NOK</v>
      </c>
      <c r="I42" s="10" t="str">
        <f t="shared" si="1"/>
        <v>estrategico-obj</v>
      </c>
      <c r="J42" s="10"/>
      <c r="K42" s="10"/>
      <c r="L42" s="3" t="e">
        <f>IF(INDEX(GRAFO!$L$2:'GRAFO'!$L$41,MATCH(I42,GRAFO!$L$2:'GRAFO'!$L$41,0),1)&lt;&gt;0,1,0)</f>
        <v>#N/A</v>
      </c>
      <c r="M42" s="3">
        <f t="shared" si="7"/>
        <v>0</v>
      </c>
      <c r="O42" s="10" t="str">
        <f t="shared" si="2"/>
        <v>estrategico-rdfs:subClassOf-obj</v>
      </c>
      <c r="P42" s="10"/>
      <c r="Q42" s="10"/>
      <c r="R42" s="10"/>
      <c r="S42" s="10"/>
      <c r="T42" s="10" t="e">
        <f>IF(INDEX(GRAFO!$M$2:'GRAFO'!$M$41,MATCH(O42,GRAFO!$M$2:'GRAFO'!$M$41,0),1)&lt;&gt;0,1,0)</f>
        <v>#N/A</v>
      </c>
      <c r="U42" s="10">
        <f t="shared" si="8"/>
        <v>0</v>
      </c>
    </row>
    <row r="43" spans="1:21">
      <c r="A43" s="46"/>
      <c r="B43" s="10"/>
      <c r="D43" s="10" t="str">
        <f t="shared" si="3"/>
        <v>operacional</v>
      </c>
      <c r="E43" s="10" t="str">
        <f t="shared" si="4"/>
        <v>rdfs:subClassOf</v>
      </c>
      <c r="F43" s="10" t="str">
        <f t="shared" si="5"/>
        <v>obj</v>
      </c>
      <c r="G43" s="3" t="str">
        <f t="shared" si="6"/>
        <v>NOK</v>
      </c>
      <c r="I43" s="10" t="str">
        <f t="shared" si="1"/>
        <v>operacional-obj</v>
      </c>
      <c r="J43" s="10"/>
      <c r="K43" s="10"/>
      <c r="L43" s="3" t="e">
        <f>IF(INDEX(GRAFO!$L$2:'GRAFO'!$L$41,MATCH(I43,GRAFO!$L$2:'GRAFO'!$L$41,0),1)&lt;&gt;0,1,0)</f>
        <v>#N/A</v>
      </c>
      <c r="M43" s="3">
        <f t="shared" si="7"/>
        <v>0</v>
      </c>
      <c r="O43" s="10" t="str">
        <f t="shared" si="2"/>
        <v>operacional-rdfs:subClassOf-obj</v>
      </c>
      <c r="P43" s="10"/>
      <c r="Q43" s="10"/>
      <c r="R43" s="10"/>
      <c r="S43" s="10"/>
      <c r="T43" s="10" t="e">
        <f>IF(INDEX(GRAFO!$M$2:'GRAFO'!$M$41,MATCH(O43,GRAFO!$M$2:'GRAFO'!$M$41,0),1)&lt;&gt;0,1,0)</f>
        <v>#N/A</v>
      </c>
      <c r="U43" s="10">
        <f t="shared" si="8"/>
        <v>0</v>
      </c>
    </row>
    <row r="44" spans="1:21">
      <c r="A44" s="46"/>
      <c r="B44" s="10"/>
      <c r="D44" s="10" t="str">
        <f t="shared" si="3"/>
        <v>marinha</v>
      </c>
      <c r="E44" s="10" t="str">
        <f t="shared" si="4"/>
        <v>rdfs:subClassOf</v>
      </c>
      <c r="F44" s="10" t="str">
        <f t="shared" si="5"/>
        <v>forcas_armadas</v>
      </c>
      <c r="G44" s="3" t="str">
        <f t="shared" si="6"/>
        <v>OK</v>
      </c>
      <c r="I44" s="10" t="str">
        <f t="shared" si="1"/>
        <v>marinha-forcas_armadas</v>
      </c>
      <c r="J44" s="10"/>
      <c r="K44" s="10"/>
      <c r="L44" s="3">
        <f>IF(INDEX(GRAFO!$L$2:'GRAFO'!$L$41,MATCH(I44,GRAFO!$L$2:'GRAFO'!$L$41,0),1)&lt;&gt;0,1,0)</f>
        <v>1</v>
      </c>
      <c r="M44" s="3">
        <f t="shared" si="7"/>
        <v>1</v>
      </c>
      <c r="O44" s="10" t="str">
        <f t="shared" si="2"/>
        <v>marinha-rdfs:subClassOf-forcas_armadas</v>
      </c>
      <c r="P44" s="10"/>
      <c r="Q44" s="10"/>
      <c r="R44" s="10"/>
      <c r="S44" s="10"/>
      <c r="T44" s="10">
        <f>IF(INDEX(GRAFO!$M$2:'GRAFO'!$M$41,MATCH(O44,GRAFO!$M$2:'GRAFO'!$M$41,0),1)&lt;&gt;0,1,0)</f>
        <v>1</v>
      </c>
      <c r="U44" s="10">
        <f t="shared" si="8"/>
        <v>1</v>
      </c>
    </row>
    <row r="45" spans="1:21">
      <c r="A45" s="46"/>
      <c r="B45" s="10"/>
      <c r="D45" s="10" t="str">
        <f t="shared" si="3"/>
        <v>exercito</v>
      </c>
      <c r="E45" s="10" t="str">
        <f t="shared" si="4"/>
        <v>rdfs:subClassOf</v>
      </c>
      <c r="F45" s="10" t="str">
        <f t="shared" si="5"/>
        <v>forcas_armadas</v>
      </c>
      <c r="G45" s="3" t="str">
        <f t="shared" si="6"/>
        <v>OK</v>
      </c>
      <c r="H45">
        <f>COUNTIFS(GRAFO!C2:C42,"=D34",GRAFO!E2:E42,"=F34")</f>
        <v>0</v>
      </c>
      <c r="I45" s="10" t="str">
        <f t="shared" si="1"/>
        <v>exercito-forcas_armadas</v>
      </c>
      <c r="J45" s="10"/>
      <c r="K45" s="10"/>
      <c r="L45" s="3">
        <f>IF(INDEX(GRAFO!$L$2:'GRAFO'!$L$41,MATCH(I45,GRAFO!$L$2:'GRAFO'!$L$41,0),1)&lt;&gt;0,1,0)</f>
        <v>1</v>
      </c>
      <c r="M45" s="3">
        <f t="shared" si="7"/>
        <v>1</v>
      </c>
      <c r="O45" s="10" t="str">
        <f t="shared" si="2"/>
        <v>exercito-rdfs:subClassOf-forcas_armadas</v>
      </c>
      <c r="P45" s="10"/>
      <c r="Q45" s="10"/>
      <c r="R45" s="10"/>
      <c r="S45" s="10"/>
      <c r="T45" s="10">
        <f>IF(INDEX(GRAFO!$M$2:'GRAFO'!$M$41,MATCH(O45,GRAFO!$M$2:'GRAFO'!$M$41,0),1)&lt;&gt;0,1,0)</f>
        <v>1</v>
      </c>
      <c r="U45" s="10">
        <f t="shared" si="8"/>
        <v>1</v>
      </c>
    </row>
    <row r="46" spans="1:21">
      <c r="A46" s="10"/>
      <c r="B46" s="10"/>
      <c r="D46" s="10" t="str">
        <f t="shared" si="3"/>
        <v>aeronautica</v>
      </c>
      <c r="E46" s="10" t="str">
        <f t="shared" si="4"/>
        <v>rdfs:subClassOf</v>
      </c>
      <c r="F46" s="10" t="str">
        <f t="shared" si="5"/>
        <v>forcas_armadas</v>
      </c>
      <c r="G46" s="3" t="str">
        <f t="shared" si="6"/>
        <v>OK</v>
      </c>
      <c r="I46" s="10" t="str">
        <f t="shared" si="1"/>
        <v>aeronautica-forcas_armadas</v>
      </c>
      <c r="J46" s="10"/>
      <c r="K46" s="10"/>
      <c r="L46" s="3">
        <f>IF(INDEX(GRAFO!$L$2:'GRAFO'!$L$41,MATCH(I46,GRAFO!$L$2:'GRAFO'!$L$41,0),1)&lt;&gt;0,1,0)</f>
        <v>1</v>
      </c>
      <c r="M46" s="3">
        <f t="shared" si="7"/>
        <v>1</v>
      </c>
      <c r="O46" s="10" t="str">
        <f t="shared" si="2"/>
        <v>aeronautica-rdfs:subClassOf-forcas_armadas</v>
      </c>
      <c r="P46" s="10"/>
      <c r="Q46" s="10"/>
      <c r="R46" s="10"/>
      <c r="S46" s="10"/>
      <c r="T46" s="10">
        <f>IF(INDEX(GRAFO!$M$2:'GRAFO'!$M$41,MATCH(O46,GRAFO!$M$2:'GRAFO'!$M$41,0),1)&lt;&gt;0,1,0)</f>
        <v>1</v>
      </c>
      <c r="U46" s="10">
        <f t="shared" si="8"/>
        <v>1</v>
      </c>
    </row>
    <row r="47" spans="1:21">
      <c r="A47" s="10"/>
      <c r="B47" s="10"/>
      <c r="C47" s="24"/>
      <c r="D47" s="10" t="str">
        <f t="shared" si="3"/>
        <v>forcas_armadas</v>
      </c>
      <c r="E47" s="10" t="str">
        <f t="shared" si="4"/>
        <v>rdfs:seeAlso</v>
      </c>
      <c r="F47" s="10" t="str">
        <f t="shared" si="5"/>
        <v>obj</v>
      </c>
      <c r="G47" s="3" t="str">
        <f t="shared" si="6"/>
        <v>NOK</v>
      </c>
      <c r="I47" s="10" t="str">
        <f t="shared" si="1"/>
        <v>forcas_armadas-obj</v>
      </c>
      <c r="J47" s="10"/>
      <c r="K47" s="10"/>
      <c r="L47" s="3" t="e">
        <f>IF(INDEX(GRAFO!$L$2:'GRAFO'!$L$41,MATCH(I47,GRAFO!$L$2:'GRAFO'!$L$41,0),1)&lt;&gt;0,1,0)</f>
        <v>#N/A</v>
      </c>
      <c r="M47" s="3">
        <f t="shared" si="7"/>
        <v>0</v>
      </c>
      <c r="O47" s="10" t="str">
        <f t="shared" si="2"/>
        <v>forcas_armadas-rdfs:seeAlso-obj</v>
      </c>
      <c r="P47" s="10"/>
      <c r="Q47" s="10"/>
      <c r="R47" s="10"/>
      <c r="S47" s="10"/>
      <c r="T47" s="10" t="e">
        <f>IF(INDEX(GRAFO!$M$2:'GRAFO'!$M$41,MATCH(O47,GRAFO!$M$2:'GRAFO'!$M$41,0),1)&lt;&gt;0,1,0)</f>
        <v>#N/A</v>
      </c>
      <c r="U47" s="10">
        <f t="shared" si="8"/>
        <v>0</v>
      </c>
    </row>
    <row r="48" spans="1:21">
      <c r="A48" s="10"/>
      <c r="B48" s="10"/>
      <c r="C48" s="9" t="str">
        <f t="shared" ref="C48:C63" si="9">IF(INDEX($A$3:$B$18,MATCH(D3,$A$3:$A$17,0),2)&lt;&gt;0,"OK","NOK")</f>
        <v>OK</v>
      </c>
      <c r="D48" s="10" t="str">
        <f t="shared" si="3"/>
        <v>operacao_conjunta</v>
      </c>
      <c r="E48" s="10" t="str">
        <f t="shared" si="4"/>
        <v>rdfs:seeAlso</v>
      </c>
      <c r="F48" s="10" t="str">
        <f t="shared" si="5"/>
        <v>obj</v>
      </c>
      <c r="G48" s="3" t="str">
        <f t="shared" si="6"/>
        <v>NOK</v>
      </c>
      <c r="I48" s="10" t="str">
        <f t="shared" si="1"/>
        <v>operacao_conjunta-obj</v>
      </c>
      <c r="J48" s="10"/>
      <c r="K48" s="10"/>
      <c r="L48" s="3" t="e">
        <f>IF(INDEX(GRAFO!$L$2:'GRAFO'!$L$41,MATCH(I48,GRAFO!$L$2:'GRAFO'!$L$41,0),1)&lt;&gt;0,1,0)</f>
        <v>#N/A</v>
      </c>
      <c r="M48" s="3">
        <f t="shared" si="7"/>
        <v>0</v>
      </c>
      <c r="O48" s="10" t="str">
        <f t="shared" si="2"/>
        <v>operacao_conjunta-rdfs:seeAlso-obj</v>
      </c>
      <c r="P48" s="10"/>
      <c r="Q48" s="10"/>
      <c r="R48" s="10"/>
      <c r="S48" s="10"/>
      <c r="T48" s="10" t="e">
        <f>IF(INDEX(GRAFO!$M$2:'GRAFO'!$M$41,MATCH(O48,GRAFO!$M$2:'GRAFO'!$M$41,0),1)&lt;&gt;0,1,0)</f>
        <v>#N/A</v>
      </c>
      <c r="U48" s="10">
        <f t="shared" si="8"/>
        <v>0</v>
      </c>
    </row>
    <row r="49" spans="1:21">
      <c r="A49" s="10"/>
      <c r="B49" s="10"/>
      <c r="C49" s="9" t="str">
        <f t="shared" si="9"/>
        <v>OK</v>
      </c>
      <c r="D49" s="10" t="str">
        <f t="shared" si="3"/>
        <v>presidente_da_republica</v>
      </c>
      <c r="E49" s="10" t="str">
        <f t="shared" si="4"/>
        <v>c2rm:responsible_for</v>
      </c>
      <c r="F49" s="10" t="str">
        <f t="shared" si="5"/>
        <v>dped</v>
      </c>
      <c r="G49" s="3" t="str">
        <f t="shared" si="6"/>
        <v>NOK</v>
      </c>
      <c r="I49" s="10" t="str">
        <f t="shared" si="1"/>
        <v>presidente_da_republica-dped</v>
      </c>
      <c r="J49" s="10"/>
      <c r="K49" s="10"/>
      <c r="L49" s="3" t="e">
        <f>IF(INDEX(GRAFO!$L$2:'GRAFO'!$L$41,MATCH(I49,GRAFO!$L$2:'GRAFO'!$L$41,0),1)&lt;&gt;0,1,0)</f>
        <v>#N/A</v>
      </c>
      <c r="M49" s="3">
        <f t="shared" si="7"/>
        <v>0</v>
      </c>
      <c r="O49" s="10" t="str">
        <f t="shared" si="2"/>
        <v>presidente_da_republica-c2rm:responsible_for-dped</v>
      </c>
      <c r="P49" s="10"/>
      <c r="Q49" s="10"/>
      <c r="R49" s="10"/>
      <c r="S49" s="10"/>
      <c r="T49" s="10" t="e">
        <f>IF(INDEX(GRAFO!$M$2:'GRAFO'!$M$41,MATCH(O49,GRAFO!$M$2:'GRAFO'!$M$41,0),1)&lt;&gt;0,1,0)</f>
        <v>#N/A</v>
      </c>
      <c r="U49" s="10">
        <f t="shared" si="8"/>
        <v>0</v>
      </c>
    </row>
    <row r="50" spans="1:21">
      <c r="A50" s="10"/>
      <c r="B50" s="10"/>
      <c r="C50" s="9" t="str">
        <f t="shared" si="9"/>
        <v>OK</v>
      </c>
      <c r="D50" s="10" t="str">
        <f t="shared" si="3"/>
        <v>dped</v>
      </c>
      <c r="E50" s="10" t="str">
        <f t="shared" si="4"/>
        <v>rdfs:seeAlso</v>
      </c>
      <c r="F50" s="10" t="str">
        <f t="shared" si="5"/>
        <v>politico</v>
      </c>
      <c r="G50" s="3" t="str">
        <f t="shared" si="6"/>
        <v>OK</v>
      </c>
      <c r="I50" s="10" t="str">
        <f t="shared" si="1"/>
        <v>dped-politico</v>
      </c>
      <c r="J50" s="10"/>
      <c r="K50" s="10"/>
      <c r="L50" s="3" t="e">
        <f>IF(INDEX(GRAFO!$L$2:'GRAFO'!$L$41,MATCH(I50,GRAFO!$L$2:'GRAFO'!$L$41,0),1)&lt;&gt;0,1,0)</f>
        <v>#N/A</v>
      </c>
      <c r="M50" s="3">
        <f t="shared" si="7"/>
        <v>0</v>
      </c>
      <c r="O50" s="10" t="str">
        <f t="shared" si="2"/>
        <v>dped-rdfs:seeAlso-politico</v>
      </c>
      <c r="P50" s="10"/>
      <c r="Q50" s="10"/>
      <c r="R50" s="10"/>
      <c r="S50" s="10"/>
      <c r="T50" s="10" t="e">
        <f>IF(INDEX(GRAFO!$M$2:'GRAFO'!$M$41,MATCH(O50,GRAFO!$M$2:'GRAFO'!$M$41,0),1)&lt;&gt;0,1,0)</f>
        <v>#N/A</v>
      </c>
      <c r="U50" s="10">
        <f t="shared" si="8"/>
        <v>0</v>
      </c>
    </row>
    <row r="51" spans="1:21">
      <c r="A51" s="10"/>
      <c r="B51" s="10"/>
      <c r="C51" s="9" t="str">
        <f t="shared" si="9"/>
        <v>OK</v>
      </c>
      <c r="D51" s="10" t="str">
        <f t="shared" si="3"/>
        <v>dmed</v>
      </c>
      <c r="E51" s="10" t="str">
        <f t="shared" si="4"/>
        <v>rdfs:seeAlso</v>
      </c>
      <c r="F51" s="10" t="str">
        <f t="shared" si="5"/>
        <v>estrategico</v>
      </c>
      <c r="G51" s="3" t="str">
        <f t="shared" si="6"/>
        <v>OK</v>
      </c>
      <c r="I51" s="10" t="str">
        <f t="shared" si="1"/>
        <v>dmed-estrategico</v>
      </c>
      <c r="J51" s="10"/>
      <c r="K51" s="10"/>
      <c r="L51" s="3" t="e">
        <f>IF(INDEX(GRAFO!$L$2:'GRAFO'!$L$41,MATCH(I51,GRAFO!$L$2:'GRAFO'!$L$41,0),1)&lt;&gt;0,1,0)</f>
        <v>#N/A</v>
      </c>
      <c r="M51" s="3">
        <f t="shared" si="7"/>
        <v>0</v>
      </c>
      <c r="O51" s="10" t="str">
        <f t="shared" si="2"/>
        <v>dmed-rdfs:seeAlso-estrategico</v>
      </c>
      <c r="P51" s="10"/>
      <c r="Q51" s="10"/>
      <c r="R51" s="10"/>
      <c r="S51" s="10"/>
      <c r="T51" s="10" t="e">
        <f>IF(INDEX(GRAFO!$M$2:'GRAFO'!$M$41,MATCH(O51,GRAFO!$M$2:'GRAFO'!$M$41,0),1)&lt;&gt;0,1,0)</f>
        <v>#N/A</v>
      </c>
      <c r="U51" s="10">
        <f t="shared" si="8"/>
        <v>0</v>
      </c>
    </row>
    <row r="52" spans="1:21">
      <c r="A52" s="10"/>
      <c r="B52" s="10"/>
      <c r="C52" s="9" t="str">
        <f t="shared" si="9"/>
        <v>OK</v>
      </c>
      <c r="D52" s="10" t="str">
        <f t="shared" si="3"/>
        <v>md</v>
      </c>
      <c r="E52" s="10" t="str">
        <f t="shared" si="4"/>
        <v>c2rm:responsible_for</v>
      </c>
      <c r="F52" s="10" t="str">
        <f t="shared" si="5"/>
        <v>dmed</v>
      </c>
      <c r="G52" s="3" t="str">
        <f t="shared" si="6"/>
        <v>NOK</v>
      </c>
      <c r="I52" s="10" t="str">
        <f t="shared" si="1"/>
        <v>md-dmed</v>
      </c>
      <c r="J52" s="10"/>
      <c r="K52" s="10"/>
      <c r="L52" s="3" t="e">
        <f>IF(INDEX(GRAFO!$L$2:'GRAFO'!$L$41,MATCH(I52,GRAFO!$L$2:'GRAFO'!$L$41,0),1)&lt;&gt;0,1,0)</f>
        <v>#N/A</v>
      </c>
      <c r="M52" s="3">
        <f t="shared" si="7"/>
        <v>0</v>
      </c>
      <c r="O52" s="10" t="str">
        <f t="shared" si="2"/>
        <v>md-c2rm:responsible_for-dmed</v>
      </c>
      <c r="P52" s="10"/>
      <c r="Q52" s="10"/>
      <c r="R52" s="10"/>
      <c r="S52" s="10"/>
      <c r="T52" s="10" t="e">
        <f>IF(INDEX(GRAFO!$M$2:'GRAFO'!$M$41,MATCH(O52,GRAFO!$M$2:'GRAFO'!$M$41,0),1)&lt;&gt;0,1,0)</f>
        <v>#N/A</v>
      </c>
      <c r="U52" s="10">
        <f t="shared" si="8"/>
        <v>0</v>
      </c>
    </row>
    <row r="53" spans="1:21">
      <c r="A53" s="46"/>
      <c r="B53" s="10"/>
      <c r="C53" s="9" t="str">
        <f t="shared" si="9"/>
        <v>OK</v>
      </c>
      <c r="D53" s="10" t="str">
        <f t="shared" si="3"/>
        <v>planos</v>
      </c>
      <c r="E53" s="10" t="str">
        <f t="shared" si="4"/>
        <v>rdfs:seeAlso</v>
      </c>
      <c r="F53" s="10" t="str">
        <f t="shared" si="5"/>
        <v>operacional</v>
      </c>
      <c r="G53" s="3" t="str">
        <f t="shared" si="6"/>
        <v>OK</v>
      </c>
      <c r="I53" s="10" t="str">
        <f t="shared" si="1"/>
        <v>planos-operacional</v>
      </c>
      <c r="J53" s="10"/>
      <c r="K53" s="10"/>
      <c r="L53" s="3" t="e">
        <f>IF(INDEX(GRAFO!$L$2:'GRAFO'!$L$41,MATCH(I53,GRAFO!$L$2:'GRAFO'!$L$41,0),1)&lt;&gt;0,1,0)</f>
        <v>#N/A</v>
      </c>
      <c r="M53" s="3">
        <f t="shared" si="7"/>
        <v>0</v>
      </c>
      <c r="O53" s="10" t="str">
        <f t="shared" si="2"/>
        <v>planos-rdfs:seeAlso-operacional</v>
      </c>
      <c r="P53" s="10"/>
      <c r="Q53" s="10"/>
      <c r="R53" s="10"/>
      <c r="S53" s="10"/>
      <c r="T53" s="10" t="e">
        <f>IF(INDEX(GRAFO!$M$2:'GRAFO'!$M$41,MATCH(O53,GRAFO!$M$2:'GRAFO'!$M$41,0),1)&lt;&gt;0,1,0)</f>
        <v>#N/A</v>
      </c>
      <c r="U53" s="10">
        <f t="shared" si="8"/>
        <v>0</v>
      </c>
    </row>
    <row r="54" spans="1:21">
      <c r="A54" s="46"/>
      <c r="B54" s="10"/>
      <c r="C54" s="9" t="str">
        <f t="shared" si="9"/>
        <v>OK</v>
      </c>
      <c r="D54" s="10" t="str">
        <f t="shared" si="3"/>
        <v>planos</v>
      </c>
      <c r="E54" s="10" t="str">
        <f t="shared" si="4"/>
        <v>rdfs:seeAlso</v>
      </c>
      <c r="F54" s="10" t="str">
        <f t="shared" si="5"/>
        <v>ai</v>
      </c>
      <c r="G54" s="3" t="str">
        <f t="shared" si="6"/>
        <v>NOK</v>
      </c>
      <c r="I54" s="10"/>
      <c r="J54" s="10"/>
      <c r="K54" s="10"/>
      <c r="L54" s="3"/>
      <c r="M54" s="3"/>
      <c r="O54" s="10"/>
      <c r="P54" s="10"/>
      <c r="Q54" s="10"/>
      <c r="R54" s="10"/>
      <c r="S54" s="10"/>
      <c r="T54" s="10"/>
      <c r="U54" s="10"/>
    </row>
    <row r="55" spans="1:21">
      <c r="A55" s="46"/>
      <c r="B55" s="10"/>
      <c r="C55" s="9" t="str">
        <f t="shared" si="9"/>
        <v>OK</v>
      </c>
      <c r="D55" s="10" t="str">
        <f t="shared" si="3"/>
        <v>ai</v>
      </c>
      <c r="E55" s="10" t="str">
        <f t="shared" si="4"/>
        <v>rdfs:seeAlso</v>
      </c>
      <c r="F55" s="10" t="str">
        <f t="shared" si="5"/>
        <v>a_op</v>
      </c>
      <c r="G55" s="3" t="str">
        <f t="shared" si="6"/>
        <v>NOK</v>
      </c>
      <c r="I55" s="10"/>
      <c r="J55" s="10"/>
      <c r="K55" s="10"/>
      <c r="L55" s="3"/>
      <c r="M55" s="3"/>
      <c r="O55" s="10"/>
      <c r="P55" s="10"/>
      <c r="Q55" s="10"/>
      <c r="R55" s="10"/>
      <c r="S55" s="10"/>
      <c r="T55" s="10"/>
      <c r="U55" s="10"/>
    </row>
    <row r="56" spans="1:21">
      <c r="A56" s="10"/>
      <c r="B56" s="10"/>
      <c r="C56" s="9" t="str">
        <f t="shared" si="9"/>
        <v>OK</v>
      </c>
      <c r="D56" s="10" t="str">
        <f t="shared" si="3"/>
        <v>a_op</v>
      </c>
      <c r="E56" s="10" t="str">
        <f t="shared" si="4"/>
        <v>rdfs:seeAlso</v>
      </c>
      <c r="F56" s="10" t="str">
        <f t="shared" si="5"/>
        <v>meios</v>
      </c>
      <c r="G56" s="3" t="str">
        <f t="shared" si="6"/>
        <v>NOK</v>
      </c>
      <c r="I56" s="10"/>
      <c r="J56" s="10"/>
      <c r="K56" s="10"/>
      <c r="L56" s="3"/>
      <c r="M56" s="3"/>
      <c r="O56" s="10"/>
      <c r="P56" s="10"/>
      <c r="Q56" s="10"/>
      <c r="R56" s="10"/>
      <c r="S56" s="10"/>
      <c r="T56" s="10"/>
      <c r="U56" s="10"/>
    </row>
    <row r="57" spans="1:21">
      <c r="C57" s="9" t="str">
        <f t="shared" si="9"/>
        <v>OK</v>
      </c>
      <c r="D57" s="10"/>
      <c r="E57" s="10"/>
      <c r="F57" s="10"/>
      <c r="G57" s="3"/>
      <c r="I57" s="10"/>
      <c r="J57" s="10"/>
      <c r="K57" s="10"/>
      <c r="L57" s="3"/>
      <c r="M57" s="3"/>
      <c r="O57" s="10"/>
      <c r="P57" s="10"/>
      <c r="Q57" s="10"/>
      <c r="R57" s="10"/>
      <c r="S57" s="10"/>
      <c r="T57" s="10"/>
      <c r="U57" s="10"/>
    </row>
    <row r="58" spans="1:21">
      <c r="C58" s="9" t="str">
        <f t="shared" si="9"/>
        <v>NOK</v>
      </c>
      <c r="D58" s="10"/>
      <c r="E58" s="10"/>
      <c r="F58" s="10"/>
      <c r="G58" s="3"/>
      <c r="I58" s="10"/>
      <c r="J58" s="10"/>
      <c r="K58" s="10"/>
      <c r="L58" s="3"/>
      <c r="M58" s="3"/>
      <c r="O58" s="10"/>
      <c r="P58" s="10"/>
      <c r="Q58" s="10"/>
      <c r="R58" s="10"/>
      <c r="S58" s="10"/>
      <c r="T58" s="10"/>
      <c r="U58" s="10"/>
    </row>
    <row r="59" spans="1:21">
      <c r="C59" s="9" t="e">
        <f t="shared" si="9"/>
        <v>#N/A</v>
      </c>
      <c r="D59" s="10"/>
      <c r="E59" s="10"/>
      <c r="F59" s="10"/>
      <c r="G59" s="3"/>
      <c r="I59" s="10"/>
      <c r="J59" s="10"/>
      <c r="K59" s="10"/>
      <c r="L59" s="3"/>
      <c r="M59" s="3"/>
      <c r="O59" s="10"/>
      <c r="P59" s="10"/>
      <c r="Q59" s="10"/>
      <c r="R59" s="10"/>
      <c r="S59" s="10"/>
      <c r="T59" s="10"/>
      <c r="U59" s="10"/>
    </row>
    <row r="60" spans="1:21">
      <c r="C60" s="9" t="e">
        <f t="shared" si="9"/>
        <v>#N/A</v>
      </c>
      <c r="D60" s="10"/>
      <c r="E60" s="10"/>
      <c r="F60" s="10"/>
      <c r="G60" s="3"/>
      <c r="I60" s="10"/>
      <c r="J60" s="10"/>
      <c r="K60" s="10"/>
      <c r="L60" s="3"/>
      <c r="M60" s="3"/>
      <c r="O60" s="10"/>
      <c r="P60" s="10"/>
      <c r="Q60" s="10"/>
      <c r="R60" s="10"/>
      <c r="S60" s="10"/>
      <c r="T60" s="10"/>
      <c r="U60" s="10"/>
    </row>
    <row r="61" spans="1:21">
      <c r="C61" s="9" t="e">
        <f t="shared" si="9"/>
        <v>#N/A</v>
      </c>
      <c r="D61" s="10"/>
      <c r="E61" s="10"/>
      <c r="F61" s="10"/>
      <c r="G61" s="3"/>
      <c r="I61" s="10"/>
      <c r="J61" s="10"/>
      <c r="K61" s="10"/>
      <c r="L61" s="3"/>
      <c r="M61" s="3"/>
      <c r="O61" s="10"/>
      <c r="P61" s="10"/>
      <c r="Q61" s="10"/>
      <c r="R61" s="10"/>
      <c r="S61" s="10"/>
      <c r="T61" s="10"/>
      <c r="U61" s="10"/>
    </row>
    <row r="62" spans="1:21">
      <c r="C62" s="9" t="e">
        <f t="shared" si="9"/>
        <v>#N/A</v>
      </c>
      <c r="D62" s="10"/>
      <c r="E62" s="10"/>
      <c r="F62" s="10"/>
      <c r="G62" s="3"/>
      <c r="I62" s="10"/>
      <c r="J62" s="10"/>
      <c r="K62" s="10"/>
      <c r="L62" s="3"/>
      <c r="M62" s="3"/>
      <c r="O62" s="10"/>
      <c r="P62" s="10"/>
      <c r="Q62" s="10"/>
      <c r="R62" s="10"/>
      <c r="S62" s="10"/>
      <c r="T62" s="10"/>
      <c r="U62" s="10"/>
    </row>
    <row r="63" spans="1:21">
      <c r="C63" s="9" t="str">
        <f t="shared" si="9"/>
        <v>NOK</v>
      </c>
      <c r="D63" s="10"/>
      <c r="E63" s="10"/>
      <c r="F63" s="10"/>
      <c r="G63" s="3"/>
      <c r="I63" s="10"/>
      <c r="J63" s="10"/>
      <c r="K63" s="10"/>
      <c r="L63" s="3"/>
      <c r="M63" s="3"/>
      <c r="O63" s="10"/>
      <c r="P63" s="10"/>
      <c r="Q63" s="10"/>
      <c r="R63" s="10"/>
      <c r="S63" s="10"/>
      <c r="T63" s="10"/>
      <c r="U63" s="10"/>
    </row>
    <row r="64" spans="1:21">
      <c r="D64" s="10"/>
      <c r="E64" s="10"/>
      <c r="F64" s="10"/>
      <c r="G64" s="3"/>
      <c r="I64" s="10"/>
      <c r="J64" s="10"/>
      <c r="K64" s="10"/>
      <c r="L64" s="3"/>
      <c r="M64" s="3"/>
      <c r="O64" s="10"/>
      <c r="P64" s="10"/>
      <c r="Q64" s="10"/>
      <c r="R64" s="10"/>
      <c r="S64" s="10"/>
      <c r="T64" s="10"/>
      <c r="U64" s="10"/>
    </row>
    <row r="65" spans="4:21">
      <c r="D65" s="10"/>
      <c r="E65" s="10"/>
      <c r="F65" s="10"/>
      <c r="G65" s="3"/>
      <c r="I65" s="10"/>
      <c r="J65" s="10"/>
      <c r="K65" s="10"/>
      <c r="L65" s="3"/>
      <c r="M65" s="3"/>
      <c r="O65" s="10"/>
      <c r="P65" s="10"/>
      <c r="Q65" s="10"/>
      <c r="R65" s="10"/>
      <c r="S65" s="10"/>
      <c r="T65" s="10"/>
      <c r="U65" s="10"/>
    </row>
    <row r="66" spans="4:21">
      <c r="D66" s="10"/>
      <c r="E66" s="10"/>
      <c r="F66" s="10"/>
      <c r="G66" s="3"/>
      <c r="I66" s="10"/>
      <c r="J66" s="10"/>
      <c r="K66" s="10"/>
      <c r="L66" s="3"/>
      <c r="M66" s="3"/>
      <c r="O66" s="10"/>
      <c r="P66" s="10"/>
      <c r="Q66" s="10"/>
      <c r="R66" s="10"/>
      <c r="S66" s="10"/>
      <c r="T66" s="10"/>
      <c r="U66" s="10"/>
    </row>
    <row r="67" spans="4:21">
      <c r="D67" s="10"/>
      <c r="E67" s="10"/>
      <c r="F67" s="10"/>
      <c r="G67" s="3"/>
      <c r="I67" s="10"/>
      <c r="J67" s="10"/>
      <c r="K67" s="10"/>
      <c r="L67" s="3"/>
      <c r="M67" s="3"/>
      <c r="O67" s="10"/>
      <c r="P67" s="10"/>
      <c r="Q67" s="10"/>
      <c r="R67" s="10"/>
      <c r="S67" s="10"/>
      <c r="T67" s="10"/>
      <c r="U67" s="10"/>
    </row>
    <row r="68" spans="4:21">
      <c r="D68" s="10"/>
      <c r="E68" s="10"/>
      <c r="F68" s="10"/>
      <c r="G68" s="3"/>
      <c r="I68" s="10"/>
      <c r="J68" s="10"/>
      <c r="K68" s="10"/>
      <c r="L68" s="3"/>
      <c r="M68" s="3"/>
      <c r="O68" s="10"/>
      <c r="P68" s="10"/>
      <c r="Q68" s="10"/>
      <c r="R68" s="10"/>
      <c r="S68" s="10"/>
      <c r="T68" s="10"/>
      <c r="U68" s="10"/>
    </row>
    <row r="69" spans="4:21">
      <c r="D69" s="10"/>
      <c r="E69" s="10"/>
      <c r="F69" s="10"/>
      <c r="G69" s="3"/>
      <c r="I69" s="10"/>
      <c r="J69" s="10"/>
      <c r="K69" s="10"/>
      <c r="L69" s="3"/>
      <c r="M69" s="3"/>
      <c r="O69" s="10"/>
      <c r="P69" s="10"/>
      <c r="Q69" s="10"/>
      <c r="R69" s="10"/>
      <c r="S69" s="10"/>
      <c r="T69" s="10"/>
      <c r="U69" s="10"/>
    </row>
    <row r="70" spans="4:21">
      <c r="D70" s="10"/>
      <c r="E70" s="10"/>
      <c r="F70" s="10"/>
      <c r="G70" s="3"/>
      <c r="I70" s="10"/>
      <c r="J70" s="10"/>
      <c r="K70" s="10"/>
      <c r="L70" s="3"/>
      <c r="M70" s="3"/>
      <c r="O70" s="10"/>
      <c r="P70" s="10"/>
      <c r="Q70" s="10"/>
      <c r="R70" s="10"/>
      <c r="S70" s="10"/>
      <c r="T70" s="10"/>
      <c r="U70" s="10"/>
    </row>
    <row r="71" spans="4:21">
      <c r="D71" s="10"/>
      <c r="E71" s="10"/>
      <c r="F71" s="10"/>
      <c r="G71" s="3"/>
      <c r="I71" s="10"/>
      <c r="J71" s="10"/>
      <c r="K71" s="10"/>
      <c r="L71" s="3"/>
      <c r="M71" s="3"/>
      <c r="O71" s="10"/>
      <c r="P71" s="10"/>
      <c r="Q71" s="10"/>
      <c r="R71" s="10"/>
      <c r="S71" s="10"/>
      <c r="T71" s="10"/>
      <c r="U71" s="10"/>
    </row>
    <row r="72" spans="4:21">
      <c r="D72" s="10"/>
      <c r="E72" s="10"/>
      <c r="F72" s="10"/>
      <c r="G72" s="3"/>
      <c r="I72" s="10"/>
      <c r="J72" s="10"/>
      <c r="K72" s="10"/>
      <c r="L72" s="3"/>
      <c r="M72" s="3"/>
      <c r="O72" s="10"/>
      <c r="P72" s="10"/>
      <c r="Q72" s="10"/>
      <c r="R72" s="10"/>
      <c r="S72" s="10"/>
      <c r="T72" s="10"/>
      <c r="U72" s="10"/>
    </row>
    <row r="73" spans="4:21">
      <c r="D73" s="10"/>
      <c r="E73" s="10"/>
      <c r="F73" s="10"/>
      <c r="G73" s="3"/>
      <c r="I73" s="10"/>
      <c r="J73" s="10"/>
      <c r="K73" s="10"/>
      <c r="L73" s="3"/>
      <c r="M73" s="3"/>
      <c r="O73" s="10"/>
      <c r="P73" s="10"/>
      <c r="Q73" s="10"/>
      <c r="R73" s="10"/>
      <c r="S73" s="10"/>
      <c r="T73" s="10"/>
      <c r="U73" s="10"/>
    </row>
  </sheetData>
  <mergeCells count="10">
    <mergeCell ref="I39:K39"/>
    <mergeCell ref="L39:M39"/>
    <mergeCell ref="O39:S39"/>
    <mergeCell ref="T39:U39"/>
    <mergeCell ref="A1:B1"/>
    <mergeCell ref="D1:F1"/>
    <mergeCell ref="K4:K5"/>
    <mergeCell ref="D38:G38"/>
    <mergeCell ref="I38:M38"/>
    <mergeCell ref="O38:U38"/>
  </mergeCells>
  <dataValidations count="9">
    <dataValidation type="list" allowBlank="1" showInputMessage="1" showErrorMessage="1" sqref="B3">
      <formula1>$Y$3:$Y$31</formula1>
    </dataValidation>
    <dataValidation type="list" allowBlank="1" showInputMessage="1" showErrorMessage="1" sqref="E37">
      <formula1>$A$40:$A$48</formula1>
    </dataValidation>
    <dataValidation type="list" allowBlank="1" showInputMessage="1" showErrorMessage="1" sqref="D37 F37">
      <formula1>$A$3:$A$28</formula1>
    </dataValidation>
    <dataValidation type="list" allowBlank="1" showInputMessage="1" showErrorMessage="1" sqref="B40:B56">
      <formula1>$AE$2:$AE$12</formula1>
    </dataValidation>
    <dataValidation type="list" allowBlank="1" showInputMessage="1" showErrorMessage="1" sqref="H3:H44 G3:G37">
      <formula1>$A$3:$A$22</formula1>
    </dataValidation>
    <dataValidation type="list" allowBlank="1" showInputMessage="1" showErrorMessage="1" sqref="C3:C37 B4:B37">
      <formula1>$Y$3:$Y$39</formula1>
    </dataValidation>
    <dataValidation type="list" allowBlank="1" showInputMessage="1" showErrorMessage="1" sqref="F38:G38">
      <formula1>$A$3:$A$27</formula1>
    </dataValidation>
    <dataValidation type="list" allowBlank="1" showInputMessage="1" showErrorMessage="1" sqref="F3:F36 D3:D36">
      <formula1>$A$3:$A$20</formula1>
    </dataValidation>
    <dataValidation type="list" allowBlank="1" showInputMessage="1" showErrorMessage="1" sqref="E3:E36">
      <formula1>$A$40:$A$42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E116"/>
  <sheetViews>
    <sheetView topLeftCell="A25" zoomScale="115" zoomScaleNormal="115" workbookViewId="0">
      <selection sqref="A1:B1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9" t="s">
        <v>184</v>
      </c>
      <c r="AD2" s="9" t="s">
        <v>195</v>
      </c>
      <c r="AE2" s="9" t="s">
        <v>35</v>
      </c>
    </row>
    <row r="3" spans="1:31" ht="16.75">
      <c r="A3" s="46" t="s">
        <v>405</v>
      </c>
      <c r="B3" s="10" t="s">
        <v>9</v>
      </c>
      <c r="D3" s="46" t="s">
        <v>8</v>
      </c>
      <c r="E3" s="46" t="s">
        <v>101</v>
      </c>
      <c r="F3" s="46" t="s">
        <v>405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s="16" t="s">
        <v>33</v>
      </c>
      <c r="AC3" s="9" t="s">
        <v>185</v>
      </c>
      <c r="AD3" s="9" t="s">
        <v>196</v>
      </c>
      <c r="AE3" s="9" t="s">
        <v>4</v>
      </c>
    </row>
    <row r="4" spans="1:31" ht="16.75">
      <c r="A4" s="46" t="s">
        <v>8</v>
      </c>
      <c r="B4" s="10" t="s">
        <v>8</v>
      </c>
      <c r="D4" s="46" t="s">
        <v>10</v>
      </c>
      <c r="E4" s="46" t="s">
        <v>101</v>
      </c>
      <c r="F4" s="46" t="s">
        <v>405</v>
      </c>
      <c r="K4" s="85" t="s">
        <v>80</v>
      </c>
      <c r="L4" s="8" t="s">
        <v>0</v>
      </c>
      <c r="M4" s="4">
        <f>GRAFO!J2</f>
        <v>29</v>
      </c>
      <c r="N4" s="11">
        <f>COUNTA(A3:A44)</f>
        <v>42</v>
      </c>
      <c r="O4" s="11">
        <f>COUNTIF(B3:B44,"&lt;&gt;"&amp;"")</f>
        <v>19</v>
      </c>
      <c r="P4" s="2">
        <f>N4-R4</f>
        <v>19</v>
      </c>
      <c r="Q4" s="2">
        <f>M4-O4</f>
        <v>10</v>
      </c>
      <c r="R4" s="2">
        <f>N4-O4</f>
        <v>23</v>
      </c>
      <c r="S4" s="2">
        <f>O4+P4</f>
        <v>38</v>
      </c>
      <c r="T4" s="2">
        <f>Q4+R4</f>
        <v>33</v>
      </c>
      <c r="U4" s="6">
        <f>O4/(O4+R4)</f>
        <v>0.45238095238095238</v>
      </c>
      <c r="V4" s="6">
        <f>O4/(O4+Q4)</f>
        <v>0.65517241379310343</v>
      </c>
      <c r="W4" s="6">
        <f>(O4+P4)/(O4+P4+Q4+R4)</f>
        <v>0.53521126760563376</v>
      </c>
      <c r="X4" s="62">
        <f>AVERAGE(U4:W4)</f>
        <v>0.54758821125989654</v>
      </c>
      <c r="Y4" s="16" t="s">
        <v>21</v>
      </c>
      <c r="AC4" s="9" t="s">
        <v>186</v>
      </c>
      <c r="AD4" s="9" t="s">
        <v>197</v>
      </c>
      <c r="AE4" s="9" t="s">
        <v>205</v>
      </c>
    </row>
    <row r="5" spans="1:31" ht="16.75">
      <c r="A5" s="46" t="s">
        <v>10</v>
      </c>
      <c r="B5" s="10" t="s">
        <v>10</v>
      </c>
      <c r="D5" s="46" t="s">
        <v>12</v>
      </c>
      <c r="E5" s="46" t="s">
        <v>101</v>
      </c>
      <c r="F5" s="46" t="s">
        <v>405</v>
      </c>
      <c r="K5" s="85"/>
      <c r="L5" s="8" t="s">
        <v>100</v>
      </c>
      <c r="M5" s="5">
        <f>GRAFO!J3</f>
        <v>41</v>
      </c>
      <c r="N5" s="12">
        <f>COUNTA(D58:D102)</f>
        <v>45</v>
      </c>
      <c r="O5" s="12">
        <f>COUNTIF(M58:M102,"=1")</f>
        <v>13</v>
      </c>
      <c r="P5" s="2">
        <f>N5-R5</f>
        <v>13</v>
      </c>
      <c r="Q5" s="2">
        <f>M5-O5</f>
        <v>28</v>
      </c>
      <c r="R5" s="2">
        <f>N5-O5</f>
        <v>32</v>
      </c>
      <c r="S5" s="2">
        <f>O5+P5</f>
        <v>26</v>
      </c>
      <c r="T5" s="2">
        <f>Q5+R5</f>
        <v>60</v>
      </c>
      <c r="U5" s="6">
        <f>O5/(O5+R5)</f>
        <v>0.28888888888888886</v>
      </c>
      <c r="V5" s="6">
        <f>O5/(O5+Q5)</f>
        <v>0.31707317073170732</v>
      </c>
      <c r="W5" s="6">
        <f>(O5+P5)/(O5+P5+Q5+R5)</f>
        <v>0.30232558139534882</v>
      </c>
      <c r="X5" s="62">
        <f t="shared" ref="X5:X6" si="0">AVERAGE(U5:W5)</f>
        <v>0.30276254700531496</v>
      </c>
      <c r="Y5" s="16" t="s">
        <v>17</v>
      </c>
      <c r="AC5" s="9" t="s">
        <v>187</v>
      </c>
      <c r="AD5" s="9" t="s">
        <v>198</v>
      </c>
      <c r="AE5" s="9" t="s">
        <v>3</v>
      </c>
    </row>
    <row r="6" spans="1:31" ht="16.75">
      <c r="A6" s="46" t="s">
        <v>12</v>
      </c>
      <c r="B6" s="10" t="s">
        <v>12</v>
      </c>
      <c r="D6" s="46" t="s">
        <v>11</v>
      </c>
      <c r="E6" s="46" t="s">
        <v>101</v>
      </c>
      <c r="F6" s="46" t="s">
        <v>405</v>
      </c>
      <c r="L6" s="8" t="s">
        <v>99</v>
      </c>
      <c r="M6" s="5">
        <v>41</v>
      </c>
      <c r="N6" s="12">
        <f>COUNTA(D58:D102)</f>
        <v>45</v>
      </c>
      <c r="O6" s="12">
        <f>COUNTIF(U58:U102,"=1")</f>
        <v>12</v>
      </c>
      <c r="P6" s="2">
        <f>N6-R6</f>
        <v>12</v>
      </c>
      <c r="Q6" s="2">
        <f>M6-O6</f>
        <v>29</v>
      </c>
      <c r="R6" s="2">
        <f>N6-O6</f>
        <v>33</v>
      </c>
      <c r="S6" s="2">
        <f>O6+P6</f>
        <v>24</v>
      </c>
      <c r="T6" s="2">
        <f>Q6+R6</f>
        <v>62</v>
      </c>
      <c r="U6" s="6">
        <f>O6/(O6+R6)</f>
        <v>0.26666666666666666</v>
      </c>
      <c r="V6" s="6">
        <f>O6/(O6+Q6)</f>
        <v>0.29268292682926828</v>
      </c>
      <c r="W6" s="6">
        <f>(O6+P6)/(O6+P6+Q6+R6)</f>
        <v>0.27906976744186046</v>
      </c>
      <c r="X6" s="62">
        <f t="shared" si="0"/>
        <v>0.27947312031259847</v>
      </c>
      <c r="Y6" s="16" t="s">
        <v>40</v>
      </c>
      <c r="AC6" s="9" t="s">
        <v>188</v>
      </c>
      <c r="AD6" s="9" t="s">
        <v>199</v>
      </c>
      <c r="AE6" s="9" t="s">
        <v>6</v>
      </c>
    </row>
    <row r="7" spans="1:31" ht="16.75">
      <c r="A7" s="46" t="s">
        <v>11</v>
      </c>
      <c r="B7" s="10" t="s">
        <v>11</v>
      </c>
      <c r="D7" s="46" t="s">
        <v>55</v>
      </c>
      <c r="E7" s="46" t="s">
        <v>101</v>
      </c>
      <c r="F7" s="46" t="s">
        <v>31</v>
      </c>
      <c r="X7" s="62">
        <f>AVERAGE(X4:X6)</f>
        <v>0.37660795952593662</v>
      </c>
      <c r="Y7" s="16" t="s">
        <v>13</v>
      </c>
      <c r="AC7" s="9" t="s">
        <v>189</v>
      </c>
      <c r="AD7" s="9" t="s">
        <v>200</v>
      </c>
      <c r="AE7" s="9" t="s">
        <v>206</v>
      </c>
    </row>
    <row r="8" spans="1:31" ht="16.75">
      <c r="A8" s="46" t="s">
        <v>360</v>
      </c>
      <c r="B8" s="10"/>
      <c r="D8" s="46" t="s">
        <v>56</v>
      </c>
      <c r="E8" s="46" t="s">
        <v>101</v>
      </c>
      <c r="F8" s="46" t="s">
        <v>31</v>
      </c>
      <c r="Y8" s="16" t="s">
        <v>39</v>
      </c>
      <c r="AC8" s="9" t="s">
        <v>190</v>
      </c>
      <c r="AD8" s="9" t="s">
        <v>148</v>
      </c>
      <c r="AE8" s="9" t="s">
        <v>36</v>
      </c>
    </row>
    <row r="9" spans="1:31" ht="16.75">
      <c r="A9" s="46" t="s">
        <v>53</v>
      </c>
      <c r="B9" s="10"/>
      <c r="D9" s="46" t="s">
        <v>57</v>
      </c>
      <c r="E9" s="46" t="s">
        <v>101</v>
      </c>
      <c r="F9" s="46" t="s">
        <v>31</v>
      </c>
      <c r="K9" t="s">
        <v>74</v>
      </c>
      <c r="L9" t="s">
        <v>75</v>
      </c>
      <c r="N9">
        <f>GRAFO!J2</f>
        <v>29</v>
      </c>
      <c r="Y9" s="16" t="s">
        <v>19</v>
      </c>
      <c r="AC9" s="9" t="s">
        <v>191</v>
      </c>
      <c r="AD9" s="9" t="s">
        <v>201</v>
      </c>
      <c r="AE9" s="9" t="s">
        <v>7</v>
      </c>
    </row>
    <row r="10" spans="1:31" ht="16.75">
      <c r="A10" s="46" t="s">
        <v>123</v>
      </c>
      <c r="B10" s="10"/>
      <c r="D10" s="46" t="s">
        <v>22</v>
      </c>
      <c r="E10" s="46" t="s">
        <v>101</v>
      </c>
      <c r="F10" s="46" t="s">
        <v>341</v>
      </c>
      <c r="K10" t="s">
        <v>80</v>
      </c>
      <c r="L10" t="s">
        <v>76</v>
      </c>
      <c r="N10">
        <f>N4</f>
        <v>42</v>
      </c>
      <c r="Y10" s="16" t="s">
        <v>37</v>
      </c>
      <c r="AC10" s="9" t="s">
        <v>192</v>
      </c>
      <c r="AD10" s="9" t="s">
        <v>202</v>
      </c>
      <c r="AE10" s="9" t="s">
        <v>207</v>
      </c>
    </row>
    <row r="11" spans="1:31" ht="16.75">
      <c r="A11" s="46" t="s">
        <v>22</v>
      </c>
      <c r="B11" s="10" t="s">
        <v>22</v>
      </c>
      <c r="D11" s="46" t="s">
        <v>322</v>
      </c>
      <c r="E11" s="46" t="s">
        <v>101</v>
      </c>
      <c r="F11" s="46" t="s">
        <v>416</v>
      </c>
      <c r="K11" t="s">
        <v>68</v>
      </c>
      <c r="L11" t="s">
        <v>77</v>
      </c>
      <c r="N11">
        <v>16</v>
      </c>
      <c r="Y11" s="16" t="s">
        <v>10</v>
      </c>
      <c r="AC11" s="9" t="s">
        <v>193</v>
      </c>
      <c r="AD11" s="9" t="s">
        <v>203</v>
      </c>
      <c r="AE11" s="9" t="s">
        <v>208</v>
      </c>
    </row>
    <row r="12" spans="1:31" ht="16.75">
      <c r="A12" s="46" t="s">
        <v>341</v>
      </c>
      <c r="B12" s="10" t="s">
        <v>23</v>
      </c>
      <c r="D12" s="46" t="s">
        <v>60</v>
      </c>
      <c r="E12" s="46" t="s">
        <v>101</v>
      </c>
      <c r="F12" s="46" t="s">
        <v>14</v>
      </c>
      <c r="K12" t="s">
        <v>70</v>
      </c>
      <c r="L12" t="s">
        <v>78</v>
      </c>
      <c r="M12" t="s">
        <v>86</v>
      </c>
      <c r="N12">
        <f>N9-N11</f>
        <v>13</v>
      </c>
      <c r="Y12" s="16" t="s">
        <v>14</v>
      </c>
      <c r="AC12" s="9" t="s">
        <v>194</v>
      </c>
      <c r="AD12" s="9" t="s">
        <v>204</v>
      </c>
      <c r="AE12" s="9" t="s">
        <v>5</v>
      </c>
    </row>
    <row r="13" spans="1:31" ht="16.75">
      <c r="A13" s="46" t="s">
        <v>124</v>
      </c>
      <c r="B13" s="10"/>
      <c r="D13" s="46" t="s">
        <v>16</v>
      </c>
      <c r="E13" s="46" t="s">
        <v>101</v>
      </c>
      <c r="F13" s="46" t="s">
        <v>14</v>
      </c>
      <c r="K13" t="s">
        <v>69</v>
      </c>
      <c r="L13" t="s">
        <v>79</v>
      </c>
      <c r="M13" t="s">
        <v>87</v>
      </c>
      <c r="Y13" s="16" t="s">
        <v>34</v>
      </c>
    </row>
    <row r="14" spans="1:31" ht="16.75">
      <c r="A14" s="46" t="s">
        <v>155</v>
      </c>
      <c r="B14" s="10"/>
      <c r="D14" s="46" t="s">
        <v>15</v>
      </c>
      <c r="E14" s="46" t="s">
        <v>101</v>
      </c>
      <c r="F14" s="46" t="s">
        <v>14</v>
      </c>
      <c r="K14" t="s">
        <v>83</v>
      </c>
      <c r="M14" t="s">
        <v>88</v>
      </c>
      <c r="Y14" s="16" t="s">
        <v>27</v>
      </c>
    </row>
    <row r="15" spans="1:31" ht="16.75">
      <c r="A15" s="46" t="s">
        <v>153</v>
      </c>
      <c r="B15" s="10"/>
      <c r="D15" s="46" t="s">
        <v>411</v>
      </c>
      <c r="E15" s="46" t="s">
        <v>139</v>
      </c>
      <c r="F15" s="46" t="s">
        <v>16</v>
      </c>
      <c r="K15" t="s">
        <v>89</v>
      </c>
      <c r="M15" t="s">
        <v>92</v>
      </c>
      <c r="Y15" s="16" t="s">
        <v>28</v>
      </c>
    </row>
    <row r="16" spans="1:31" ht="16.75">
      <c r="A16" s="46" t="s">
        <v>414</v>
      </c>
      <c r="B16" s="10" t="s">
        <v>13</v>
      </c>
      <c r="D16" s="46" t="s">
        <v>31</v>
      </c>
      <c r="E16" s="46" t="s">
        <v>143</v>
      </c>
      <c r="F16" s="46" t="s">
        <v>14</v>
      </c>
      <c r="K16" t="s">
        <v>90</v>
      </c>
      <c r="M16" t="s">
        <v>93</v>
      </c>
      <c r="Y16" s="16" t="s">
        <v>30</v>
      </c>
    </row>
    <row r="17" spans="1:25" ht="16.75">
      <c r="A17" s="46" t="s">
        <v>28</v>
      </c>
      <c r="B17" s="10" t="s">
        <v>28</v>
      </c>
      <c r="D17" s="46" t="s">
        <v>28</v>
      </c>
      <c r="E17" s="46" t="s">
        <v>139</v>
      </c>
      <c r="F17" s="46" t="s">
        <v>412</v>
      </c>
      <c r="K17" t="s">
        <v>91</v>
      </c>
      <c r="M17" t="s">
        <v>94</v>
      </c>
      <c r="Y17" s="16" t="s">
        <v>29</v>
      </c>
    </row>
    <row r="18" spans="1:25" ht="16.75">
      <c r="A18" s="46" t="s">
        <v>55</v>
      </c>
      <c r="B18" s="10" t="s">
        <v>32</v>
      </c>
      <c r="D18" s="46" t="s">
        <v>31</v>
      </c>
      <c r="E18" s="46" t="s">
        <v>143</v>
      </c>
      <c r="F18" s="46" t="s">
        <v>413</v>
      </c>
      <c r="K18" t="s">
        <v>84</v>
      </c>
      <c r="M18" t="s">
        <v>95</v>
      </c>
      <c r="Y18" s="16" t="s">
        <v>31</v>
      </c>
    </row>
    <row r="19" spans="1:25" ht="16.75">
      <c r="A19" s="46" t="s">
        <v>56</v>
      </c>
      <c r="B19" s="10" t="s">
        <v>34</v>
      </c>
      <c r="D19" s="46" t="s">
        <v>31</v>
      </c>
      <c r="E19" s="46" t="s">
        <v>419</v>
      </c>
      <c r="F19" s="46" t="s">
        <v>31</v>
      </c>
      <c r="K19" t="s">
        <v>85</v>
      </c>
      <c r="M19" t="s">
        <v>96</v>
      </c>
      <c r="Y19" s="16" t="s">
        <v>171</v>
      </c>
    </row>
    <row r="20" spans="1:25" ht="16.75">
      <c r="A20" s="46" t="s">
        <v>57</v>
      </c>
      <c r="B20" s="10" t="s">
        <v>33</v>
      </c>
      <c r="D20" s="46" t="s">
        <v>407</v>
      </c>
      <c r="E20" s="46" t="s">
        <v>101</v>
      </c>
      <c r="F20" s="46" t="s">
        <v>406</v>
      </c>
      <c r="K20" t="s">
        <v>97</v>
      </c>
      <c r="M20" t="s">
        <v>98</v>
      </c>
      <c r="Y20" s="16" t="s">
        <v>15</v>
      </c>
    </row>
    <row r="21" spans="1:25" ht="16.75">
      <c r="A21" s="46" t="s">
        <v>31</v>
      </c>
      <c r="B21" s="10" t="s">
        <v>31</v>
      </c>
      <c r="D21" s="46" t="s">
        <v>408</v>
      </c>
      <c r="E21" s="46" t="s">
        <v>101</v>
      </c>
      <c r="F21" s="46" t="s">
        <v>406</v>
      </c>
      <c r="Y21" s="16" t="s">
        <v>16</v>
      </c>
    </row>
    <row r="22" spans="1:25" ht="16.75">
      <c r="A22" s="46" t="s">
        <v>18</v>
      </c>
      <c r="B22" s="10" t="s">
        <v>18</v>
      </c>
      <c r="D22" s="46" t="s">
        <v>409</v>
      </c>
      <c r="E22" s="46" t="s">
        <v>101</v>
      </c>
      <c r="F22" s="46" t="s">
        <v>406</v>
      </c>
      <c r="Y22" s="16" t="s">
        <v>32</v>
      </c>
    </row>
    <row r="23" spans="1:25" ht="16.75">
      <c r="A23" s="46" t="s">
        <v>154</v>
      </c>
      <c r="B23" s="10"/>
      <c r="D23" s="46" t="s">
        <v>123</v>
      </c>
      <c r="E23" s="46" t="s">
        <v>101</v>
      </c>
      <c r="F23" s="46" t="s">
        <v>47</v>
      </c>
      <c r="Y23" s="16" t="s">
        <v>9</v>
      </c>
    </row>
    <row r="24" spans="1:25" ht="16.75">
      <c r="A24" s="46" t="s">
        <v>14</v>
      </c>
      <c r="B24" s="10" t="s">
        <v>14</v>
      </c>
      <c r="D24" s="46" t="s">
        <v>124</v>
      </c>
      <c r="E24" s="46" t="s">
        <v>101</v>
      </c>
      <c r="F24" s="46" t="s">
        <v>47</v>
      </c>
      <c r="Y24" s="16" t="s">
        <v>18</v>
      </c>
    </row>
    <row r="25" spans="1:25" ht="16.75">
      <c r="A25" s="46" t="s">
        <v>60</v>
      </c>
      <c r="B25" s="10" t="s">
        <v>17</v>
      </c>
      <c r="D25" s="46" t="s">
        <v>123</v>
      </c>
      <c r="E25" s="46" t="s">
        <v>417</v>
      </c>
      <c r="F25" s="46" t="s">
        <v>310</v>
      </c>
      <c r="Y25" s="16" t="s">
        <v>23</v>
      </c>
    </row>
    <row r="26" spans="1:25" ht="16.75">
      <c r="A26" s="46" t="s">
        <v>15</v>
      </c>
      <c r="B26" s="10" t="s">
        <v>15</v>
      </c>
      <c r="D26" s="46" t="s">
        <v>18</v>
      </c>
      <c r="E26" s="46" t="s">
        <v>101</v>
      </c>
      <c r="F26" s="46" t="s">
        <v>299</v>
      </c>
      <c r="Y26" s="16" t="s">
        <v>22</v>
      </c>
    </row>
    <row r="27" spans="1:25" ht="16.75">
      <c r="A27" s="46" t="s">
        <v>16</v>
      </c>
      <c r="B27" s="10" t="s">
        <v>16</v>
      </c>
      <c r="D27" s="46" t="s">
        <v>360</v>
      </c>
      <c r="E27" s="46" t="s">
        <v>101</v>
      </c>
      <c r="F27" s="46" t="s">
        <v>299</v>
      </c>
      <c r="Y27" s="16" t="s">
        <v>12</v>
      </c>
    </row>
    <row r="28" spans="1:25" ht="16.75">
      <c r="A28" s="46" t="s">
        <v>416</v>
      </c>
      <c r="B28" s="10"/>
      <c r="D28" s="46" t="s">
        <v>410</v>
      </c>
      <c r="E28" s="46" t="s">
        <v>101</v>
      </c>
      <c r="F28" s="46" t="s">
        <v>299</v>
      </c>
      <c r="Y28" s="16" t="s">
        <v>24</v>
      </c>
    </row>
    <row r="29" spans="1:25" ht="16.75">
      <c r="A29" s="46" t="s">
        <v>322</v>
      </c>
      <c r="B29" s="10"/>
      <c r="D29" s="46" t="s">
        <v>346</v>
      </c>
      <c r="E29" s="46" t="s">
        <v>101</v>
      </c>
      <c r="F29" s="46" t="s">
        <v>299</v>
      </c>
      <c r="Y29" s="16" t="s">
        <v>8</v>
      </c>
    </row>
    <row r="30" spans="1:25" ht="16.75">
      <c r="A30" s="46" t="s">
        <v>346</v>
      </c>
      <c r="B30" s="10"/>
      <c r="D30" s="46" t="s">
        <v>299</v>
      </c>
      <c r="E30" s="46" t="s">
        <v>418</v>
      </c>
      <c r="F30" s="46" t="s">
        <v>274</v>
      </c>
      <c r="Y30" s="16" t="s">
        <v>20</v>
      </c>
    </row>
    <row r="31" spans="1:25" ht="16.75">
      <c r="A31" s="46" t="s">
        <v>411</v>
      </c>
      <c r="B31" s="10"/>
      <c r="D31" s="46" t="s">
        <v>119</v>
      </c>
      <c r="E31" s="46" t="s">
        <v>142</v>
      </c>
      <c r="F31" s="46" t="s">
        <v>18</v>
      </c>
      <c r="Y31" s="16" t="s">
        <v>11</v>
      </c>
    </row>
    <row r="32" spans="1:25">
      <c r="A32" s="46" t="s">
        <v>274</v>
      </c>
      <c r="B32" s="10"/>
      <c r="D32" s="46" t="s">
        <v>53</v>
      </c>
      <c r="E32" s="46" t="s">
        <v>142</v>
      </c>
      <c r="F32" s="46" t="s">
        <v>346</v>
      </c>
    </row>
    <row r="33" spans="1:6">
      <c r="A33" s="46" t="s">
        <v>406</v>
      </c>
      <c r="B33" s="10"/>
      <c r="D33" s="46" t="s">
        <v>414</v>
      </c>
      <c r="E33" s="46" t="s">
        <v>142</v>
      </c>
      <c r="F33" s="46" t="s">
        <v>360</v>
      </c>
    </row>
    <row r="34" spans="1:6">
      <c r="A34" s="46" t="s">
        <v>407</v>
      </c>
      <c r="B34" s="10"/>
      <c r="D34" s="46" t="s">
        <v>415</v>
      </c>
      <c r="E34" s="46" t="s">
        <v>142</v>
      </c>
      <c r="F34" s="46" t="s">
        <v>410</v>
      </c>
    </row>
    <row r="35" spans="1:6">
      <c r="A35" s="46" t="s">
        <v>408</v>
      </c>
      <c r="B35" s="10"/>
      <c r="D35" s="46" t="s">
        <v>119</v>
      </c>
      <c r="E35" s="46" t="s">
        <v>277</v>
      </c>
      <c r="F35" s="46" t="s">
        <v>123</v>
      </c>
    </row>
    <row r="36" spans="1:6">
      <c r="A36" s="46" t="s">
        <v>409</v>
      </c>
      <c r="B36" s="10"/>
      <c r="D36" s="46" t="s">
        <v>53</v>
      </c>
      <c r="E36" s="46" t="s">
        <v>142</v>
      </c>
      <c r="F36" s="46" t="s">
        <v>124</v>
      </c>
    </row>
    <row r="37" spans="1:6">
      <c r="A37" s="46" t="s">
        <v>410</v>
      </c>
      <c r="B37" s="10"/>
      <c r="D37" s="46" t="s">
        <v>53</v>
      </c>
      <c r="E37" s="46" t="s">
        <v>142</v>
      </c>
      <c r="F37" s="46" t="s">
        <v>153</v>
      </c>
    </row>
    <row r="38" spans="1:6">
      <c r="A38" s="46" t="s">
        <v>299</v>
      </c>
      <c r="B38" s="10"/>
      <c r="D38" s="46" t="s">
        <v>414</v>
      </c>
      <c r="E38" s="46" t="s">
        <v>218</v>
      </c>
      <c r="F38" s="46" t="s">
        <v>155</v>
      </c>
    </row>
    <row r="39" spans="1:6">
      <c r="A39" s="46" t="s">
        <v>47</v>
      </c>
      <c r="B39" s="10"/>
      <c r="D39" s="46" t="s">
        <v>415</v>
      </c>
      <c r="E39" s="46" t="s">
        <v>218</v>
      </c>
      <c r="F39" s="46" t="s">
        <v>154</v>
      </c>
    </row>
    <row r="40" spans="1:6">
      <c r="A40" s="46" t="s">
        <v>412</v>
      </c>
      <c r="B40" s="10"/>
      <c r="D40" s="46" t="s">
        <v>28</v>
      </c>
      <c r="E40" s="46" t="s">
        <v>139</v>
      </c>
      <c r="F40" s="46" t="s">
        <v>154</v>
      </c>
    </row>
    <row r="41" spans="1:6">
      <c r="A41" s="46" t="s">
        <v>413</v>
      </c>
      <c r="B41" s="10"/>
      <c r="D41" s="46" t="s">
        <v>341</v>
      </c>
      <c r="E41" s="46" t="s">
        <v>420</v>
      </c>
      <c r="F41" s="46" t="s">
        <v>322</v>
      </c>
    </row>
    <row r="42" spans="1:6">
      <c r="A42" s="46" t="s">
        <v>119</v>
      </c>
      <c r="B42" s="10" t="s">
        <v>20</v>
      </c>
      <c r="D42" s="46" t="s">
        <v>154</v>
      </c>
      <c r="E42" s="46" t="s">
        <v>143</v>
      </c>
      <c r="F42" s="46" t="s">
        <v>416</v>
      </c>
    </row>
    <row r="43" spans="1:6">
      <c r="A43" s="46" t="s">
        <v>415</v>
      </c>
      <c r="B43" s="10"/>
      <c r="D43" s="46" t="s">
        <v>22</v>
      </c>
      <c r="E43" s="46" t="s">
        <v>143</v>
      </c>
      <c r="F43" s="46" t="s">
        <v>409</v>
      </c>
    </row>
    <row r="44" spans="1:6">
      <c r="A44" s="46" t="s">
        <v>310</v>
      </c>
      <c r="B44" s="10"/>
      <c r="D44" s="46" t="s">
        <v>414</v>
      </c>
      <c r="E44" s="46" t="s">
        <v>421</v>
      </c>
      <c r="F44" s="46" t="s">
        <v>407</v>
      </c>
    </row>
    <row r="45" spans="1:6">
      <c r="A45" s="46"/>
      <c r="B45" s="10"/>
      <c r="D45" s="46" t="s">
        <v>119</v>
      </c>
      <c r="E45" s="46" t="s">
        <v>417</v>
      </c>
      <c r="F45" s="46" t="s">
        <v>8</v>
      </c>
    </row>
    <row r="46" spans="1:6">
      <c r="A46" s="46"/>
      <c r="B46" s="10"/>
      <c r="D46" s="46" t="s">
        <v>53</v>
      </c>
      <c r="E46" s="46" t="s">
        <v>417</v>
      </c>
      <c r="F46" s="46" t="s">
        <v>10</v>
      </c>
    </row>
    <row r="47" spans="1:6">
      <c r="A47" s="46"/>
      <c r="B47" s="10"/>
      <c r="D47" s="46" t="s">
        <v>415</v>
      </c>
      <c r="E47" s="46" t="s">
        <v>417</v>
      </c>
      <c r="F47" s="46" t="s">
        <v>12</v>
      </c>
    </row>
    <row r="48" spans="1:6">
      <c r="A48" s="46"/>
      <c r="B48" s="10"/>
      <c r="D48" s="46" t="s">
        <v>414</v>
      </c>
      <c r="E48" s="46" t="s">
        <v>417</v>
      </c>
      <c r="F48" s="46" t="s">
        <v>11</v>
      </c>
    </row>
    <row r="49" spans="1:21">
      <c r="A49" s="46"/>
      <c r="B49" s="10"/>
      <c r="D49" s="46"/>
      <c r="E49" s="46"/>
      <c r="F49" s="46"/>
    </row>
    <row r="50" spans="1:21">
      <c r="A50" s="10"/>
      <c r="B50" s="10"/>
      <c r="D50" s="46"/>
      <c r="E50" s="46"/>
      <c r="F50" s="46"/>
    </row>
    <row r="51" spans="1:21">
      <c r="A51" s="46"/>
      <c r="B51" s="10"/>
      <c r="D51" s="46"/>
      <c r="E51" s="46"/>
      <c r="F51" s="46"/>
    </row>
    <row r="52" spans="1:21">
      <c r="A52" s="46"/>
      <c r="B52" s="10"/>
      <c r="D52" s="46"/>
      <c r="E52" s="46"/>
      <c r="F52" s="46"/>
    </row>
    <row r="53" spans="1:21">
      <c r="A53" s="46"/>
      <c r="B53" s="10"/>
      <c r="D53" s="46"/>
      <c r="E53" s="46"/>
      <c r="F53" s="46"/>
    </row>
    <row r="54" spans="1:21">
      <c r="A54" s="46"/>
      <c r="B54" s="10"/>
      <c r="D54" s="46"/>
      <c r="E54" s="46"/>
      <c r="F54" s="46"/>
    </row>
    <row r="55" spans="1:21">
      <c r="A55" s="46"/>
      <c r="B55" s="10"/>
    </row>
    <row r="56" spans="1:21">
      <c r="A56" s="30" t="s">
        <v>182</v>
      </c>
      <c r="B56" s="30"/>
      <c r="D56" s="104" t="s">
        <v>222</v>
      </c>
      <c r="E56" s="105"/>
      <c r="F56" s="105"/>
      <c r="G56" s="106"/>
      <c r="I56" s="98" t="s">
        <v>224</v>
      </c>
      <c r="J56" s="99"/>
      <c r="K56" s="99"/>
      <c r="L56" s="99"/>
      <c r="M56" s="100"/>
      <c r="O56" s="94" t="s">
        <v>229</v>
      </c>
      <c r="P56" s="94"/>
      <c r="Q56" s="94"/>
      <c r="R56" s="94"/>
      <c r="S56" s="94"/>
      <c r="T56" s="94"/>
      <c r="U56" s="94"/>
    </row>
    <row r="57" spans="1:21">
      <c r="A57" s="32" t="s">
        <v>251</v>
      </c>
      <c r="B57" s="33" t="s">
        <v>252</v>
      </c>
      <c r="D57" s="34" t="s">
        <v>220</v>
      </c>
      <c r="E57" s="34" t="s">
        <v>219</v>
      </c>
      <c r="F57" s="34" t="s">
        <v>221</v>
      </c>
      <c r="G57" s="34" t="s">
        <v>223</v>
      </c>
      <c r="I57" s="101" t="s">
        <v>225</v>
      </c>
      <c r="J57" s="102"/>
      <c r="K57" s="103"/>
      <c r="L57" s="101" t="s">
        <v>226</v>
      </c>
      <c r="M57" s="103"/>
      <c r="O57" s="95" t="s">
        <v>227</v>
      </c>
      <c r="P57" s="96"/>
      <c r="Q57" s="96"/>
      <c r="R57" s="96"/>
      <c r="S57" s="97"/>
      <c r="T57" s="95" t="s">
        <v>228</v>
      </c>
      <c r="U57" s="97"/>
    </row>
    <row r="58" spans="1:21">
      <c r="A58" s="46" t="s">
        <v>101</v>
      </c>
      <c r="B58" s="10" t="s">
        <v>3</v>
      </c>
      <c r="D58" s="10" t="str">
        <f>IF(INDEX($A$3:$B$44,MATCH(D3,$A$3:$A$44,0),2)&lt;&gt;0,INDEX($A$3:$B$44,MATCH(D3,$A$3:$A$44,0),2),D3)</f>
        <v>politico</v>
      </c>
      <c r="E58" s="10" t="str">
        <f>IF(INDEX($A$58:$B$69,MATCH(E3,$A$58:$A$69,0),2)&lt;&gt;0,INDEX($A$58:$B$69,MATCH(E3,$A$58:$A$69,0),2),E3)</f>
        <v>rdfs:subClassOf</v>
      </c>
      <c r="F58" s="10" t="str">
        <f>IF(INDEX($A$3:$B$44,MATCH(F3,$A$3:$A$44,0),2)&lt;&gt;0,INDEX($A$3:$B$44,MATCH(F3,$A$3:$A$44,0),2),F3)</f>
        <v>nivel</v>
      </c>
      <c r="G58" s="3" t="str">
        <f>IF(INDEX($A$3:$B$44,MATCH(F3,$A$3:$A$44,0),2)&lt;&gt;0,"OK","NOK")</f>
        <v>OK</v>
      </c>
      <c r="I58" s="10" t="str">
        <f t="shared" ref="I58:I102" si="1">D58 &amp;"-"&amp;F58</f>
        <v>politico-nivel</v>
      </c>
      <c r="J58" s="10"/>
      <c r="K58" s="10"/>
      <c r="L58" s="3">
        <f>IF(INDEX(GRAFO!$L$2:'GRAFO'!$L$46,MATCH(I58,GRAFO!$L$2:'GRAFO'!$L$46,0),1)&lt;&gt;0,1,0)</f>
        <v>1</v>
      </c>
      <c r="M58" s="3">
        <f>IFERROR(L58,0)</f>
        <v>1</v>
      </c>
      <c r="O58" s="10" t="str">
        <f t="shared" ref="O58:O102" si="2">D58 &amp; "-" &amp; E58 &amp; "-" &amp; F58</f>
        <v>politico-rdfs:subClassOf-nivel</v>
      </c>
      <c r="P58" s="10"/>
      <c r="Q58" s="10"/>
      <c r="R58" s="10"/>
      <c r="S58" s="10"/>
      <c r="T58" s="10">
        <f>IF(INDEX(GRAFO!$M$2:'GRAFO'!$M$46,MATCH(O58,GRAFO!$M$2:'GRAFO'!$M$46,0),1)&lt;&gt;0,1,0)</f>
        <v>1</v>
      </c>
      <c r="U58" s="10">
        <f>IFERROR(T58,0)</f>
        <v>1</v>
      </c>
    </row>
    <row r="59" spans="1:21">
      <c r="A59" s="46" t="s">
        <v>417</v>
      </c>
      <c r="B59" s="10" t="s">
        <v>4</v>
      </c>
      <c r="D59" s="10" t="str">
        <f t="shared" ref="D59:D103" si="3">IF(INDEX($A$3:$B$44,MATCH(D4,$A$3:$A$44,0),2)&lt;&gt;0,INDEX($A$3:$B$44,MATCH(D4,$A$3:$A$44,0),2),D4)</f>
        <v>estrategico</v>
      </c>
      <c r="E59" s="10" t="str">
        <f t="shared" ref="E59:E103" si="4">IF(INDEX($A$58:$B$69,MATCH(E4,$A$58:$A$69,0),2)&lt;&gt;0,INDEX($A$58:$B$69,MATCH(E4,$A$58:$A$69,0),2),E4)</f>
        <v>rdfs:subClassOf</v>
      </c>
      <c r="F59" s="10" t="str">
        <f t="shared" ref="F59:F103" si="5">IF(INDEX($A$3:$B$44,MATCH(F4,$A$3:$A$44,0),2)&lt;&gt;0,INDEX($A$3:$B$44,MATCH(F4,$A$3:$A$44,0),2),F4)</f>
        <v>nivel</v>
      </c>
      <c r="G59" s="3" t="str">
        <f t="shared" ref="G59:G103" si="6">IF(INDEX($A$3:$B$44,MATCH(F4,$A$3:$A$44,0),2)&lt;&gt;0,"OK","NOK")</f>
        <v>OK</v>
      </c>
      <c r="I59" s="10" t="str">
        <f t="shared" si="1"/>
        <v>estrategico-nivel</v>
      </c>
      <c r="J59" s="10"/>
      <c r="K59" s="10"/>
      <c r="L59" s="3">
        <f>IF(INDEX(GRAFO!$L$2:'GRAFO'!$L$46,MATCH(I59,GRAFO!$L$2:'GRAFO'!$L$46,0),1)&lt;&gt;0,1,0)</f>
        <v>1</v>
      </c>
      <c r="M59" s="3">
        <f t="shared" ref="M59:M102" si="7">IFERROR(L59,0)</f>
        <v>1</v>
      </c>
      <c r="O59" s="10" t="str">
        <f t="shared" si="2"/>
        <v>estrategico-rdfs:subClassOf-nivel</v>
      </c>
      <c r="P59" s="10"/>
      <c r="Q59" s="10"/>
      <c r="R59" s="10"/>
      <c r="S59" s="10"/>
      <c r="T59" s="10">
        <f>IF(INDEX(GRAFO!$M$2:'GRAFO'!$M$46,MATCH(O59,GRAFO!$M$2:'GRAFO'!$M$46,0),1)&lt;&gt;0,1,0)</f>
        <v>1</v>
      </c>
      <c r="U59" s="10">
        <f t="shared" ref="U59:U102" si="8">IFERROR(T59,0)</f>
        <v>1</v>
      </c>
    </row>
    <row r="60" spans="1:21">
      <c r="A60" s="46" t="s">
        <v>418</v>
      </c>
      <c r="B60" s="10" t="s">
        <v>4</v>
      </c>
      <c r="D60" s="10" t="str">
        <f t="shared" si="3"/>
        <v>operacional</v>
      </c>
      <c r="E60" s="10" t="str">
        <f t="shared" si="4"/>
        <v>rdfs:subClassOf</v>
      </c>
      <c r="F60" s="10" t="str">
        <f t="shared" si="5"/>
        <v>nivel</v>
      </c>
      <c r="G60" s="3" t="str">
        <f t="shared" si="6"/>
        <v>OK</v>
      </c>
      <c r="I60" s="10" t="str">
        <f t="shared" si="1"/>
        <v>operacional-nivel</v>
      </c>
      <c r="J60" s="10"/>
      <c r="K60" s="10"/>
      <c r="L60" s="3">
        <f>IF(INDEX(GRAFO!$L$2:'GRAFO'!$L$46,MATCH(I60,GRAFO!$L$2:'GRAFO'!$L$46,0),1)&lt;&gt;0,1,0)</f>
        <v>1</v>
      </c>
      <c r="M60" s="3">
        <f t="shared" si="7"/>
        <v>1</v>
      </c>
      <c r="O60" s="10" t="str">
        <f t="shared" si="2"/>
        <v>operacional-rdfs:subClassOf-nivel</v>
      </c>
      <c r="P60" s="10"/>
      <c r="Q60" s="10"/>
      <c r="R60" s="10"/>
      <c r="S60" s="10"/>
      <c r="T60" s="10">
        <f>IF(INDEX(GRAFO!$M$2:'GRAFO'!$M$46,MATCH(O60,GRAFO!$M$2:'GRAFO'!$M$46,0),1)&lt;&gt;0,1,0)</f>
        <v>1</v>
      </c>
      <c r="U60" s="10">
        <f t="shared" si="8"/>
        <v>1</v>
      </c>
    </row>
    <row r="61" spans="1:21">
      <c r="A61" s="46" t="s">
        <v>142</v>
      </c>
      <c r="B61" s="10" t="s">
        <v>7</v>
      </c>
      <c r="D61" s="10" t="str">
        <f t="shared" si="3"/>
        <v>tatico</v>
      </c>
      <c r="E61" s="10" t="str">
        <f t="shared" si="4"/>
        <v>rdfs:subClassOf</v>
      </c>
      <c r="F61" s="10" t="str">
        <f t="shared" si="5"/>
        <v>nivel</v>
      </c>
      <c r="G61" s="3" t="str">
        <f t="shared" si="6"/>
        <v>OK</v>
      </c>
      <c r="I61" s="10" t="str">
        <f t="shared" si="1"/>
        <v>tatico-nivel</v>
      </c>
      <c r="J61" s="10"/>
      <c r="K61" s="10"/>
      <c r="L61" s="3">
        <f>IF(INDEX(GRAFO!$L$2:'GRAFO'!$L$46,MATCH(I61,GRAFO!$L$2:'GRAFO'!$L$46,0),1)&lt;&gt;0,1,0)</f>
        <v>1</v>
      </c>
      <c r="M61" s="3">
        <f t="shared" si="7"/>
        <v>1</v>
      </c>
      <c r="O61" s="10" t="str">
        <f t="shared" si="2"/>
        <v>tatico-rdfs:subClassOf-nivel</v>
      </c>
      <c r="P61" s="10"/>
      <c r="Q61" s="10"/>
      <c r="R61" s="10"/>
      <c r="S61" s="10"/>
      <c r="T61" s="10">
        <f>IF(INDEX(GRAFO!$M$2:'GRAFO'!$M$46,MATCH(O61,GRAFO!$M$2:'GRAFO'!$M$46,0),1)&lt;&gt;0,1,0)</f>
        <v>1</v>
      </c>
      <c r="U61" s="10">
        <f t="shared" si="8"/>
        <v>1</v>
      </c>
    </row>
    <row r="62" spans="1:21">
      <c r="A62" s="46" t="s">
        <v>139</v>
      </c>
      <c r="B62" s="10" t="s">
        <v>7</v>
      </c>
      <c r="D62" s="10" t="str">
        <f t="shared" si="3"/>
        <v>marinha</v>
      </c>
      <c r="E62" s="10" t="str">
        <f t="shared" si="4"/>
        <v>rdfs:subClassOf</v>
      </c>
      <c r="F62" s="10" t="str">
        <f t="shared" si="5"/>
        <v>forcas_armadas</v>
      </c>
      <c r="G62" s="3" t="str">
        <f t="shared" si="6"/>
        <v>OK</v>
      </c>
      <c r="I62" s="10" t="str">
        <f t="shared" si="1"/>
        <v>marinha-forcas_armadas</v>
      </c>
      <c r="J62" s="10"/>
      <c r="K62" s="10"/>
      <c r="L62" s="3">
        <f>IF(INDEX(GRAFO!$L$2:'GRAFO'!$L$46,MATCH(I62,GRAFO!$L$2:'GRAFO'!$L$46,0),1)&lt;&gt;0,1,0)</f>
        <v>1</v>
      </c>
      <c r="M62" s="3">
        <f t="shared" si="7"/>
        <v>1</v>
      </c>
      <c r="O62" s="10" t="str">
        <f t="shared" si="2"/>
        <v>marinha-rdfs:subClassOf-forcas_armadas</v>
      </c>
      <c r="P62" s="10"/>
      <c r="Q62" s="10"/>
      <c r="R62" s="10"/>
      <c r="S62" s="10"/>
      <c r="T62" s="10">
        <f>IF(INDEX(GRAFO!$M$2:'GRAFO'!$M$46,MATCH(O62,GRAFO!$M$2:'GRAFO'!$M$46,0),1)&lt;&gt;0,1,0)</f>
        <v>1</v>
      </c>
      <c r="U62" s="10">
        <f t="shared" si="8"/>
        <v>1</v>
      </c>
    </row>
    <row r="63" spans="1:21">
      <c r="A63" s="46" t="s">
        <v>218</v>
      </c>
      <c r="B63" s="10" t="s">
        <v>7</v>
      </c>
      <c r="D63" s="10" t="str">
        <f t="shared" si="3"/>
        <v>exercito</v>
      </c>
      <c r="E63" s="10" t="str">
        <f t="shared" si="4"/>
        <v>rdfs:subClassOf</v>
      </c>
      <c r="F63" s="10" t="str">
        <f t="shared" si="5"/>
        <v>forcas_armadas</v>
      </c>
      <c r="G63" s="3" t="str">
        <f t="shared" si="6"/>
        <v>OK</v>
      </c>
      <c r="H63">
        <f>COUNTIFS(GRAFO!C2:C42,"=D34",GRAFO!E2:E42,"=F34")</f>
        <v>0</v>
      </c>
      <c r="I63" s="10" t="str">
        <f t="shared" si="1"/>
        <v>exercito-forcas_armadas</v>
      </c>
      <c r="J63" s="10"/>
      <c r="K63" s="10"/>
      <c r="L63" s="3">
        <f>IF(INDEX(GRAFO!$L$2:'GRAFO'!$L$46,MATCH(I63,GRAFO!$L$2:'GRAFO'!$L$46,0),1)&lt;&gt;0,1,0)</f>
        <v>1</v>
      </c>
      <c r="M63" s="3">
        <f t="shared" si="7"/>
        <v>1</v>
      </c>
      <c r="O63" s="10" t="str">
        <f t="shared" si="2"/>
        <v>exercito-rdfs:subClassOf-forcas_armadas</v>
      </c>
      <c r="P63" s="10"/>
      <c r="Q63" s="10"/>
      <c r="R63" s="10"/>
      <c r="S63" s="10"/>
      <c r="T63" s="10">
        <f>IF(INDEX(GRAFO!$M$2:'GRAFO'!$M$46,MATCH(O63,GRAFO!$M$2:'GRAFO'!$M$46,0),1)&lt;&gt;0,1,0)</f>
        <v>1</v>
      </c>
      <c r="U63" s="10">
        <f t="shared" si="8"/>
        <v>1</v>
      </c>
    </row>
    <row r="64" spans="1:21">
      <c r="A64" s="46" t="s">
        <v>419</v>
      </c>
      <c r="B64" s="10" t="s">
        <v>5</v>
      </c>
      <c r="D64" s="10" t="str">
        <f t="shared" si="3"/>
        <v>aeronautica</v>
      </c>
      <c r="E64" s="10" t="str">
        <f t="shared" si="4"/>
        <v>rdfs:subClassOf</v>
      </c>
      <c r="F64" s="10" t="str">
        <f t="shared" si="5"/>
        <v>forcas_armadas</v>
      </c>
      <c r="G64" s="3" t="str">
        <f t="shared" si="6"/>
        <v>OK</v>
      </c>
      <c r="I64" s="10" t="str">
        <f t="shared" si="1"/>
        <v>aeronautica-forcas_armadas</v>
      </c>
      <c r="J64" s="10"/>
      <c r="K64" s="10"/>
      <c r="L64" s="3">
        <f>IF(INDEX(GRAFO!$L$2:'GRAFO'!$L$46,MATCH(I64,GRAFO!$L$2:'GRAFO'!$L$46,0),1)&lt;&gt;0,1,0)</f>
        <v>1</v>
      </c>
      <c r="M64" s="3">
        <f t="shared" si="7"/>
        <v>1</v>
      </c>
      <c r="O64" s="10" t="str">
        <f t="shared" si="2"/>
        <v>aeronautica-rdfs:subClassOf-forcas_armadas</v>
      </c>
      <c r="P64" s="10"/>
      <c r="Q64" s="10"/>
      <c r="R64" s="10"/>
      <c r="S64" s="10"/>
      <c r="T64" s="10">
        <f>IF(INDEX(GRAFO!$M$2:'GRAFO'!$M$46,MATCH(O64,GRAFO!$M$2:'GRAFO'!$M$46,0),1)&lt;&gt;0,1,0)</f>
        <v>1</v>
      </c>
      <c r="U64" s="10">
        <f t="shared" si="8"/>
        <v>1</v>
      </c>
    </row>
    <row r="65" spans="1:21">
      <c r="A65" s="46" t="s">
        <v>420</v>
      </c>
      <c r="B65" s="10" t="s">
        <v>208</v>
      </c>
      <c r="C65" s="24"/>
      <c r="D65" s="10" t="str">
        <f t="shared" si="3"/>
        <v>operacao_conjunta</v>
      </c>
      <c r="E65" s="10" t="str">
        <f t="shared" si="4"/>
        <v>rdfs:subClassOf</v>
      </c>
      <c r="F65" s="10" t="str">
        <f t="shared" si="5"/>
        <v>operacao</v>
      </c>
      <c r="G65" s="3" t="str">
        <f t="shared" si="6"/>
        <v>OK</v>
      </c>
      <c r="I65" s="10" t="str">
        <f t="shared" si="1"/>
        <v>operacao_conjunta-operacao</v>
      </c>
      <c r="J65" s="10"/>
      <c r="K65" s="10"/>
      <c r="L65" s="3">
        <f>IF(INDEX(GRAFO!$L$2:'GRAFO'!$L$46,MATCH(I65,GRAFO!$L$2:'GRAFO'!$L$46,0),1)&lt;&gt;0,1,0)</f>
        <v>1</v>
      </c>
      <c r="M65" s="3">
        <f t="shared" si="7"/>
        <v>1</v>
      </c>
      <c r="O65" s="10" t="str">
        <f t="shared" si="2"/>
        <v>operacao_conjunta-rdfs:subClassOf-operacao</v>
      </c>
      <c r="P65" s="10"/>
      <c r="Q65" s="10"/>
      <c r="R65" s="10"/>
      <c r="S65" s="10"/>
      <c r="T65" s="10">
        <f>IF(INDEX(GRAFO!$M$2:'GRAFO'!$M$46,MATCH(O65,GRAFO!$M$2:'GRAFO'!$M$46,0),1)&lt;&gt;0,1,0)</f>
        <v>1</v>
      </c>
      <c r="U65" s="10">
        <f t="shared" si="8"/>
        <v>1</v>
      </c>
    </row>
    <row r="66" spans="1:21">
      <c r="A66" s="46" t="s">
        <v>143</v>
      </c>
      <c r="B66" s="10" t="s">
        <v>4</v>
      </c>
      <c r="C66" s="9" t="str">
        <f t="shared" ref="C66:C81" si="9">IF(INDEX($A$3:$B$18,MATCH(D3,$A$3:$A$17,0),2)&lt;&gt;0,"OK","NOK")</f>
        <v>OK</v>
      </c>
      <c r="D66" s="10" t="str">
        <f t="shared" si="3"/>
        <v>area_de_operacoes</v>
      </c>
      <c r="E66" s="10" t="str">
        <f t="shared" si="4"/>
        <v>rdfs:subClassOf</v>
      </c>
      <c r="F66" s="10" t="str">
        <f t="shared" si="5"/>
        <v>area_de_resp_interesse</v>
      </c>
      <c r="G66" s="3" t="str">
        <f t="shared" si="6"/>
        <v>NOK</v>
      </c>
      <c r="I66" s="10" t="str">
        <f t="shared" si="1"/>
        <v>area_de_operacoes-area_de_resp_interesse</v>
      </c>
      <c r="J66" s="10"/>
      <c r="K66" s="10"/>
      <c r="L66" s="3" t="e">
        <f>IF(INDEX(GRAFO!$L$2:'GRAFO'!$L$46,MATCH(I66,GRAFO!$L$2:'GRAFO'!$L$46,0),1)&lt;&gt;0,1,0)</f>
        <v>#N/A</v>
      </c>
      <c r="M66" s="3">
        <f t="shared" si="7"/>
        <v>0</v>
      </c>
      <c r="O66" s="10" t="str">
        <f t="shared" si="2"/>
        <v>area_de_operacoes-rdfs:subClassOf-area_de_resp_interesse</v>
      </c>
      <c r="P66" s="10"/>
      <c r="Q66" s="10"/>
      <c r="R66" s="10"/>
      <c r="S66" s="10"/>
      <c r="T66" s="10" t="e">
        <f>IF(INDEX(GRAFO!$M$2:'GRAFO'!$M$46,MATCH(O66,GRAFO!$M$2:'GRAFO'!$M$46,0),1)&lt;&gt;0,1,0)</f>
        <v>#N/A</v>
      </c>
      <c r="U66" s="10">
        <f t="shared" si="8"/>
        <v>0</v>
      </c>
    </row>
    <row r="67" spans="1:21">
      <c r="A67" s="46" t="s">
        <v>421</v>
      </c>
      <c r="B67" s="10" t="s">
        <v>4</v>
      </c>
      <c r="C67" s="9" t="str">
        <f t="shared" si="9"/>
        <v>OK</v>
      </c>
      <c r="D67" s="10" t="str">
        <f t="shared" si="3"/>
        <v>comando_e_controle</v>
      </c>
      <c r="E67" s="10" t="str">
        <f t="shared" si="4"/>
        <v>rdfs:subClassOf</v>
      </c>
      <c r="F67" s="10" t="str">
        <f t="shared" si="5"/>
        <v>estruturas</v>
      </c>
      <c r="G67" s="3" t="str">
        <f t="shared" si="6"/>
        <v>OK</v>
      </c>
      <c r="I67" s="10" t="str">
        <f t="shared" si="1"/>
        <v>comando_e_controle-estruturas</v>
      </c>
      <c r="J67" s="10"/>
      <c r="K67" s="10"/>
      <c r="L67" s="3">
        <f>IF(INDEX(GRAFO!$L$2:'GRAFO'!$L$46,MATCH(I67,GRAFO!$L$2:'GRAFO'!$L$46,0),1)&lt;&gt;0,1,0)</f>
        <v>1</v>
      </c>
      <c r="M67" s="3">
        <f t="shared" si="7"/>
        <v>1</v>
      </c>
      <c r="O67" s="10" t="str">
        <f t="shared" si="2"/>
        <v>comando_e_controle-rdfs:subClassOf-estruturas</v>
      </c>
      <c r="P67" s="10"/>
      <c r="Q67" s="10"/>
      <c r="R67" s="10"/>
      <c r="S67" s="10"/>
      <c r="T67" s="10">
        <f>IF(INDEX(GRAFO!$M$2:'GRAFO'!$M$46,MATCH(O67,GRAFO!$M$2:'GRAFO'!$M$46,0),1)&lt;&gt;0,1,0)</f>
        <v>1</v>
      </c>
      <c r="U67" s="10">
        <f t="shared" si="8"/>
        <v>1</v>
      </c>
    </row>
    <row r="68" spans="1:21">
      <c r="A68" s="46" t="s">
        <v>422</v>
      </c>
      <c r="B68" s="10" t="s">
        <v>4</v>
      </c>
      <c r="C68" s="9" t="str">
        <f t="shared" si="9"/>
        <v>OK</v>
      </c>
      <c r="D68" s="10" t="str">
        <f t="shared" si="3"/>
        <v>logistica</v>
      </c>
      <c r="E68" s="10" t="str">
        <f t="shared" si="4"/>
        <v>rdfs:subClassOf</v>
      </c>
      <c r="F68" s="10" t="str">
        <f t="shared" si="5"/>
        <v>estruturas</v>
      </c>
      <c r="G68" s="3" t="str">
        <f t="shared" si="6"/>
        <v>OK</v>
      </c>
      <c r="I68" s="10" t="str">
        <f t="shared" si="1"/>
        <v>logistica-estruturas</v>
      </c>
      <c r="J68" s="10"/>
      <c r="K68" s="10"/>
      <c r="L68" s="3">
        <f>IF(INDEX(GRAFO!$L$2:'GRAFO'!$L$46,MATCH(I68,GRAFO!$L$2:'GRAFO'!$L$46,0),1)&lt;&gt;0,1,0)</f>
        <v>1</v>
      </c>
      <c r="M68" s="3">
        <f t="shared" si="7"/>
        <v>1</v>
      </c>
      <c r="O68" s="10" t="str">
        <f t="shared" si="2"/>
        <v>logistica-rdfs:subClassOf-estruturas</v>
      </c>
      <c r="P68" s="10"/>
      <c r="Q68" s="10"/>
      <c r="R68" s="10"/>
      <c r="S68" s="10"/>
      <c r="T68" s="10">
        <f>IF(INDEX(GRAFO!$M$2:'GRAFO'!$M$46,MATCH(O68,GRAFO!$M$2:'GRAFO'!$M$46,0),1)&lt;&gt;0,1,0)</f>
        <v>1</v>
      </c>
      <c r="U68" s="10">
        <f t="shared" si="8"/>
        <v>1</v>
      </c>
    </row>
    <row r="69" spans="1:21">
      <c r="A69" s="46" t="s">
        <v>277</v>
      </c>
      <c r="B69" s="10" t="s">
        <v>7</v>
      </c>
      <c r="C69" s="9" t="str">
        <f t="shared" si="9"/>
        <v>OK</v>
      </c>
      <c r="D69" s="10" t="str">
        <f t="shared" si="3"/>
        <v>inteligencia</v>
      </c>
      <c r="E69" s="10" t="str">
        <f t="shared" si="4"/>
        <v>rdfs:subClassOf</v>
      </c>
      <c r="F69" s="10" t="str">
        <f t="shared" si="5"/>
        <v>estruturas</v>
      </c>
      <c r="G69" s="3" t="str">
        <f t="shared" si="6"/>
        <v>OK</v>
      </c>
      <c r="I69" s="10" t="str">
        <f t="shared" si="1"/>
        <v>inteligencia-estruturas</v>
      </c>
      <c r="J69" s="10"/>
      <c r="K69" s="10"/>
      <c r="L69" s="3">
        <f>IF(INDEX(GRAFO!$L$2:'GRAFO'!$L$46,MATCH(I69,GRAFO!$L$2:'GRAFO'!$L$46,0),1)&lt;&gt;0,1,0)</f>
        <v>1</v>
      </c>
      <c r="M69" s="3">
        <f t="shared" si="7"/>
        <v>1</v>
      </c>
      <c r="O69" s="10" t="str">
        <f t="shared" si="2"/>
        <v>inteligencia-rdfs:subClassOf-estruturas</v>
      </c>
      <c r="P69" s="10"/>
      <c r="Q69" s="10"/>
      <c r="R69" s="10"/>
      <c r="S69" s="10"/>
      <c r="T69" s="10">
        <f>IF(INDEX(GRAFO!$M$2:'GRAFO'!$M$46,MATCH(O69,GRAFO!$M$2:'GRAFO'!$M$46,0),1)&lt;&gt;0,1,0)</f>
        <v>1</v>
      </c>
      <c r="U69" s="10">
        <f t="shared" si="8"/>
        <v>1</v>
      </c>
    </row>
    <row r="70" spans="1:21">
      <c r="A70" s="46"/>
      <c r="B70" s="10"/>
      <c r="C70" s="9" t="e">
        <f t="shared" si="9"/>
        <v>#N/A</v>
      </c>
      <c r="D70" s="10" t="str">
        <f t="shared" si="3"/>
        <v>cmdo_log</v>
      </c>
      <c r="E70" s="10" t="str">
        <f t="shared" si="4"/>
        <v>c2rm:responsible_for</v>
      </c>
      <c r="F70" s="10" t="str">
        <f t="shared" si="5"/>
        <v>logistica</v>
      </c>
      <c r="G70" s="3" t="str">
        <f t="shared" si="6"/>
        <v>OK</v>
      </c>
      <c r="I70" s="10" t="str">
        <f t="shared" si="1"/>
        <v>cmdo_log-logistica</v>
      </c>
      <c r="J70" s="10"/>
      <c r="K70" s="10"/>
      <c r="L70" s="3" t="e">
        <f>IF(INDEX(GRAFO!$L$2:'GRAFO'!$L$46,MATCH(I70,GRAFO!$L$2:'GRAFO'!$L$46,0),1)&lt;&gt;0,1,0)</f>
        <v>#N/A</v>
      </c>
      <c r="M70" s="3">
        <f t="shared" si="7"/>
        <v>0</v>
      </c>
      <c r="O70" s="10" t="str">
        <f t="shared" si="2"/>
        <v>cmdo_log-c2rm:responsible_for-logistica</v>
      </c>
      <c r="P70" s="10"/>
      <c r="Q70" s="10"/>
      <c r="R70" s="10"/>
      <c r="S70" s="10"/>
      <c r="T70" s="10" t="e">
        <f>IF(INDEX(GRAFO!$M$2:'GRAFO'!$M$46,MATCH(O70,GRAFO!$M$2:'GRAFO'!$M$46,0),1)&lt;&gt;0,1,0)</f>
        <v>#N/A</v>
      </c>
      <c r="U70" s="10">
        <f t="shared" si="8"/>
        <v>0</v>
      </c>
    </row>
    <row r="71" spans="1:21">
      <c r="A71" s="46"/>
      <c r="B71" s="10"/>
      <c r="C71" s="9" t="e">
        <f t="shared" si="9"/>
        <v>#N/A</v>
      </c>
      <c r="D71" s="10" t="str">
        <f t="shared" si="3"/>
        <v>forcas_armadas</v>
      </c>
      <c r="E71" s="10" t="str">
        <f t="shared" si="4"/>
        <v>rdfs:seeAlso</v>
      </c>
      <c r="F71" s="10" t="str">
        <f t="shared" si="5"/>
        <v>estruturas</v>
      </c>
      <c r="G71" s="3" t="str">
        <f t="shared" si="6"/>
        <v>OK</v>
      </c>
      <c r="I71" s="10" t="str">
        <f t="shared" si="1"/>
        <v>forcas_armadas-estruturas</v>
      </c>
      <c r="J71" s="10"/>
      <c r="K71" s="10"/>
      <c r="L71" s="3" t="e">
        <f>IF(INDEX(GRAFO!$L$2:'GRAFO'!$L$46,MATCH(I71,GRAFO!$L$2:'GRAFO'!$L$46,0),1)&lt;&gt;0,1,0)</f>
        <v>#N/A</v>
      </c>
      <c r="M71" s="3">
        <f t="shared" si="7"/>
        <v>0</v>
      </c>
      <c r="O71" s="10" t="str">
        <f t="shared" si="2"/>
        <v>forcas_armadas-rdfs:seeAlso-estruturas</v>
      </c>
      <c r="P71" s="10"/>
      <c r="Q71" s="10"/>
      <c r="R71" s="10"/>
      <c r="S71" s="10"/>
      <c r="T71" s="10" t="e">
        <f>IF(INDEX(GRAFO!$M$2:'GRAFO'!$M$46,MATCH(O71,GRAFO!$M$2:'GRAFO'!$M$46,0),1)&lt;&gt;0,1,0)</f>
        <v>#N/A</v>
      </c>
      <c r="U71" s="10">
        <f t="shared" si="8"/>
        <v>0</v>
      </c>
    </row>
    <row r="72" spans="1:21">
      <c r="A72" s="46"/>
      <c r="B72" s="10"/>
      <c r="C72" s="9" t="e">
        <f t="shared" si="9"/>
        <v>#N/A</v>
      </c>
      <c r="D72" s="10" t="str">
        <f t="shared" si="3"/>
        <v>forca_componente</v>
      </c>
      <c r="E72" s="10" t="str">
        <f t="shared" si="4"/>
        <v>c2rm:responsible_for</v>
      </c>
      <c r="F72" s="10" t="str">
        <f t="shared" si="5"/>
        <v>ordem_de_operacao</v>
      </c>
      <c r="G72" s="3" t="str">
        <f t="shared" si="6"/>
        <v>NOK</v>
      </c>
      <c r="I72" s="10" t="str">
        <f t="shared" si="1"/>
        <v>forca_componente-ordem_de_operacao</v>
      </c>
      <c r="J72" s="10"/>
      <c r="K72" s="10"/>
      <c r="L72" s="3" t="e">
        <f>IF(INDEX(GRAFO!$L$2:'GRAFO'!$L$46,MATCH(I72,GRAFO!$L$2:'GRAFO'!$L$46,0),1)&lt;&gt;0,1,0)</f>
        <v>#N/A</v>
      </c>
      <c r="M72" s="3">
        <f t="shared" si="7"/>
        <v>0</v>
      </c>
      <c r="O72" s="10" t="str">
        <f t="shared" si="2"/>
        <v>forca_componente-c2rm:responsible_for-ordem_de_operacao</v>
      </c>
      <c r="P72" s="10"/>
      <c r="Q72" s="10"/>
      <c r="R72" s="10"/>
      <c r="S72" s="10"/>
      <c r="T72" s="10" t="e">
        <f>IF(INDEX(GRAFO!$M$2:'GRAFO'!$M$46,MATCH(O72,GRAFO!$M$2:'GRAFO'!$M$46,0),1)&lt;&gt;0,1,0)</f>
        <v>#N/A</v>
      </c>
      <c r="U72" s="10">
        <f t="shared" si="8"/>
        <v>0</v>
      </c>
    </row>
    <row r="73" spans="1:21">
      <c r="A73" s="46"/>
      <c r="B73" s="10"/>
      <c r="C73" s="9" t="str">
        <f t="shared" si="9"/>
        <v>OK</v>
      </c>
      <c r="D73" s="10" t="str">
        <f t="shared" si="3"/>
        <v>forcas_armadas</v>
      </c>
      <c r="E73" s="10" t="str">
        <f t="shared" si="4"/>
        <v>rdfs:seeAlso</v>
      </c>
      <c r="F73" s="10" t="str">
        <f t="shared" si="5"/>
        <v>cmdo_forca_componente</v>
      </c>
      <c r="G73" s="3" t="str">
        <f t="shared" si="6"/>
        <v>NOK</v>
      </c>
      <c r="I73" s="10" t="str">
        <f t="shared" si="1"/>
        <v>forcas_armadas-cmdo_forca_componente</v>
      </c>
      <c r="J73" s="10"/>
      <c r="K73" s="10"/>
      <c r="L73" s="3" t="e">
        <f>IF(INDEX(GRAFO!$L$2:'GRAFO'!$L$46,MATCH(I73,GRAFO!$L$2:'GRAFO'!$L$46,0),1)&lt;&gt;0,1,0)</f>
        <v>#N/A</v>
      </c>
      <c r="M73" s="3">
        <f t="shared" si="7"/>
        <v>0</v>
      </c>
      <c r="O73" s="10" t="str">
        <f t="shared" si="2"/>
        <v>forcas_armadas-rdfs:seeAlso-cmdo_forca_componente</v>
      </c>
      <c r="P73" s="10"/>
      <c r="Q73" s="10"/>
      <c r="R73" s="10"/>
      <c r="S73" s="10"/>
      <c r="T73" s="10" t="e">
        <f>IF(INDEX(GRAFO!$M$2:'GRAFO'!$M$46,MATCH(O73,GRAFO!$M$2:'GRAFO'!$M$46,0),1)&lt;&gt;0,1,0)</f>
        <v>#N/A</v>
      </c>
      <c r="U73" s="10">
        <f t="shared" si="8"/>
        <v>0</v>
      </c>
    </row>
    <row r="74" spans="1:21">
      <c r="A74" s="10"/>
      <c r="B74" s="10"/>
      <c r="C74" s="9" t="e">
        <f t="shared" si="9"/>
        <v>#N/A</v>
      </c>
      <c r="D74" s="10" t="str">
        <f t="shared" si="3"/>
        <v>forcas_armadas</v>
      </c>
      <c r="E74" s="10" t="str">
        <f t="shared" si="4"/>
        <v>c2rm:applied_to</v>
      </c>
      <c r="F74" s="10" t="str">
        <f t="shared" si="5"/>
        <v>forcas_armadas</v>
      </c>
      <c r="G74" s="3" t="str">
        <f t="shared" si="6"/>
        <v>OK</v>
      </c>
      <c r="I74" s="10" t="str">
        <f t="shared" si="1"/>
        <v>forcas_armadas-forcas_armadas</v>
      </c>
      <c r="J74" s="10"/>
      <c r="K74" s="10"/>
      <c r="L74" s="3" t="e">
        <f>IF(INDEX(GRAFO!$L$2:'GRAFO'!$L$46,MATCH(I74,GRAFO!$L$2:'GRAFO'!$L$46,0),1)&lt;&gt;0,1,0)</f>
        <v>#N/A</v>
      </c>
      <c r="M74" s="3">
        <f t="shared" si="7"/>
        <v>0</v>
      </c>
      <c r="O74" s="10" t="str">
        <f t="shared" si="2"/>
        <v>forcas_armadas-c2rm:applied_to-forcas_armadas</v>
      </c>
      <c r="P74" s="10"/>
      <c r="Q74" s="10"/>
      <c r="R74" s="10"/>
      <c r="S74" s="10"/>
      <c r="T74" s="10" t="e">
        <f>IF(INDEX(GRAFO!$M$2:'GRAFO'!$M$46,MATCH(O74,GRAFO!$M$2:'GRAFO'!$M$46,0),1)&lt;&gt;0,1,0)</f>
        <v>#N/A</v>
      </c>
      <c r="U74" s="10">
        <f t="shared" si="8"/>
        <v>0</v>
      </c>
    </row>
    <row r="75" spans="1:21">
      <c r="A75" s="56"/>
      <c r="C75" s="9" t="e">
        <f t="shared" si="9"/>
        <v>#N/A</v>
      </c>
      <c r="D75" s="10" t="str">
        <f t="shared" si="3"/>
        <v>esf_politico</v>
      </c>
      <c r="E75" s="10" t="str">
        <f t="shared" si="4"/>
        <v>rdfs:subClassOf</v>
      </c>
      <c r="F75" s="10" t="str">
        <f t="shared" si="5"/>
        <v>esforco</v>
      </c>
      <c r="G75" s="3" t="str">
        <f t="shared" si="6"/>
        <v>NOK</v>
      </c>
      <c r="I75" s="10" t="str">
        <f t="shared" si="1"/>
        <v>esf_politico-esforco</v>
      </c>
      <c r="J75" s="10"/>
      <c r="K75" s="10"/>
      <c r="L75" s="3" t="e">
        <f>IF(INDEX(GRAFO!$L$2:'GRAFO'!$L$46,MATCH(I75,GRAFO!$L$2:'GRAFO'!$L$46,0),1)&lt;&gt;0,1,0)</f>
        <v>#N/A</v>
      </c>
      <c r="M75" s="3">
        <f t="shared" si="7"/>
        <v>0</v>
      </c>
      <c r="O75" s="10" t="str">
        <f t="shared" si="2"/>
        <v>esf_politico-rdfs:subClassOf-esforco</v>
      </c>
      <c r="P75" s="10"/>
      <c r="Q75" s="10"/>
      <c r="R75" s="10"/>
      <c r="S75" s="10"/>
      <c r="T75" s="10" t="e">
        <f>IF(INDEX(GRAFO!$M$2:'GRAFO'!$M$46,MATCH(O75,GRAFO!$M$2:'GRAFO'!$M$46,0),1)&lt;&gt;0,1,0)</f>
        <v>#N/A</v>
      </c>
      <c r="U75" s="10">
        <f t="shared" si="8"/>
        <v>0</v>
      </c>
    </row>
    <row r="76" spans="1:21">
      <c r="A76" s="56"/>
      <c r="C76" s="9" t="e">
        <f t="shared" si="9"/>
        <v>#N/A</v>
      </c>
      <c r="D76" s="10" t="str">
        <f t="shared" si="3"/>
        <v>esf_diplomatico</v>
      </c>
      <c r="E76" s="10" t="str">
        <f t="shared" si="4"/>
        <v>rdfs:subClassOf</v>
      </c>
      <c r="F76" s="10" t="str">
        <f t="shared" si="5"/>
        <v>esforco</v>
      </c>
      <c r="G76" s="3" t="str">
        <f t="shared" si="6"/>
        <v>NOK</v>
      </c>
      <c r="I76" s="10" t="str">
        <f t="shared" si="1"/>
        <v>esf_diplomatico-esforco</v>
      </c>
      <c r="J76" s="10"/>
      <c r="K76" s="10"/>
      <c r="L76" s="3" t="e">
        <f>IF(INDEX(GRAFO!$L$2:'GRAFO'!$L$46,MATCH(I76,GRAFO!$L$2:'GRAFO'!$L$46,0),1)&lt;&gt;0,1,0)</f>
        <v>#N/A</v>
      </c>
      <c r="M76" s="3">
        <f t="shared" si="7"/>
        <v>0</v>
      </c>
      <c r="O76" s="10" t="str">
        <f t="shared" si="2"/>
        <v>esf_diplomatico-rdfs:subClassOf-esforco</v>
      </c>
      <c r="P76" s="10"/>
      <c r="Q76" s="10"/>
      <c r="R76" s="10"/>
      <c r="S76" s="10"/>
      <c r="T76" s="10" t="e">
        <f>IF(INDEX(GRAFO!$M$2:'GRAFO'!$M$46,MATCH(O76,GRAFO!$M$2:'GRAFO'!$M$46,0),1)&lt;&gt;0,1,0)</f>
        <v>#N/A</v>
      </c>
      <c r="U76" s="10">
        <f t="shared" si="8"/>
        <v>0</v>
      </c>
    </row>
    <row r="77" spans="1:21">
      <c r="A77" s="56"/>
      <c r="C77" s="9" t="e">
        <f t="shared" si="9"/>
        <v>#N/A</v>
      </c>
      <c r="D77" s="10" t="str">
        <f t="shared" si="3"/>
        <v>esf_economico</v>
      </c>
      <c r="E77" s="10" t="str">
        <f t="shared" si="4"/>
        <v>rdfs:subClassOf</v>
      </c>
      <c r="F77" s="10" t="str">
        <f t="shared" si="5"/>
        <v>esforco</v>
      </c>
      <c r="G77" s="3" t="str">
        <f t="shared" si="6"/>
        <v>NOK</v>
      </c>
      <c r="I77" s="10" t="str">
        <f t="shared" si="1"/>
        <v>esf_economico-esforco</v>
      </c>
      <c r="J77" s="10"/>
      <c r="K77" s="10"/>
      <c r="L77" s="3" t="e">
        <f>IF(INDEX(GRAFO!$L$2:'GRAFO'!$L$46,MATCH(I77,GRAFO!$L$2:'GRAFO'!$L$46,0),1)&lt;&gt;0,1,0)</f>
        <v>#N/A</v>
      </c>
      <c r="M77" s="3">
        <f t="shared" si="7"/>
        <v>0</v>
      </c>
      <c r="O77" s="10" t="str">
        <f t="shared" si="2"/>
        <v>esf_economico-rdfs:subClassOf-esforco</v>
      </c>
      <c r="P77" s="10"/>
      <c r="Q77" s="10"/>
      <c r="R77" s="10"/>
      <c r="S77" s="10"/>
      <c r="T77" s="10" t="e">
        <f>IF(INDEX(GRAFO!$M$2:'GRAFO'!$M$46,MATCH(O77,GRAFO!$M$2:'GRAFO'!$M$46,0),1)&lt;&gt;0,1,0)</f>
        <v>#N/A</v>
      </c>
      <c r="U77" s="10">
        <f t="shared" si="8"/>
        <v>0</v>
      </c>
    </row>
    <row r="78" spans="1:21">
      <c r="A78" s="56"/>
      <c r="C78" s="9" t="e">
        <f t="shared" si="9"/>
        <v>#N/A</v>
      </c>
      <c r="D78" s="10" t="str">
        <f t="shared" si="3"/>
        <v>dped</v>
      </c>
      <c r="E78" s="10" t="str">
        <f t="shared" si="4"/>
        <v>rdfs:subClassOf</v>
      </c>
      <c r="F78" s="10" t="str">
        <f t="shared" si="5"/>
        <v>diretriz</v>
      </c>
      <c r="G78" s="3" t="str">
        <f t="shared" si="6"/>
        <v>NOK</v>
      </c>
      <c r="I78" s="10" t="str">
        <f t="shared" si="1"/>
        <v>dped-diretriz</v>
      </c>
      <c r="J78" s="10"/>
      <c r="K78" s="10"/>
      <c r="L78" s="3" t="e">
        <f>IF(INDEX(GRAFO!$L$2:'GRAFO'!$L$46,MATCH(I78,GRAFO!$L$2:'GRAFO'!$L$46,0),1)&lt;&gt;0,1,0)</f>
        <v>#N/A</v>
      </c>
      <c r="M78" s="3">
        <f t="shared" si="7"/>
        <v>0</v>
      </c>
      <c r="O78" s="10" t="str">
        <f t="shared" si="2"/>
        <v>dped-rdfs:subClassOf-diretriz</v>
      </c>
      <c r="P78" s="10"/>
      <c r="Q78" s="10"/>
      <c r="R78" s="10"/>
      <c r="S78" s="10"/>
      <c r="T78" s="10" t="e">
        <f>IF(INDEX(GRAFO!$M$2:'GRAFO'!$M$46,MATCH(O78,GRAFO!$M$2:'GRAFO'!$M$46,0),1)&lt;&gt;0,1,0)</f>
        <v>#N/A</v>
      </c>
      <c r="U78" s="10">
        <f t="shared" si="8"/>
        <v>0</v>
      </c>
    </row>
    <row r="79" spans="1:21">
      <c r="A79" s="56"/>
      <c r="C79" s="9" t="e">
        <f t="shared" si="9"/>
        <v>#N/A</v>
      </c>
      <c r="D79" s="10" t="str">
        <f t="shared" si="3"/>
        <v>dmed</v>
      </c>
      <c r="E79" s="10" t="str">
        <f t="shared" si="4"/>
        <v>rdfs:subClassOf</v>
      </c>
      <c r="F79" s="10" t="str">
        <f t="shared" si="5"/>
        <v>diretriz</v>
      </c>
      <c r="G79" s="3" t="str">
        <f t="shared" si="6"/>
        <v>NOK</v>
      </c>
      <c r="I79" s="10" t="str">
        <f t="shared" si="1"/>
        <v>dmed-diretriz</v>
      </c>
      <c r="J79" s="10"/>
      <c r="K79" s="10"/>
      <c r="L79" s="3" t="e">
        <f>IF(INDEX(GRAFO!$L$2:'GRAFO'!$L$46,MATCH(I79,GRAFO!$L$2:'GRAFO'!$L$46,0),1)&lt;&gt;0,1,0)</f>
        <v>#N/A</v>
      </c>
      <c r="M79" s="3">
        <f t="shared" si="7"/>
        <v>0</v>
      </c>
      <c r="O79" s="10" t="str">
        <f t="shared" si="2"/>
        <v>dmed-rdfs:subClassOf-diretriz</v>
      </c>
      <c r="P79" s="10"/>
      <c r="Q79" s="10"/>
      <c r="R79" s="10"/>
      <c r="S79" s="10"/>
      <c r="T79" s="10" t="e">
        <f>IF(INDEX(GRAFO!$M$2:'GRAFO'!$M$46,MATCH(O79,GRAFO!$M$2:'GRAFO'!$M$46,0),1)&lt;&gt;0,1,0)</f>
        <v>#N/A</v>
      </c>
      <c r="U79" s="10">
        <f t="shared" si="8"/>
        <v>0</v>
      </c>
    </row>
    <row r="80" spans="1:21">
      <c r="A80" s="56"/>
      <c r="C80" s="9" t="str">
        <f t="shared" si="9"/>
        <v>OK</v>
      </c>
      <c r="D80" s="10" t="str">
        <f t="shared" si="3"/>
        <v>dped</v>
      </c>
      <c r="E80" s="10" t="str">
        <f t="shared" si="4"/>
        <v>rdfs:seeAlso</v>
      </c>
      <c r="F80" s="10" t="str">
        <f t="shared" si="5"/>
        <v>acoes_estrategicas</v>
      </c>
      <c r="G80" s="3" t="str">
        <f t="shared" si="6"/>
        <v>NOK</v>
      </c>
      <c r="I80" s="10" t="str">
        <f t="shared" si="1"/>
        <v>dped-acoes_estrategicas</v>
      </c>
      <c r="J80" s="10"/>
      <c r="K80" s="10"/>
      <c r="L80" s="3" t="e">
        <f>IF(INDEX(GRAFO!$L$2:'GRAFO'!$L$46,MATCH(I80,GRAFO!$L$2:'GRAFO'!$L$46,0),1)&lt;&gt;0,1,0)</f>
        <v>#N/A</v>
      </c>
      <c r="M80" s="3">
        <f t="shared" si="7"/>
        <v>0</v>
      </c>
      <c r="O80" s="10" t="str">
        <f t="shared" si="2"/>
        <v>dped-rdfs:seeAlso-acoes_estrategicas</v>
      </c>
      <c r="P80" s="10"/>
      <c r="Q80" s="10"/>
      <c r="R80" s="10"/>
      <c r="S80" s="10"/>
      <c r="T80" s="10" t="e">
        <f>IF(INDEX(GRAFO!$M$2:'GRAFO'!$M$46,MATCH(O80,GRAFO!$M$2:'GRAFO'!$M$46,0),1)&lt;&gt;0,1,0)</f>
        <v>#N/A</v>
      </c>
      <c r="U80" s="10">
        <f t="shared" si="8"/>
        <v>0</v>
      </c>
    </row>
    <row r="81" spans="1:21">
      <c r="A81" s="56"/>
      <c r="C81" s="9" t="e">
        <f t="shared" si="9"/>
        <v>#N/A</v>
      </c>
      <c r="D81" s="10" t="str">
        <f t="shared" si="3"/>
        <v>objetivos_politicos</v>
      </c>
      <c r="E81" s="10" t="str">
        <f t="shared" si="4"/>
        <v>rdfs:subClassOf</v>
      </c>
      <c r="F81" s="10" t="str">
        <f t="shared" si="5"/>
        <v>objetivos</v>
      </c>
      <c r="G81" s="3" t="str">
        <f t="shared" si="6"/>
        <v>NOK</v>
      </c>
      <c r="I81" s="10" t="str">
        <f t="shared" si="1"/>
        <v>objetivos_politicos-objetivos</v>
      </c>
      <c r="J81" s="10"/>
      <c r="K81" s="10"/>
      <c r="L81" s="3" t="e">
        <f>IF(INDEX(GRAFO!$L$2:'GRAFO'!$L$46,MATCH(I81,GRAFO!$L$2:'GRAFO'!$L$46,0),1)&lt;&gt;0,1,0)</f>
        <v>#N/A</v>
      </c>
      <c r="M81" s="3">
        <f t="shared" si="7"/>
        <v>0</v>
      </c>
      <c r="O81" s="10" t="str">
        <f t="shared" si="2"/>
        <v>objetivos_politicos-rdfs:subClassOf-objetivos</v>
      </c>
      <c r="P81" s="10"/>
      <c r="Q81" s="10"/>
      <c r="R81" s="10"/>
      <c r="S81" s="10"/>
      <c r="T81" s="10" t="e">
        <f>IF(INDEX(GRAFO!$M$2:'GRAFO'!$M$46,MATCH(O81,GRAFO!$M$2:'GRAFO'!$M$46,0),1)&lt;&gt;0,1,0)</f>
        <v>#N/A</v>
      </c>
      <c r="U81" s="10">
        <f t="shared" si="8"/>
        <v>0</v>
      </c>
    </row>
    <row r="82" spans="1:21">
      <c r="A82" s="56"/>
      <c r="D82" s="10" t="str">
        <f t="shared" si="3"/>
        <v>objetivos_operacionais</v>
      </c>
      <c r="E82" s="10" t="str">
        <f t="shared" si="4"/>
        <v>rdfs:subClassOf</v>
      </c>
      <c r="F82" s="10" t="str">
        <f t="shared" si="5"/>
        <v>objetivos</v>
      </c>
      <c r="G82" s="3" t="str">
        <f t="shared" si="6"/>
        <v>NOK</v>
      </c>
      <c r="I82" s="10" t="str">
        <f t="shared" si="1"/>
        <v>objetivos_operacionais-objetivos</v>
      </c>
      <c r="J82" s="10"/>
      <c r="K82" s="10"/>
      <c r="L82" s="3" t="e">
        <f>IF(INDEX(GRAFO!$L$2:'GRAFO'!$L$46,MATCH(I82,GRAFO!$L$2:'GRAFO'!$L$46,0),1)&lt;&gt;0,1,0)</f>
        <v>#N/A</v>
      </c>
      <c r="M82" s="3">
        <f t="shared" si="7"/>
        <v>0</v>
      </c>
      <c r="O82" s="10" t="str">
        <f t="shared" si="2"/>
        <v>objetivos_operacionais-rdfs:subClassOf-objetivos</v>
      </c>
      <c r="P82" s="10"/>
      <c r="Q82" s="10"/>
      <c r="R82" s="10"/>
      <c r="S82" s="10"/>
      <c r="T82" s="10" t="e">
        <f>IF(INDEX(GRAFO!$M$2:'GRAFO'!$M$46,MATCH(O82,GRAFO!$M$2:'GRAFO'!$M$46,0),1)&lt;&gt;0,1,0)</f>
        <v>#N/A</v>
      </c>
      <c r="U82" s="10">
        <f t="shared" si="8"/>
        <v>0</v>
      </c>
    </row>
    <row r="83" spans="1:21">
      <c r="D83" s="10" t="str">
        <f t="shared" si="3"/>
        <v>objetivos_taticos</v>
      </c>
      <c r="E83" s="10" t="str">
        <f t="shared" si="4"/>
        <v>rdfs:subClassOf</v>
      </c>
      <c r="F83" s="10" t="str">
        <f t="shared" si="5"/>
        <v>objetivos</v>
      </c>
      <c r="G83" s="3" t="str">
        <f t="shared" si="6"/>
        <v>NOK</v>
      </c>
      <c r="I83" s="10" t="str">
        <f t="shared" si="1"/>
        <v>objetivos_taticos-objetivos</v>
      </c>
      <c r="J83" s="10"/>
      <c r="K83" s="10"/>
      <c r="L83" s="3" t="e">
        <f>IF(INDEX(GRAFO!$L$2:'GRAFO'!$L$46,MATCH(I83,GRAFO!$L$2:'GRAFO'!$L$46,0),1)&lt;&gt;0,1,0)</f>
        <v>#N/A</v>
      </c>
      <c r="M83" s="3">
        <f t="shared" si="7"/>
        <v>0</v>
      </c>
      <c r="O83" s="10" t="str">
        <f t="shared" si="2"/>
        <v>objetivos_taticos-rdfs:subClassOf-objetivos</v>
      </c>
      <c r="P83" s="10"/>
      <c r="Q83" s="10"/>
      <c r="R83" s="10"/>
      <c r="S83" s="10"/>
      <c r="T83" s="10" t="e">
        <f>IF(INDEX(GRAFO!$M$2:'GRAFO'!$M$46,MATCH(O83,GRAFO!$M$2:'GRAFO'!$M$46,0),1)&lt;&gt;0,1,0)</f>
        <v>#N/A</v>
      </c>
      <c r="U83" s="10">
        <f t="shared" si="8"/>
        <v>0</v>
      </c>
    </row>
    <row r="84" spans="1:21">
      <c r="D84" s="10" t="str">
        <f t="shared" si="3"/>
        <v>objetivos_estrategicos</v>
      </c>
      <c r="E84" s="10" t="str">
        <f t="shared" si="4"/>
        <v>rdfs:subClassOf</v>
      </c>
      <c r="F84" s="10" t="str">
        <f t="shared" si="5"/>
        <v>objetivos</v>
      </c>
      <c r="G84" s="3" t="str">
        <f t="shared" si="6"/>
        <v>NOK</v>
      </c>
      <c r="I84" s="10" t="str">
        <f t="shared" si="1"/>
        <v>objetivos_estrategicos-objetivos</v>
      </c>
      <c r="J84" s="10"/>
      <c r="K84" s="10"/>
      <c r="L84" s="3" t="e">
        <f>IF(INDEX(GRAFO!$L$2:'GRAFO'!$L$46,MATCH(I84,GRAFO!$L$2:'GRAFO'!$L$46,0),1)&lt;&gt;0,1,0)</f>
        <v>#N/A</v>
      </c>
      <c r="M84" s="3">
        <f t="shared" si="7"/>
        <v>0</v>
      </c>
      <c r="O84" s="10" t="str">
        <f t="shared" si="2"/>
        <v>objetivos_estrategicos-rdfs:subClassOf-objetivos</v>
      </c>
      <c r="P84" s="10"/>
      <c r="Q84" s="10"/>
      <c r="R84" s="10"/>
      <c r="S84" s="10"/>
      <c r="T84" s="10" t="e">
        <f>IF(INDEX(GRAFO!$M$2:'GRAFO'!$M$46,MATCH(O84,GRAFO!$M$2:'GRAFO'!$M$46,0),1)&lt;&gt;0,1,0)</f>
        <v>#N/A</v>
      </c>
      <c r="U84" s="10">
        <f t="shared" si="8"/>
        <v>0</v>
      </c>
    </row>
    <row r="85" spans="1:21">
      <c r="D85" s="10" t="str">
        <f t="shared" si="3"/>
        <v>objetivos</v>
      </c>
      <c r="E85" s="10" t="str">
        <f t="shared" si="4"/>
        <v>rdfs:seeAlso</v>
      </c>
      <c r="F85" s="10" t="str">
        <f t="shared" si="5"/>
        <v>documentos</v>
      </c>
      <c r="G85" s="3" t="str">
        <f t="shared" si="6"/>
        <v>NOK</v>
      </c>
      <c r="I85" s="10" t="str">
        <f t="shared" si="1"/>
        <v>objetivos-documentos</v>
      </c>
      <c r="J85" s="10"/>
      <c r="K85" s="10"/>
      <c r="L85" s="3" t="e">
        <f>IF(INDEX(GRAFO!$L$2:'GRAFO'!$L$46,MATCH(I85,GRAFO!$L$2:'GRAFO'!$L$46,0),1)&lt;&gt;0,1,0)</f>
        <v>#N/A</v>
      </c>
      <c r="M85" s="3">
        <f t="shared" si="7"/>
        <v>0</v>
      </c>
      <c r="O85" s="10" t="str">
        <f t="shared" si="2"/>
        <v>objetivos-rdfs:seeAlso-documentos</v>
      </c>
      <c r="P85" s="10"/>
      <c r="Q85" s="10"/>
      <c r="R85" s="10"/>
      <c r="S85" s="10"/>
      <c r="T85" s="10" t="e">
        <f>IF(INDEX(GRAFO!$M$2:'GRAFO'!$M$46,MATCH(O85,GRAFO!$M$2:'GRAFO'!$M$46,0),1)&lt;&gt;0,1,0)</f>
        <v>#N/A</v>
      </c>
      <c r="U85" s="10">
        <f t="shared" si="8"/>
        <v>0</v>
      </c>
    </row>
    <row r="86" spans="1:21">
      <c r="D86" s="10" t="str">
        <f t="shared" si="3"/>
        <v>presidente_da_republica</v>
      </c>
      <c r="E86" s="10" t="str">
        <f t="shared" si="4"/>
        <v>c2rm:responsible_for</v>
      </c>
      <c r="F86" s="10" t="str">
        <f t="shared" si="5"/>
        <v>objetivos_politicos</v>
      </c>
      <c r="G86" s="3" t="str">
        <f t="shared" si="6"/>
        <v>OK</v>
      </c>
      <c r="I86" s="10" t="str">
        <f t="shared" si="1"/>
        <v>presidente_da_republica-objetivos_politicos</v>
      </c>
      <c r="J86" s="10"/>
      <c r="K86" s="10"/>
      <c r="L86" s="3">
        <f>IF(INDEX(GRAFO!$L$2:'GRAFO'!$L$46,MATCH(I86,GRAFO!$L$2:'GRAFO'!$L$46,0),1)&lt;&gt;0,1,0)</f>
        <v>1</v>
      </c>
      <c r="M86" s="3">
        <f t="shared" si="7"/>
        <v>1</v>
      </c>
      <c r="O86" s="10" t="str">
        <f t="shared" si="2"/>
        <v>presidente_da_republica-c2rm:responsible_for-objetivos_politicos</v>
      </c>
      <c r="P86" s="10"/>
      <c r="Q86" s="10"/>
      <c r="R86" s="10"/>
      <c r="S86" s="10"/>
      <c r="T86" s="10">
        <f>IF(INDEX(GRAFO!$M$2:'GRAFO'!$M$46,MATCH(O86,GRAFO!$M$2:'GRAFO'!$M$46,0),1)&lt;&gt;0,1,0)</f>
        <v>1</v>
      </c>
      <c r="U86" s="10">
        <f t="shared" si="8"/>
        <v>1</v>
      </c>
    </row>
    <row r="87" spans="1:21">
      <c r="D87" s="10" t="str">
        <f t="shared" si="3"/>
        <v>md</v>
      </c>
      <c r="E87" s="10" t="str">
        <f t="shared" si="4"/>
        <v>c2rm:responsible_for</v>
      </c>
      <c r="F87" s="10" t="str">
        <f t="shared" si="5"/>
        <v>objetivos_estrategicos</v>
      </c>
      <c r="G87" s="3" t="str">
        <f t="shared" si="6"/>
        <v>NOK</v>
      </c>
      <c r="I87" s="10" t="str">
        <f t="shared" si="1"/>
        <v>md-objetivos_estrategicos</v>
      </c>
      <c r="J87" s="10"/>
      <c r="K87" s="10"/>
      <c r="L87" s="3" t="e">
        <f>IF(INDEX(GRAFO!$L$2:'GRAFO'!$L$46,MATCH(I87,GRAFO!$L$2:'GRAFO'!$L$46,0),1)&lt;&gt;0,1,0)</f>
        <v>#N/A</v>
      </c>
      <c r="M87" s="3">
        <f t="shared" si="7"/>
        <v>0</v>
      </c>
      <c r="O87" s="10" t="str">
        <f t="shared" si="2"/>
        <v>md-c2rm:responsible_for-objetivos_estrategicos</v>
      </c>
      <c r="P87" s="10"/>
      <c r="Q87" s="10"/>
      <c r="R87" s="10"/>
      <c r="S87" s="10"/>
      <c r="T87" s="10" t="e">
        <f>IF(INDEX(GRAFO!$M$2:'GRAFO'!$M$46,MATCH(O87,GRAFO!$M$2:'GRAFO'!$M$46,0),1)&lt;&gt;0,1,0)</f>
        <v>#N/A</v>
      </c>
      <c r="U87" s="10">
        <f t="shared" si="8"/>
        <v>0</v>
      </c>
    </row>
    <row r="88" spans="1:21">
      <c r="D88" s="10" t="str">
        <f t="shared" si="3"/>
        <v>comandos_operacionais</v>
      </c>
      <c r="E88" s="10" t="str">
        <f t="shared" si="4"/>
        <v>c2rm:responsible_for</v>
      </c>
      <c r="F88" s="10" t="str">
        <f t="shared" si="5"/>
        <v>objetivos_operacionais</v>
      </c>
      <c r="G88" s="3" t="str">
        <f t="shared" si="6"/>
        <v>NOK</v>
      </c>
      <c r="I88" s="10" t="str">
        <f t="shared" si="1"/>
        <v>comandos_operacionais-objetivos_operacionais</v>
      </c>
      <c r="J88" s="10"/>
      <c r="K88" s="10"/>
      <c r="L88" s="3" t="e">
        <f>IF(INDEX(GRAFO!$L$2:'GRAFO'!$L$46,MATCH(I88,GRAFO!$L$2:'GRAFO'!$L$46,0),1)&lt;&gt;0,1,0)</f>
        <v>#N/A</v>
      </c>
      <c r="M88" s="3">
        <f t="shared" si="7"/>
        <v>0</v>
      </c>
      <c r="O88" s="10" t="str">
        <f t="shared" si="2"/>
        <v>comandos_operacionais-c2rm:responsible_for-objetivos_operacionais</v>
      </c>
      <c r="P88" s="10"/>
      <c r="Q88" s="10"/>
      <c r="R88" s="10"/>
      <c r="S88" s="10"/>
      <c r="T88" s="10" t="e">
        <f>IF(INDEX(GRAFO!$M$2:'GRAFO'!$M$46,MATCH(O88,GRAFO!$M$2:'GRAFO'!$M$46,0),1)&lt;&gt;0,1,0)</f>
        <v>#N/A</v>
      </c>
      <c r="U88" s="10">
        <f t="shared" si="8"/>
        <v>0</v>
      </c>
    </row>
    <row r="89" spans="1:21">
      <c r="D89" s="10" t="str">
        <f t="shared" si="3"/>
        <v>forca_conjunta</v>
      </c>
      <c r="E89" s="10" t="str">
        <f t="shared" si="4"/>
        <v>c2rm:responsible_for</v>
      </c>
      <c r="F89" s="10" t="str">
        <f t="shared" si="5"/>
        <v>objetivos_taticos</v>
      </c>
      <c r="G89" s="3" t="str">
        <f t="shared" si="6"/>
        <v>NOK</v>
      </c>
      <c r="I89" s="10" t="str">
        <f t="shared" si="1"/>
        <v>forca_conjunta-objetivos_taticos</v>
      </c>
      <c r="J89" s="10"/>
      <c r="K89" s="10"/>
      <c r="L89" s="3" t="e">
        <f>IF(INDEX(GRAFO!$L$2:'GRAFO'!$L$46,MATCH(I89,GRAFO!$L$2:'GRAFO'!$L$46,0),1)&lt;&gt;0,1,0)</f>
        <v>#N/A</v>
      </c>
      <c r="M89" s="3">
        <f t="shared" si="7"/>
        <v>0</v>
      </c>
      <c r="O89" s="10" t="str">
        <f t="shared" si="2"/>
        <v>forca_conjunta-c2rm:responsible_for-objetivos_taticos</v>
      </c>
      <c r="P89" s="10"/>
      <c r="Q89" s="10"/>
      <c r="R89" s="10"/>
      <c r="S89" s="10"/>
      <c r="T89" s="10" t="e">
        <f>IF(INDEX(GRAFO!$M$2:'GRAFO'!$M$46,MATCH(O89,GRAFO!$M$2:'GRAFO'!$M$46,0),1)&lt;&gt;0,1,0)</f>
        <v>#N/A</v>
      </c>
      <c r="U89" s="10">
        <f t="shared" si="8"/>
        <v>0</v>
      </c>
    </row>
    <row r="90" spans="1:21">
      <c r="D90" s="10" t="str">
        <f t="shared" si="3"/>
        <v>presidente_da_republica</v>
      </c>
      <c r="E90" s="10" t="str">
        <f t="shared" si="4"/>
        <v>c2rm:responsible_for</v>
      </c>
      <c r="F90" s="10" t="str">
        <f t="shared" si="5"/>
        <v>dped</v>
      </c>
      <c r="G90" s="3" t="str">
        <f t="shared" si="6"/>
        <v>NOK</v>
      </c>
      <c r="I90" s="10" t="str">
        <f t="shared" si="1"/>
        <v>presidente_da_republica-dped</v>
      </c>
      <c r="J90" s="10"/>
      <c r="K90" s="10"/>
      <c r="L90" s="3" t="e">
        <f>IF(INDEX(GRAFO!$L$2:'GRAFO'!$L$46,MATCH(I90,GRAFO!$L$2:'GRAFO'!$L$46,0),1)&lt;&gt;0,1,0)</f>
        <v>#N/A</v>
      </c>
      <c r="M90" s="3">
        <f t="shared" si="7"/>
        <v>0</v>
      </c>
      <c r="O90" s="10" t="str">
        <f t="shared" si="2"/>
        <v>presidente_da_republica-c2rm:responsible_for-dped</v>
      </c>
      <c r="P90" s="10"/>
      <c r="Q90" s="10"/>
      <c r="R90" s="10"/>
      <c r="S90" s="10"/>
      <c r="T90" s="10" t="e">
        <f>IF(INDEX(GRAFO!$M$2:'GRAFO'!$M$46,MATCH(O90,GRAFO!$M$2:'GRAFO'!$M$46,0),1)&lt;&gt;0,1,0)</f>
        <v>#N/A</v>
      </c>
      <c r="U90" s="10">
        <f t="shared" si="8"/>
        <v>0</v>
      </c>
    </row>
    <row r="91" spans="1:21">
      <c r="D91" s="10" t="str">
        <f t="shared" si="3"/>
        <v>md</v>
      </c>
      <c r="E91" s="10" t="str">
        <f t="shared" si="4"/>
        <v>c2rm:responsible_for</v>
      </c>
      <c r="F91" s="10" t="str">
        <f t="shared" si="5"/>
        <v>dmed</v>
      </c>
      <c r="G91" s="3" t="str">
        <f t="shared" si="6"/>
        <v>NOK</v>
      </c>
      <c r="I91" s="10" t="str">
        <f t="shared" si="1"/>
        <v>md-dmed</v>
      </c>
      <c r="J91" s="10"/>
      <c r="K91" s="10"/>
      <c r="L91" s="3" t="e">
        <f>IF(INDEX(GRAFO!$L$2:'GRAFO'!$L$46,MATCH(I91,GRAFO!$L$2:'GRAFO'!$L$46,0),1)&lt;&gt;0,1,0)</f>
        <v>#N/A</v>
      </c>
      <c r="M91" s="3">
        <f t="shared" si="7"/>
        <v>0</v>
      </c>
      <c r="O91" s="10" t="str">
        <f t="shared" si="2"/>
        <v>md-c2rm:responsible_for-dmed</v>
      </c>
      <c r="P91" s="10"/>
      <c r="Q91" s="10"/>
      <c r="R91" s="10"/>
      <c r="S91" s="10"/>
      <c r="T91" s="10" t="e">
        <f>IF(INDEX(GRAFO!$M$2:'GRAFO'!$M$46,MATCH(O91,GRAFO!$M$2:'GRAFO'!$M$46,0),1)&lt;&gt;0,1,0)</f>
        <v>#N/A</v>
      </c>
      <c r="U91" s="10">
        <f t="shared" si="8"/>
        <v>0</v>
      </c>
    </row>
    <row r="92" spans="1:21">
      <c r="D92" s="10" t="str">
        <f t="shared" si="3"/>
        <v>md</v>
      </c>
      <c r="E92" s="10" t="str">
        <f t="shared" si="4"/>
        <v>c2rm:responsible_for</v>
      </c>
      <c r="F92" s="10" t="str">
        <f t="shared" si="5"/>
        <v>plano_estrategico</v>
      </c>
      <c r="G92" s="3" t="str">
        <f t="shared" si="6"/>
        <v>NOK</v>
      </c>
      <c r="I92" s="10" t="str">
        <f t="shared" si="1"/>
        <v>md-plano_estrategico</v>
      </c>
      <c r="J92" s="10"/>
      <c r="K92" s="10"/>
      <c r="L92" s="3" t="e">
        <f>IF(INDEX(GRAFO!$L$2:'GRAFO'!$L$46,MATCH(I92,GRAFO!$L$2:'GRAFO'!$L$46,0),1)&lt;&gt;0,1,0)</f>
        <v>#N/A</v>
      </c>
      <c r="M92" s="3">
        <f t="shared" si="7"/>
        <v>0</v>
      </c>
      <c r="O92" s="10" t="str">
        <f t="shared" si="2"/>
        <v>md-c2rm:responsible_for-plano_estrategico</v>
      </c>
      <c r="P92" s="10"/>
      <c r="Q92" s="10"/>
      <c r="R92" s="10"/>
      <c r="S92" s="10"/>
      <c r="T92" s="10" t="e">
        <f>IF(INDEX(GRAFO!$M$2:'GRAFO'!$M$46,MATCH(O92,GRAFO!$M$2:'GRAFO'!$M$46,0),1)&lt;&gt;0,1,0)</f>
        <v>#N/A</v>
      </c>
      <c r="U92" s="10">
        <f t="shared" si="8"/>
        <v>0</v>
      </c>
    </row>
    <row r="93" spans="1:21">
      <c r="D93" s="10" t="str">
        <f t="shared" si="3"/>
        <v>comandos_operacionais</v>
      </c>
      <c r="E93" s="10" t="str">
        <f t="shared" si="4"/>
        <v>c2rm:responsible_for</v>
      </c>
      <c r="F93" s="10" t="str">
        <f t="shared" si="5"/>
        <v>plano_operacional</v>
      </c>
      <c r="G93" s="3" t="str">
        <f t="shared" si="6"/>
        <v>NOK</v>
      </c>
      <c r="I93" s="10" t="str">
        <f t="shared" si="1"/>
        <v>comandos_operacionais-plano_operacional</v>
      </c>
      <c r="J93" s="10"/>
      <c r="K93" s="10"/>
      <c r="L93" s="3" t="e">
        <f>IF(INDEX(GRAFO!$L$2:'GRAFO'!$L$46,MATCH(I93,GRAFO!$L$2:'GRAFO'!$L$46,0),1)&lt;&gt;0,1,0)</f>
        <v>#N/A</v>
      </c>
      <c r="M93" s="3">
        <f t="shared" si="7"/>
        <v>0</v>
      </c>
      <c r="O93" s="10" t="str">
        <f t="shared" si="2"/>
        <v>comandos_operacionais-c2rm:responsible_for-plano_operacional</v>
      </c>
      <c r="P93" s="10"/>
      <c r="Q93" s="10"/>
      <c r="R93" s="10"/>
      <c r="S93" s="10"/>
      <c r="T93" s="10" t="e">
        <f>IF(INDEX(GRAFO!$M$2:'GRAFO'!$M$46,MATCH(O93,GRAFO!$M$2:'GRAFO'!$M$46,0),1)&lt;&gt;0,1,0)</f>
        <v>#N/A</v>
      </c>
      <c r="U93" s="10">
        <f t="shared" si="8"/>
        <v>0</v>
      </c>
    </row>
    <row r="94" spans="1:21">
      <c r="D94" s="10" t="str">
        <f t="shared" si="3"/>
        <v>forca_conjunta</v>
      </c>
      <c r="E94" s="10" t="str">
        <f t="shared" si="4"/>
        <v>c2rm:responsible_for</v>
      </c>
      <c r="F94" s="10" t="str">
        <f t="shared" si="5"/>
        <v>plano_tatico</v>
      </c>
      <c r="G94" s="3" t="str">
        <f t="shared" si="6"/>
        <v>NOK</v>
      </c>
      <c r="I94" s="10" t="str">
        <f t="shared" si="1"/>
        <v>forca_conjunta-plano_tatico</v>
      </c>
      <c r="J94" s="10"/>
      <c r="K94" s="10"/>
      <c r="L94" s="3" t="e">
        <f>IF(INDEX(GRAFO!$L$2:'GRAFO'!$L$46,MATCH(I94,GRAFO!$L$2:'GRAFO'!$L$46,0),1)&lt;&gt;0,1,0)</f>
        <v>#N/A</v>
      </c>
      <c r="M94" s="3">
        <f t="shared" si="7"/>
        <v>0</v>
      </c>
      <c r="O94" s="10" t="str">
        <f t="shared" si="2"/>
        <v>forca_conjunta-c2rm:responsible_for-plano_tatico</v>
      </c>
      <c r="P94" s="10"/>
      <c r="Q94" s="10"/>
      <c r="R94" s="10"/>
      <c r="S94" s="10"/>
      <c r="T94" s="10" t="e">
        <f>IF(INDEX(GRAFO!$M$2:'GRAFO'!$M$46,MATCH(O94,GRAFO!$M$2:'GRAFO'!$M$46,0),1)&lt;&gt;0,1,0)</f>
        <v>#N/A</v>
      </c>
      <c r="U94" s="10">
        <f t="shared" si="8"/>
        <v>0</v>
      </c>
    </row>
    <row r="95" spans="1:21">
      <c r="D95" s="10" t="str">
        <f t="shared" si="3"/>
        <v>forca_componente</v>
      </c>
      <c r="E95" s="10" t="str">
        <f t="shared" si="4"/>
        <v>c2rm:responsible_for</v>
      </c>
      <c r="F95" s="10" t="str">
        <f t="shared" si="5"/>
        <v>plano_tatico</v>
      </c>
      <c r="G95" s="3" t="str">
        <f t="shared" si="6"/>
        <v>NOK</v>
      </c>
      <c r="I95" s="10" t="str">
        <f t="shared" si="1"/>
        <v>forca_componente-plano_tatico</v>
      </c>
      <c r="J95" s="10"/>
      <c r="K95" s="10"/>
      <c r="L95" s="3" t="e">
        <f>IF(INDEX(GRAFO!$L$2:'GRAFO'!$L$46,MATCH(I95,GRAFO!$L$2:'GRAFO'!$L$46,0),1)&lt;&gt;0,1,0)</f>
        <v>#N/A</v>
      </c>
      <c r="M95" s="3">
        <f t="shared" si="7"/>
        <v>0</v>
      </c>
      <c r="O95" s="10" t="str">
        <f t="shared" si="2"/>
        <v>forca_componente-c2rm:responsible_for-plano_tatico</v>
      </c>
      <c r="P95" s="10"/>
      <c r="Q95" s="10"/>
      <c r="R95" s="10"/>
      <c r="S95" s="10"/>
      <c r="T95" s="10" t="e">
        <f>IF(INDEX(GRAFO!$M$2:'GRAFO'!$M$46,MATCH(O95,GRAFO!$M$2:'GRAFO'!$M$46,0),1)&lt;&gt;0,1,0)</f>
        <v>#N/A</v>
      </c>
      <c r="U95" s="10">
        <f t="shared" si="8"/>
        <v>0</v>
      </c>
    </row>
    <row r="96" spans="1:21">
      <c r="D96" s="10" t="str">
        <f t="shared" si="3"/>
        <v>operacao</v>
      </c>
      <c r="E96" s="10" t="str">
        <f t="shared" si="4"/>
        <v>c2rm:occurs_in</v>
      </c>
      <c r="F96" s="10" t="str">
        <f t="shared" si="5"/>
        <v>area_de_operacoes</v>
      </c>
      <c r="G96" s="3" t="str">
        <f t="shared" si="6"/>
        <v>NOK</v>
      </c>
      <c r="I96" s="10" t="str">
        <f t="shared" si="1"/>
        <v>operacao-area_de_operacoes</v>
      </c>
      <c r="J96" s="10"/>
      <c r="K96" s="10"/>
      <c r="L96" s="3" t="e">
        <f>IF(INDEX(GRAFO!$L$2:'GRAFO'!$L$46,MATCH(I96,GRAFO!$L$2:'GRAFO'!$L$46,0),1)&lt;&gt;0,1,0)</f>
        <v>#N/A</v>
      </c>
      <c r="M96" s="3">
        <f t="shared" si="7"/>
        <v>0</v>
      </c>
      <c r="O96" s="10" t="str">
        <f t="shared" si="2"/>
        <v>operacao-c2rm:occurs_in-area_de_operacoes</v>
      </c>
      <c r="P96" s="10"/>
      <c r="Q96" s="10"/>
      <c r="R96" s="10"/>
      <c r="S96" s="10"/>
      <c r="T96" s="10" t="e">
        <f>IF(INDEX(GRAFO!$M$2:'GRAFO'!$M$46,MATCH(O96,GRAFO!$M$2:'GRAFO'!$M$46,0),1)&lt;&gt;0,1,0)</f>
        <v>#N/A</v>
      </c>
      <c r="U96" s="10">
        <f t="shared" si="8"/>
        <v>0</v>
      </c>
    </row>
    <row r="97" spans="4:21">
      <c r="D97" s="10" t="str">
        <f t="shared" si="3"/>
        <v>plano_tatico</v>
      </c>
      <c r="E97" s="10" t="str">
        <f t="shared" si="4"/>
        <v>rdfs:seeAlso</v>
      </c>
      <c r="F97" s="10" t="str">
        <f t="shared" si="5"/>
        <v>area_de_resp_interesse</v>
      </c>
      <c r="G97" s="3" t="str">
        <f t="shared" si="6"/>
        <v>NOK</v>
      </c>
      <c r="I97" s="10" t="str">
        <f t="shared" si="1"/>
        <v>plano_tatico-area_de_resp_interesse</v>
      </c>
      <c r="J97" s="10"/>
      <c r="K97" s="10"/>
      <c r="L97" s="3" t="e">
        <f>IF(INDEX(GRAFO!$L$2:'GRAFO'!$L$46,MATCH(I97,GRAFO!$L$2:'GRAFO'!$L$46,0),1)&lt;&gt;0,1,0)</f>
        <v>#N/A</v>
      </c>
      <c r="M97" s="3">
        <f t="shared" si="7"/>
        <v>0</v>
      </c>
      <c r="O97" s="10" t="str">
        <f t="shared" si="2"/>
        <v>plano_tatico-rdfs:seeAlso-area_de_resp_interesse</v>
      </c>
      <c r="P97" s="10"/>
      <c r="Q97" s="10"/>
      <c r="R97" s="10"/>
      <c r="S97" s="10"/>
      <c r="T97" s="10" t="e">
        <f>IF(INDEX(GRAFO!$M$2:'GRAFO'!$M$46,MATCH(O97,GRAFO!$M$2:'GRAFO'!$M$46,0),1)&lt;&gt;0,1,0)</f>
        <v>#N/A</v>
      </c>
      <c r="U97" s="10">
        <f t="shared" si="8"/>
        <v>0</v>
      </c>
    </row>
    <row r="98" spans="4:21">
      <c r="D98" s="10" t="str">
        <f t="shared" si="3"/>
        <v>operacao_conjunta</v>
      </c>
      <c r="E98" s="10" t="str">
        <f t="shared" si="4"/>
        <v>rdfs:seeAlso</v>
      </c>
      <c r="F98" s="10" t="str">
        <f t="shared" si="5"/>
        <v>esf_economico</v>
      </c>
      <c r="G98" s="3" t="str">
        <f t="shared" si="6"/>
        <v>NOK</v>
      </c>
      <c r="I98" s="10" t="str">
        <f t="shared" si="1"/>
        <v>operacao_conjunta-esf_economico</v>
      </c>
      <c r="J98" s="10"/>
      <c r="K98" s="10"/>
      <c r="L98" s="3" t="e">
        <f>IF(INDEX(GRAFO!$L$2:'GRAFO'!$L$46,MATCH(I98,GRAFO!$L$2:'GRAFO'!$L$46,0),1)&lt;&gt;0,1,0)</f>
        <v>#N/A</v>
      </c>
      <c r="M98" s="3">
        <f t="shared" si="7"/>
        <v>0</v>
      </c>
      <c r="O98" s="10" t="str">
        <f t="shared" si="2"/>
        <v>operacao_conjunta-rdfs:seeAlso-esf_economico</v>
      </c>
      <c r="P98" s="10"/>
      <c r="Q98" s="10"/>
      <c r="R98" s="10"/>
      <c r="S98" s="10"/>
      <c r="T98" s="10" t="e">
        <f>IF(INDEX(GRAFO!$M$2:'GRAFO'!$M$46,MATCH(O98,GRAFO!$M$2:'GRAFO'!$M$46,0),1)&lt;&gt;0,1,0)</f>
        <v>#N/A</v>
      </c>
      <c r="U98" s="10">
        <f t="shared" si="8"/>
        <v>0</v>
      </c>
    </row>
    <row r="99" spans="4:21">
      <c r="D99" s="10" t="str">
        <f t="shared" si="3"/>
        <v>comandos_operacionais</v>
      </c>
      <c r="E99" s="10" t="str">
        <f t="shared" si="4"/>
        <v>rdfs:seeAlso</v>
      </c>
      <c r="F99" s="10" t="str">
        <f t="shared" si="5"/>
        <v>esf_politico</v>
      </c>
      <c r="G99" s="3" t="str">
        <f t="shared" si="6"/>
        <v>NOK</v>
      </c>
      <c r="I99" s="10" t="str">
        <f t="shared" si="1"/>
        <v>comandos_operacionais-esf_politico</v>
      </c>
      <c r="J99" s="10"/>
      <c r="K99" s="10"/>
      <c r="L99" s="3" t="e">
        <f>IF(INDEX(GRAFO!$L$2:'GRAFO'!$L$46,MATCH(I99,GRAFO!$L$2:'GRAFO'!$L$46,0),1)&lt;&gt;0,1,0)</f>
        <v>#N/A</v>
      </c>
      <c r="M99" s="3">
        <f t="shared" si="7"/>
        <v>0</v>
      </c>
      <c r="O99" s="10" t="str">
        <f t="shared" si="2"/>
        <v>comandos_operacionais-rdfs:seeAlso-esf_politico</v>
      </c>
      <c r="P99" s="10"/>
      <c r="Q99" s="10"/>
      <c r="R99" s="10"/>
      <c r="S99" s="10"/>
      <c r="T99" s="10" t="e">
        <f>IF(INDEX(GRAFO!$M$2:'GRAFO'!$M$46,MATCH(O99,GRAFO!$M$2:'GRAFO'!$M$46,0),1)&lt;&gt;0,1,0)</f>
        <v>#N/A</v>
      </c>
      <c r="U99" s="10">
        <f t="shared" si="8"/>
        <v>0</v>
      </c>
    </row>
    <row r="100" spans="4:21">
      <c r="D100" s="10" t="str">
        <f t="shared" si="3"/>
        <v>presidente_da_republica</v>
      </c>
      <c r="E100" s="10" t="str">
        <f t="shared" si="4"/>
        <v>rdfs:seeAlso</v>
      </c>
      <c r="F100" s="10" t="str">
        <f t="shared" si="5"/>
        <v>politico</v>
      </c>
      <c r="G100" s="3" t="str">
        <f t="shared" si="6"/>
        <v>OK</v>
      </c>
      <c r="I100" s="10" t="str">
        <f t="shared" si="1"/>
        <v>presidente_da_republica-politico</v>
      </c>
      <c r="J100" s="10"/>
      <c r="K100" s="10"/>
      <c r="L100" s="3">
        <f>IF(INDEX(GRAFO!$L$2:'GRAFO'!$L$46,MATCH(I100,GRAFO!$L$2:'GRAFO'!$L$46,0),1)&lt;&gt;0,1,0)</f>
        <v>1</v>
      </c>
      <c r="M100" s="3">
        <f t="shared" si="7"/>
        <v>1</v>
      </c>
      <c r="O100" s="10" t="str">
        <f t="shared" si="2"/>
        <v>presidente_da_republica-rdfs:seeAlso-politico</v>
      </c>
      <c r="P100" s="10"/>
      <c r="Q100" s="10"/>
      <c r="R100" s="10"/>
      <c r="S100" s="10"/>
      <c r="T100" s="10" t="e">
        <f>IF(INDEX(GRAFO!$M$2:'GRAFO'!$M$46,MATCH(O100,GRAFO!$M$2:'GRAFO'!$M$46,0),1)&lt;&gt;0,1,0)</f>
        <v>#N/A</v>
      </c>
      <c r="U100" s="10">
        <f t="shared" si="8"/>
        <v>0</v>
      </c>
    </row>
    <row r="101" spans="4:21">
      <c r="D101" s="10" t="str">
        <f t="shared" si="3"/>
        <v>md</v>
      </c>
      <c r="E101" s="10" t="str">
        <f t="shared" si="4"/>
        <v>rdfs:seeAlso</v>
      </c>
      <c r="F101" s="10" t="str">
        <f t="shared" si="5"/>
        <v>estrategico</v>
      </c>
      <c r="G101" s="3" t="str">
        <f t="shared" si="6"/>
        <v>OK</v>
      </c>
      <c r="I101" s="10" t="str">
        <f t="shared" si="1"/>
        <v>md-estrategico</v>
      </c>
      <c r="J101" s="10"/>
      <c r="K101" s="10"/>
      <c r="L101" s="3" t="e">
        <f>IF(INDEX(GRAFO!$L$2:'GRAFO'!$L$46,MATCH(I101,GRAFO!$L$2:'GRAFO'!$L$46,0),1)&lt;&gt;0,1,0)</f>
        <v>#N/A</v>
      </c>
      <c r="M101" s="3">
        <f t="shared" si="7"/>
        <v>0</v>
      </c>
      <c r="O101" s="10" t="str">
        <f t="shared" si="2"/>
        <v>md-rdfs:seeAlso-estrategico</v>
      </c>
      <c r="P101" s="10"/>
      <c r="Q101" s="10"/>
      <c r="R101" s="10"/>
      <c r="S101" s="10"/>
      <c r="T101" s="10" t="e">
        <f>IF(INDEX(GRAFO!$M$2:'GRAFO'!$M$46,MATCH(O101,GRAFO!$M$2:'GRAFO'!$M$46,0),1)&lt;&gt;0,1,0)</f>
        <v>#N/A</v>
      </c>
      <c r="U101" s="10">
        <f t="shared" si="8"/>
        <v>0</v>
      </c>
    </row>
    <row r="102" spans="4:21">
      <c r="D102" s="10" t="str">
        <f t="shared" si="3"/>
        <v>forca_conjunta</v>
      </c>
      <c r="E102" s="10" t="str">
        <f t="shared" si="4"/>
        <v>rdfs:seeAlso</v>
      </c>
      <c r="F102" s="10" t="str">
        <f t="shared" si="5"/>
        <v>operacional</v>
      </c>
      <c r="G102" s="3" t="str">
        <f t="shared" si="6"/>
        <v>OK</v>
      </c>
      <c r="I102" s="10" t="str">
        <f t="shared" si="1"/>
        <v>forca_conjunta-operacional</v>
      </c>
      <c r="J102" s="10"/>
      <c r="K102" s="10"/>
      <c r="L102" s="3" t="e">
        <f>IF(INDEX(GRAFO!$L$2:'GRAFO'!$L$46,MATCH(I102,GRAFO!$L$2:'GRAFO'!$L$46,0),1)&lt;&gt;0,1,0)</f>
        <v>#N/A</v>
      </c>
      <c r="M102" s="3">
        <f t="shared" si="7"/>
        <v>0</v>
      </c>
      <c r="O102" s="10" t="str">
        <f t="shared" si="2"/>
        <v>forca_conjunta-rdfs:seeAlso-operacional</v>
      </c>
      <c r="P102" s="10"/>
      <c r="Q102" s="10"/>
      <c r="R102" s="10"/>
      <c r="S102" s="10"/>
      <c r="T102" s="10" t="e">
        <f>IF(INDEX(GRAFO!$M$2:'GRAFO'!$M$46,MATCH(O102,GRAFO!$M$2:'GRAFO'!$M$46,0),1)&lt;&gt;0,1,0)</f>
        <v>#N/A</v>
      </c>
      <c r="U102" s="10">
        <f t="shared" si="8"/>
        <v>0</v>
      </c>
    </row>
    <row r="103" spans="4:21">
      <c r="D103" s="10" t="str">
        <f t="shared" si="3"/>
        <v>comandos_operacionais</v>
      </c>
      <c r="E103" s="10" t="str">
        <f t="shared" si="4"/>
        <v>rdfs:seeAlso</v>
      </c>
      <c r="F103" s="10" t="str">
        <f t="shared" si="5"/>
        <v>tatico</v>
      </c>
      <c r="G103" s="3" t="str">
        <f t="shared" si="6"/>
        <v>OK</v>
      </c>
    </row>
    <row r="104" spans="4:21">
      <c r="D104" s="10"/>
      <c r="E104" s="10"/>
      <c r="F104" s="10"/>
      <c r="G104" s="3"/>
    </row>
    <row r="105" spans="4:21">
      <c r="D105" s="10"/>
      <c r="E105" s="10"/>
      <c r="F105" s="10"/>
      <c r="G105" s="3"/>
    </row>
    <row r="106" spans="4:21">
      <c r="D106" s="10"/>
      <c r="E106" s="10"/>
      <c r="F106" s="10"/>
      <c r="G106" s="3"/>
    </row>
    <row r="107" spans="4:21">
      <c r="D107" s="10"/>
      <c r="E107" s="10"/>
      <c r="F107" s="10"/>
      <c r="G107" s="3"/>
    </row>
    <row r="108" spans="4:21">
      <c r="D108" s="10"/>
      <c r="E108" s="10"/>
      <c r="F108" s="10"/>
      <c r="G108" s="3"/>
    </row>
    <row r="109" spans="4:21">
      <c r="D109" s="10"/>
      <c r="E109" s="10"/>
      <c r="F109" s="10"/>
      <c r="G109" s="3"/>
    </row>
    <row r="110" spans="4:21">
      <c r="D110" s="10"/>
      <c r="E110" s="10"/>
      <c r="F110" s="10"/>
      <c r="G110" s="3"/>
    </row>
    <row r="111" spans="4:21">
      <c r="D111" s="10"/>
      <c r="E111" s="10"/>
      <c r="F111" s="10"/>
      <c r="G111" s="3"/>
    </row>
    <row r="112" spans="4:21">
      <c r="D112" s="10"/>
      <c r="E112" s="10"/>
      <c r="F112" s="10"/>
      <c r="G112" s="3"/>
    </row>
    <row r="113" spans="4:7">
      <c r="D113" s="10"/>
      <c r="E113" s="10"/>
      <c r="F113" s="10"/>
      <c r="G113" s="3"/>
    </row>
    <row r="114" spans="4:7">
      <c r="D114" s="10"/>
      <c r="E114" s="10"/>
      <c r="F114" s="10"/>
      <c r="G114" s="3"/>
    </row>
    <row r="115" spans="4:7">
      <c r="D115" s="10"/>
      <c r="E115" s="10"/>
      <c r="F115" s="10"/>
      <c r="G115" s="3"/>
    </row>
    <row r="116" spans="4:7">
      <c r="D116" s="10"/>
      <c r="E116" s="10"/>
      <c r="F116" s="10"/>
      <c r="G116" s="3"/>
    </row>
  </sheetData>
  <mergeCells count="10">
    <mergeCell ref="I57:K57"/>
    <mergeCell ref="L57:M57"/>
    <mergeCell ref="O57:S57"/>
    <mergeCell ref="T57:U57"/>
    <mergeCell ref="A1:B1"/>
    <mergeCell ref="D1:F1"/>
    <mergeCell ref="K4:K5"/>
    <mergeCell ref="D56:G56"/>
    <mergeCell ref="I56:M56"/>
    <mergeCell ref="O56:U56"/>
  </mergeCells>
  <dataValidations count="13">
    <dataValidation type="list" allowBlank="1" showInputMessage="1" showErrorMessage="1" sqref="F7:F9 D4:D9 F46:F48">
      <formula1>$A$3:$A$35</formula1>
    </dataValidation>
    <dataValidation type="list" allowBlank="1" showInputMessage="1" showErrorMessage="1" sqref="F56:G56">
      <formula1>$A$3:$A$27</formula1>
    </dataValidation>
    <dataValidation type="list" allowBlank="1" showInputMessage="1" showErrorMessage="1" sqref="C3:C55 B4:B55">
      <formula1>$Y$3:$Y$57</formula1>
    </dataValidation>
    <dataValidation type="list" allowBlank="1" showInputMessage="1" showErrorMessage="1" sqref="H3:H62 G3:G55">
      <formula1>$A$3:$A$22</formula1>
    </dataValidation>
    <dataValidation type="list" allowBlank="1" showInputMessage="1" showErrorMessage="1" sqref="B58:B74">
      <formula1>$AE$2:$AE$12</formula1>
    </dataValidation>
    <dataValidation type="list" allowBlank="1" showInputMessage="1" showErrorMessage="1" sqref="F55 D55">
      <formula1>$A$3:$A$28</formula1>
    </dataValidation>
    <dataValidation type="list" allowBlank="1" showInputMessage="1" showErrorMessage="1" sqref="E55">
      <formula1>$A$58:$A$66</formula1>
    </dataValidation>
    <dataValidation type="list" allowBlank="1" showInputMessage="1" showErrorMessage="1" sqref="B3">
      <formula1>$Y$3:$Y$31</formula1>
    </dataValidation>
    <dataValidation type="list" allowBlank="1" showInputMessage="1" showErrorMessage="1" sqref="D3 F3:F6 F45">
      <formula1>$A$3:$A$45</formula1>
    </dataValidation>
    <dataValidation type="list" allowBlank="1" showInputMessage="1" showErrorMessage="1" sqref="E3:E24 E26:E29">
      <formula1>$A$58:$A$67</formula1>
    </dataValidation>
    <dataValidation type="list" allowBlank="1" showInputMessage="1" showErrorMessage="1" sqref="D10:D54 F10:F44 F49:F54">
      <formula1>$A$3:$A$44</formula1>
    </dataValidation>
    <dataValidation type="list" allowBlank="1" showInputMessage="1" showErrorMessage="1" sqref="E25 E30:E34 E36:E37">
      <formula1>$A$58:$A$68</formula1>
    </dataValidation>
    <dataValidation type="list" allowBlank="1" showInputMessage="1" showErrorMessage="1" sqref="E35 E38:E54">
      <formula1>$A$58:$A$69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E116"/>
  <sheetViews>
    <sheetView topLeftCell="M1" zoomScaleNormal="100" workbookViewId="0">
      <selection activeCell="X7" sqref="X7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9" t="s">
        <v>184</v>
      </c>
      <c r="AD2" s="9" t="s">
        <v>195</v>
      </c>
      <c r="AE2" s="9" t="s">
        <v>35</v>
      </c>
    </row>
    <row r="3" spans="1:31" ht="16.75">
      <c r="A3" s="46" t="s">
        <v>425</v>
      </c>
      <c r="B3" s="10" t="s">
        <v>9</v>
      </c>
      <c r="D3" s="46" t="s">
        <v>8</v>
      </c>
      <c r="E3" s="46" t="s">
        <v>101</v>
      </c>
      <c r="F3" s="46" t="s">
        <v>425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s="16" t="s">
        <v>33</v>
      </c>
      <c r="AC3" s="9" t="s">
        <v>185</v>
      </c>
      <c r="AD3" s="9" t="s">
        <v>196</v>
      </c>
      <c r="AE3" s="9" t="s">
        <v>4</v>
      </c>
    </row>
    <row r="4" spans="1:31" ht="16.75">
      <c r="A4" s="46" t="s">
        <v>8</v>
      </c>
      <c r="B4" s="10" t="s">
        <v>8</v>
      </c>
      <c r="D4" s="46" t="s">
        <v>10</v>
      </c>
      <c r="E4" s="46" t="s">
        <v>101</v>
      </c>
      <c r="F4" s="46" t="s">
        <v>425</v>
      </c>
      <c r="K4" s="85" t="s">
        <v>80</v>
      </c>
      <c r="L4" s="8" t="s">
        <v>0</v>
      </c>
      <c r="M4" s="4">
        <f>GRAFO!J2</f>
        <v>29</v>
      </c>
      <c r="N4" s="11">
        <f>COUNTA(A3:A42)</f>
        <v>34</v>
      </c>
      <c r="O4" s="11">
        <f>COUNTIF(B3:B42,"&lt;&gt;"&amp;"")</f>
        <v>16</v>
      </c>
      <c r="P4" s="2">
        <f>N4-R4</f>
        <v>16</v>
      </c>
      <c r="Q4" s="2">
        <f>M4-O4</f>
        <v>13</v>
      </c>
      <c r="R4" s="2">
        <f>N4-O4</f>
        <v>18</v>
      </c>
      <c r="S4" s="2">
        <f>O4+P4</f>
        <v>32</v>
      </c>
      <c r="T4" s="2">
        <f>Q4+R4</f>
        <v>31</v>
      </c>
      <c r="U4" s="6">
        <f>O4/(O4+R4)</f>
        <v>0.47058823529411764</v>
      </c>
      <c r="V4" s="6">
        <f>O4/(O4+Q4)</f>
        <v>0.55172413793103448</v>
      </c>
      <c r="W4" s="6">
        <f>(O4+P4)/(O4+P4+Q4+R4)</f>
        <v>0.50793650793650791</v>
      </c>
      <c r="X4" s="62">
        <f>AVERAGE(U4:W4)</f>
        <v>0.51008296038722001</v>
      </c>
      <c r="Y4" s="16" t="s">
        <v>21</v>
      </c>
      <c r="AC4" s="9" t="s">
        <v>186</v>
      </c>
      <c r="AD4" s="9" t="s">
        <v>197</v>
      </c>
      <c r="AE4" s="9" t="s">
        <v>205</v>
      </c>
    </row>
    <row r="5" spans="1:31" ht="16.75">
      <c r="A5" s="46" t="s">
        <v>10</v>
      </c>
      <c r="B5" s="10" t="s">
        <v>10</v>
      </c>
      <c r="D5" s="46" t="s">
        <v>12</v>
      </c>
      <c r="E5" s="46" t="s">
        <v>101</v>
      </c>
      <c r="F5" s="46" t="s">
        <v>425</v>
      </c>
      <c r="K5" s="85"/>
      <c r="L5" s="8" t="s">
        <v>100</v>
      </c>
      <c r="M5" s="5">
        <f>GRAFO!J3</f>
        <v>41</v>
      </c>
      <c r="N5" s="12">
        <f>COUNTA(D58:D97)</f>
        <v>40</v>
      </c>
      <c r="O5" s="12">
        <f>COUNTIF(M58:M97,"=1")</f>
        <v>9</v>
      </c>
      <c r="P5" s="2">
        <f>N5-R5</f>
        <v>9</v>
      </c>
      <c r="Q5" s="2">
        <f>M5-O5</f>
        <v>32</v>
      </c>
      <c r="R5" s="2">
        <f>N5-O5</f>
        <v>31</v>
      </c>
      <c r="S5" s="2">
        <f>O5+P5</f>
        <v>18</v>
      </c>
      <c r="T5" s="2">
        <f>Q5+R5</f>
        <v>63</v>
      </c>
      <c r="U5" s="6">
        <f>O5/(O5+R5)</f>
        <v>0.22500000000000001</v>
      </c>
      <c r="V5" s="6">
        <f>O5/(O5+Q5)</f>
        <v>0.21951219512195122</v>
      </c>
      <c r="W5" s="6">
        <f>(O5+P5)/(O5+P5+Q5+R5)</f>
        <v>0.22222222222222221</v>
      </c>
      <c r="X5" s="62">
        <f t="shared" ref="X5:X6" si="0">AVERAGE(U5:W5)</f>
        <v>0.22224480578139114</v>
      </c>
      <c r="Y5" s="16" t="s">
        <v>17</v>
      </c>
      <c r="AC5" s="9" t="s">
        <v>187</v>
      </c>
      <c r="AD5" s="9" t="s">
        <v>198</v>
      </c>
      <c r="AE5" s="9" t="s">
        <v>3</v>
      </c>
    </row>
    <row r="6" spans="1:31" ht="16.75">
      <c r="A6" s="46" t="s">
        <v>12</v>
      </c>
      <c r="B6" s="10" t="s">
        <v>12</v>
      </c>
      <c r="D6" s="46" t="s">
        <v>11</v>
      </c>
      <c r="E6" s="46" t="s">
        <v>101</v>
      </c>
      <c r="F6" s="46" t="s">
        <v>425</v>
      </c>
      <c r="L6" s="8" t="s">
        <v>99</v>
      </c>
      <c r="M6" s="5">
        <v>41</v>
      </c>
      <c r="N6" s="12">
        <f>COUNTA(D58:D97)</f>
        <v>40</v>
      </c>
      <c r="O6" s="12">
        <f>COUNTIF(U58:U97,"=1")</f>
        <v>9</v>
      </c>
      <c r="P6" s="2">
        <f>N6-R6</f>
        <v>9</v>
      </c>
      <c r="Q6" s="2">
        <f>M6-O6</f>
        <v>32</v>
      </c>
      <c r="R6" s="2">
        <f>N6-O6</f>
        <v>31</v>
      </c>
      <c r="S6" s="2">
        <f>O6+P6</f>
        <v>18</v>
      </c>
      <c r="T6" s="2">
        <f>Q6+R6</f>
        <v>63</v>
      </c>
      <c r="U6" s="6">
        <f>O6/(O6+R6)</f>
        <v>0.22500000000000001</v>
      </c>
      <c r="V6" s="6">
        <f>O6/(O6+Q6)</f>
        <v>0.21951219512195122</v>
      </c>
      <c r="W6" s="6">
        <f>(O6+P6)/(O6+P6+Q6+R6)</f>
        <v>0.22222222222222221</v>
      </c>
      <c r="X6" s="62">
        <f t="shared" si="0"/>
        <v>0.22224480578139114</v>
      </c>
      <c r="Y6" s="16" t="s">
        <v>40</v>
      </c>
      <c r="AC6" s="9" t="s">
        <v>188</v>
      </c>
      <c r="AD6" s="9" t="s">
        <v>199</v>
      </c>
      <c r="AE6" s="9" t="s">
        <v>6</v>
      </c>
    </row>
    <row r="7" spans="1:31" ht="16.75">
      <c r="A7" s="46" t="s">
        <v>11</v>
      </c>
      <c r="B7" s="10" t="s">
        <v>11</v>
      </c>
      <c r="D7" s="46" t="s">
        <v>32</v>
      </c>
      <c r="E7" s="46" t="s">
        <v>101</v>
      </c>
      <c r="F7" s="46" t="s">
        <v>423</v>
      </c>
      <c r="X7" s="62">
        <f>AVERAGE(X4:X6)</f>
        <v>0.31819085731666746</v>
      </c>
      <c r="Y7" s="16" t="s">
        <v>13</v>
      </c>
      <c r="AC7" s="9" t="s">
        <v>189</v>
      </c>
      <c r="AD7" s="9" t="s">
        <v>200</v>
      </c>
      <c r="AE7" s="9" t="s">
        <v>206</v>
      </c>
    </row>
    <row r="8" spans="1:31" ht="16.75">
      <c r="A8" s="46" t="s">
        <v>344</v>
      </c>
      <c r="B8" s="10"/>
      <c r="D8" s="46" t="s">
        <v>34</v>
      </c>
      <c r="E8" s="46" t="s">
        <v>101</v>
      </c>
      <c r="F8" s="46" t="s">
        <v>423</v>
      </c>
      <c r="Y8" s="16" t="s">
        <v>39</v>
      </c>
      <c r="AC8" s="9" t="s">
        <v>190</v>
      </c>
      <c r="AD8" s="9" t="s">
        <v>148</v>
      </c>
      <c r="AE8" s="9" t="s">
        <v>36</v>
      </c>
    </row>
    <row r="9" spans="1:31" ht="16.75">
      <c r="A9" s="46" t="s">
        <v>256</v>
      </c>
      <c r="B9" s="10"/>
      <c r="D9" s="46" t="s">
        <v>33</v>
      </c>
      <c r="E9" s="46" t="s">
        <v>101</v>
      </c>
      <c r="F9" s="46" t="s">
        <v>423</v>
      </c>
      <c r="K9" t="s">
        <v>74</v>
      </c>
      <c r="L9" t="s">
        <v>75</v>
      </c>
      <c r="N9">
        <f>GRAFO!J2</f>
        <v>29</v>
      </c>
      <c r="Y9" s="16" t="s">
        <v>19</v>
      </c>
      <c r="AC9" s="9" t="s">
        <v>191</v>
      </c>
      <c r="AD9" s="9" t="s">
        <v>201</v>
      </c>
      <c r="AE9" s="9" t="s">
        <v>7</v>
      </c>
    </row>
    <row r="10" spans="1:31" ht="16.75">
      <c r="A10" s="46" t="s">
        <v>123</v>
      </c>
      <c r="B10" s="10"/>
      <c r="D10" s="60" t="s">
        <v>22</v>
      </c>
      <c r="E10" s="60" t="s">
        <v>101</v>
      </c>
      <c r="F10" s="60" t="s">
        <v>341</v>
      </c>
      <c r="K10" t="s">
        <v>80</v>
      </c>
      <c r="L10" t="s">
        <v>76</v>
      </c>
      <c r="N10">
        <f>N4</f>
        <v>34</v>
      </c>
      <c r="Y10" s="16" t="s">
        <v>37</v>
      </c>
      <c r="AC10" s="9" t="s">
        <v>192</v>
      </c>
      <c r="AD10" s="9" t="s">
        <v>202</v>
      </c>
      <c r="AE10" s="9" t="s">
        <v>207</v>
      </c>
    </row>
    <row r="11" spans="1:31" ht="16.75">
      <c r="A11" s="46" t="s">
        <v>22</v>
      </c>
      <c r="B11" s="10" t="s">
        <v>22</v>
      </c>
      <c r="D11" s="60" t="s">
        <v>424</v>
      </c>
      <c r="E11" s="60" t="s">
        <v>101</v>
      </c>
      <c r="F11" s="60" t="s">
        <v>341</v>
      </c>
      <c r="K11" t="s">
        <v>68</v>
      </c>
      <c r="L11" t="s">
        <v>77</v>
      </c>
      <c r="N11">
        <v>16</v>
      </c>
      <c r="Y11" s="16" t="s">
        <v>10</v>
      </c>
      <c r="AC11" s="9" t="s">
        <v>193</v>
      </c>
      <c r="AD11" s="9" t="s">
        <v>203</v>
      </c>
      <c r="AE11" s="9" t="s">
        <v>208</v>
      </c>
    </row>
    <row r="12" spans="1:31" ht="16.75">
      <c r="A12" s="46" t="s">
        <v>341</v>
      </c>
      <c r="B12" s="10" t="s">
        <v>23</v>
      </c>
      <c r="D12" s="60" t="s">
        <v>344</v>
      </c>
      <c r="E12" s="60" t="s">
        <v>101</v>
      </c>
      <c r="F12" s="60" t="s">
        <v>299</v>
      </c>
      <c r="K12" t="s">
        <v>70</v>
      </c>
      <c r="L12" t="s">
        <v>78</v>
      </c>
      <c r="M12" t="s">
        <v>86</v>
      </c>
      <c r="N12">
        <f>N9-N11</f>
        <v>13</v>
      </c>
      <c r="Y12" s="16" t="s">
        <v>14</v>
      </c>
      <c r="AC12" s="9" t="s">
        <v>194</v>
      </c>
      <c r="AD12" s="9" t="s">
        <v>204</v>
      </c>
      <c r="AE12" s="9" t="s">
        <v>5</v>
      </c>
    </row>
    <row r="13" spans="1:31" ht="16.75">
      <c r="A13" s="46" t="s">
        <v>124</v>
      </c>
      <c r="B13" s="10"/>
      <c r="D13" s="60" t="s">
        <v>342</v>
      </c>
      <c r="E13" s="60" t="s">
        <v>101</v>
      </c>
      <c r="F13" s="60" t="s">
        <v>299</v>
      </c>
      <c r="K13" t="s">
        <v>69</v>
      </c>
      <c r="L13" t="s">
        <v>79</v>
      </c>
      <c r="M13" t="s">
        <v>87</v>
      </c>
      <c r="Y13" s="16" t="s">
        <v>34</v>
      </c>
    </row>
    <row r="14" spans="1:31" ht="16.75">
      <c r="A14" s="46" t="s">
        <v>155</v>
      </c>
      <c r="B14" s="10"/>
      <c r="D14" s="60" t="s">
        <v>309</v>
      </c>
      <c r="E14" s="60" t="s">
        <v>101</v>
      </c>
      <c r="F14" s="60" t="s">
        <v>299</v>
      </c>
      <c r="K14" t="s">
        <v>83</v>
      </c>
      <c r="M14" t="s">
        <v>88</v>
      </c>
      <c r="Y14" s="16" t="s">
        <v>27</v>
      </c>
    </row>
    <row r="15" spans="1:31" ht="16.75">
      <c r="A15" s="46" t="s">
        <v>153</v>
      </c>
      <c r="B15" s="10"/>
      <c r="D15" s="60" t="s">
        <v>40</v>
      </c>
      <c r="E15" s="60" t="s">
        <v>432</v>
      </c>
      <c r="F15" s="60" t="s">
        <v>426</v>
      </c>
      <c r="K15" t="s">
        <v>89</v>
      </c>
      <c r="M15" t="s">
        <v>92</v>
      </c>
      <c r="Y15" s="16" t="s">
        <v>28</v>
      </c>
    </row>
    <row r="16" spans="1:31" ht="16.75">
      <c r="A16" s="46" t="s">
        <v>58</v>
      </c>
      <c r="B16" s="10" t="s">
        <v>13</v>
      </c>
      <c r="D16" s="60" t="s">
        <v>426</v>
      </c>
      <c r="E16" s="60" t="s">
        <v>277</v>
      </c>
      <c r="F16" s="60" t="s">
        <v>427</v>
      </c>
      <c r="K16" t="s">
        <v>90</v>
      </c>
      <c r="M16" t="s">
        <v>93</v>
      </c>
      <c r="Y16" s="16" t="s">
        <v>30</v>
      </c>
    </row>
    <row r="17" spans="1:25" ht="16.75">
      <c r="A17" s="46" t="s">
        <v>28</v>
      </c>
      <c r="B17" s="10" t="s">
        <v>28</v>
      </c>
      <c r="D17" s="60" t="s">
        <v>256</v>
      </c>
      <c r="E17" s="60" t="s">
        <v>433</v>
      </c>
      <c r="F17" s="60" t="s">
        <v>40</v>
      </c>
      <c r="K17" t="s">
        <v>91</v>
      </c>
      <c r="M17" t="s">
        <v>94</v>
      </c>
      <c r="Y17" s="16" t="s">
        <v>29</v>
      </c>
    </row>
    <row r="18" spans="1:25" ht="16.75">
      <c r="A18" s="46" t="s">
        <v>32</v>
      </c>
      <c r="B18" s="10" t="s">
        <v>32</v>
      </c>
      <c r="D18" s="60" t="s">
        <v>256</v>
      </c>
      <c r="E18" s="60" t="s">
        <v>277</v>
      </c>
      <c r="F18" s="60" t="s">
        <v>428</v>
      </c>
      <c r="K18" t="s">
        <v>84</v>
      </c>
      <c r="M18" t="s">
        <v>95</v>
      </c>
      <c r="Y18" s="16" t="s">
        <v>31</v>
      </c>
    </row>
    <row r="19" spans="1:25" ht="16.75">
      <c r="A19" s="46" t="s">
        <v>34</v>
      </c>
      <c r="B19" s="10" t="s">
        <v>34</v>
      </c>
      <c r="D19" s="60" t="s">
        <v>256</v>
      </c>
      <c r="E19" s="60" t="s">
        <v>142</v>
      </c>
      <c r="F19" s="60" t="s">
        <v>309</v>
      </c>
      <c r="K19" t="s">
        <v>85</v>
      </c>
      <c r="M19" t="s">
        <v>96</v>
      </c>
      <c r="Y19" s="16" t="s">
        <v>171</v>
      </c>
    </row>
    <row r="20" spans="1:25" ht="16.75">
      <c r="A20" s="46" t="s">
        <v>33</v>
      </c>
      <c r="B20" s="10" t="s">
        <v>33</v>
      </c>
      <c r="D20" s="60" t="s">
        <v>427</v>
      </c>
      <c r="E20" s="60" t="s">
        <v>294</v>
      </c>
      <c r="F20" s="60" t="s">
        <v>429</v>
      </c>
      <c r="K20" t="s">
        <v>97</v>
      </c>
      <c r="M20" t="s">
        <v>98</v>
      </c>
      <c r="Y20" s="16" t="s">
        <v>15</v>
      </c>
    </row>
    <row r="21" spans="1:25" ht="16.75">
      <c r="A21" s="46" t="s">
        <v>423</v>
      </c>
      <c r="B21" s="10" t="s">
        <v>31</v>
      </c>
      <c r="D21" s="60" t="s">
        <v>429</v>
      </c>
      <c r="E21" s="60" t="s">
        <v>435</v>
      </c>
      <c r="F21" s="60" t="s">
        <v>309</v>
      </c>
      <c r="Y21" s="16" t="s">
        <v>16</v>
      </c>
    </row>
    <row r="22" spans="1:25" ht="16.75">
      <c r="A22" s="46" t="s">
        <v>342</v>
      </c>
      <c r="B22" s="10" t="s">
        <v>18</v>
      </c>
      <c r="D22" s="60" t="s">
        <v>309</v>
      </c>
      <c r="E22" s="60" t="s">
        <v>381</v>
      </c>
      <c r="F22" s="60" t="s">
        <v>342</v>
      </c>
      <c r="Y22" s="16" t="s">
        <v>32</v>
      </c>
    </row>
    <row r="23" spans="1:25" ht="16.75">
      <c r="A23" s="46" t="s">
        <v>154</v>
      </c>
      <c r="B23" s="10"/>
      <c r="D23" s="60" t="s">
        <v>344</v>
      </c>
      <c r="E23" s="60" t="s">
        <v>381</v>
      </c>
      <c r="F23" s="60" t="s">
        <v>309</v>
      </c>
      <c r="Y23" s="16" t="s">
        <v>9</v>
      </c>
    </row>
    <row r="24" spans="1:25" ht="16.75">
      <c r="A24" s="46" t="s">
        <v>321</v>
      </c>
      <c r="B24" s="10"/>
      <c r="D24" s="60" t="s">
        <v>427</v>
      </c>
      <c r="E24" s="60" t="s">
        <v>314</v>
      </c>
      <c r="F24" s="60" t="s">
        <v>123</v>
      </c>
      <c r="Y24" s="16" t="s">
        <v>18</v>
      </c>
    </row>
    <row r="25" spans="1:25" ht="16.75">
      <c r="A25" s="46" t="s">
        <v>430</v>
      </c>
      <c r="B25" s="10"/>
      <c r="D25" s="60" t="s">
        <v>153</v>
      </c>
      <c r="E25" s="60" t="s">
        <v>141</v>
      </c>
      <c r="F25" s="60" t="s">
        <v>429</v>
      </c>
      <c r="Y25" s="16" t="s">
        <v>23</v>
      </c>
    </row>
    <row r="26" spans="1:25" ht="16.75">
      <c r="A26" s="46" t="s">
        <v>309</v>
      </c>
      <c r="B26" s="10"/>
      <c r="D26" s="60" t="s">
        <v>155</v>
      </c>
      <c r="E26" s="60" t="s">
        <v>141</v>
      </c>
      <c r="F26" s="60" t="s">
        <v>321</v>
      </c>
      <c r="Y26" s="16" t="s">
        <v>22</v>
      </c>
    </row>
    <row r="27" spans="1:25" ht="16.75">
      <c r="A27" s="46" t="s">
        <v>429</v>
      </c>
      <c r="B27" s="10"/>
      <c r="D27" s="60" t="s">
        <v>155</v>
      </c>
      <c r="E27" s="60" t="s">
        <v>141</v>
      </c>
      <c r="F27" s="60" t="s">
        <v>430</v>
      </c>
      <c r="Y27" s="16" t="s">
        <v>12</v>
      </c>
    </row>
    <row r="28" spans="1:25" ht="16.75">
      <c r="A28" s="46" t="s">
        <v>424</v>
      </c>
      <c r="B28" s="10"/>
      <c r="D28" s="60" t="s">
        <v>154</v>
      </c>
      <c r="E28" s="60" t="s">
        <v>141</v>
      </c>
      <c r="F28" s="60" t="s">
        <v>431</v>
      </c>
      <c r="Y28" s="16" t="s">
        <v>24</v>
      </c>
    </row>
    <row r="29" spans="1:25" ht="16.75">
      <c r="A29" s="46" t="s">
        <v>40</v>
      </c>
      <c r="B29" s="10" t="s">
        <v>40</v>
      </c>
      <c r="D29" s="60" t="s">
        <v>382</v>
      </c>
      <c r="E29" s="60" t="s">
        <v>168</v>
      </c>
      <c r="F29" s="60" t="s">
        <v>431</v>
      </c>
      <c r="Y29" s="16" t="s">
        <v>8</v>
      </c>
    </row>
    <row r="30" spans="1:25" ht="16.75">
      <c r="A30" s="46" t="s">
        <v>426</v>
      </c>
      <c r="B30" s="10" t="s">
        <v>20</v>
      </c>
      <c r="D30" s="60" t="s">
        <v>437</v>
      </c>
      <c r="E30" s="60" t="s">
        <v>435</v>
      </c>
      <c r="F30" s="60" t="s">
        <v>344</v>
      </c>
      <c r="Y30" s="16" t="s">
        <v>20</v>
      </c>
    </row>
    <row r="31" spans="1:25" ht="16.75">
      <c r="A31" s="46" t="s">
        <v>427</v>
      </c>
      <c r="B31" s="10"/>
      <c r="D31" s="60" t="s">
        <v>28</v>
      </c>
      <c r="E31" s="60" t="s">
        <v>215</v>
      </c>
      <c r="F31" s="60" t="s">
        <v>437</v>
      </c>
      <c r="Y31" s="16" t="s">
        <v>11</v>
      </c>
    </row>
    <row r="32" spans="1:25">
      <c r="A32" s="46" t="s">
        <v>428</v>
      </c>
      <c r="B32" s="10"/>
      <c r="D32" s="60" t="s">
        <v>28</v>
      </c>
      <c r="E32" s="60" t="s">
        <v>434</v>
      </c>
      <c r="F32" s="60" t="s">
        <v>154</v>
      </c>
    </row>
    <row r="33" spans="1:6">
      <c r="A33" s="46" t="s">
        <v>299</v>
      </c>
      <c r="B33" s="10"/>
      <c r="D33" s="60" t="s">
        <v>28</v>
      </c>
      <c r="E33" s="60" t="s">
        <v>436</v>
      </c>
      <c r="F33" s="60" t="s">
        <v>382</v>
      </c>
    </row>
    <row r="34" spans="1:6">
      <c r="A34" s="46" t="s">
        <v>431</v>
      </c>
      <c r="B34" s="10"/>
      <c r="D34" s="60" t="s">
        <v>28</v>
      </c>
      <c r="E34" s="60" t="s">
        <v>380</v>
      </c>
      <c r="F34" s="60" t="s">
        <v>423</v>
      </c>
    </row>
    <row r="35" spans="1:6">
      <c r="A35" s="46" t="s">
        <v>382</v>
      </c>
      <c r="B35" s="10"/>
      <c r="D35" s="60" t="s">
        <v>256</v>
      </c>
      <c r="E35" s="60" t="s">
        <v>215</v>
      </c>
      <c r="F35" s="60" t="s">
        <v>22</v>
      </c>
    </row>
    <row r="36" spans="1:6">
      <c r="A36" s="46" t="s">
        <v>437</v>
      </c>
      <c r="B36" s="10"/>
      <c r="D36" s="60" t="s">
        <v>426</v>
      </c>
      <c r="E36" s="60" t="s">
        <v>142</v>
      </c>
      <c r="F36" s="60" t="s">
        <v>342</v>
      </c>
    </row>
    <row r="37" spans="1:6">
      <c r="A37" s="60"/>
      <c r="B37" s="10"/>
      <c r="D37" s="60" t="s">
        <v>10</v>
      </c>
      <c r="E37" s="60" t="s">
        <v>432</v>
      </c>
      <c r="F37" s="60" t="s">
        <v>256</v>
      </c>
    </row>
    <row r="38" spans="1:6">
      <c r="A38" s="60"/>
      <c r="B38" s="10"/>
      <c r="D38" s="60" t="s">
        <v>12</v>
      </c>
      <c r="E38" s="60" t="s">
        <v>432</v>
      </c>
      <c r="F38" s="60" t="s">
        <v>58</v>
      </c>
    </row>
    <row r="39" spans="1:6">
      <c r="A39" s="60"/>
      <c r="B39" s="10"/>
      <c r="D39" s="60" t="s">
        <v>11</v>
      </c>
      <c r="E39" s="60" t="s">
        <v>432</v>
      </c>
      <c r="F39" s="60" t="s">
        <v>256</v>
      </c>
    </row>
    <row r="40" spans="1:6">
      <c r="A40" s="60"/>
      <c r="B40" s="10"/>
      <c r="D40" s="60" t="s">
        <v>8</v>
      </c>
      <c r="E40" s="60" t="s">
        <v>438</v>
      </c>
      <c r="F40" s="60" t="s">
        <v>426</v>
      </c>
    </row>
    <row r="41" spans="1:6">
      <c r="A41" s="60"/>
      <c r="B41" s="10"/>
      <c r="D41" s="60" t="s">
        <v>58</v>
      </c>
      <c r="E41" s="60" t="s">
        <v>434</v>
      </c>
      <c r="F41" s="60" t="s">
        <v>155</v>
      </c>
    </row>
    <row r="42" spans="1:6">
      <c r="A42" s="60"/>
      <c r="B42" s="10"/>
      <c r="D42" s="60" t="s">
        <v>423</v>
      </c>
      <c r="E42" s="60" t="s">
        <v>167</v>
      </c>
      <c r="F42" s="60" t="s">
        <v>424</v>
      </c>
    </row>
    <row r="43" spans="1:6">
      <c r="A43" s="60"/>
      <c r="B43" s="10"/>
      <c r="D43" s="60"/>
      <c r="E43" s="60"/>
      <c r="F43" s="60"/>
    </row>
    <row r="44" spans="1:6">
      <c r="A44" s="46"/>
      <c r="B44" s="10"/>
      <c r="D44" s="60"/>
      <c r="E44" s="60"/>
      <c r="F44" s="60"/>
    </row>
    <row r="45" spans="1:6">
      <c r="A45" s="46"/>
      <c r="B45" s="10"/>
      <c r="D45" s="60"/>
      <c r="E45" s="60"/>
      <c r="F45" s="60"/>
    </row>
    <row r="46" spans="1:6">
      <c r="A46" s="46"/>
      <c r="B46" s="10"/>
      <c r="D46" s="60"/>
      <c r="E46" s="60"/>
      <c r="F46" s="60"/>
    </row>
    <row r="47" spans="1:6">
      <c r="A47" s="46"/>
      <c r="B47" s="10"/>
      <c r="D47" s="60"/>
      <c r="E47" s="60"/>
      <c r="F47" s="60"/>
    </row>
    <row r="48" spans="1:6">
      <c r="A48" s="46"/>
      <c r="B48" s="10"/>
      <c r="D48" s="60"/>
      <c r="E48" s="60"/>
      <c r="F48" s="60"/>
    </row>
    <row r="49" spans="1:21">
      <c r="A49" s="46"/>
      <c r="B49" s="10"/>
      <c r="D49" s="60"/>
      <c r="E49" s="60"/>
      <c r="F49" s="60"/>
    </row>
    <row r="50" spans="1:21">
      <c r="A50" s="46"/>
      <c r="B50" s="10"/>
      <c r="D50" s="60"/>
      <c r="E50" s="60"/>
      <c r="F50" s="60"/>
    </row>
    <row r="51" spans="1:21">
      <c r="A51" s="46"/>
      <c r="B51" s="10"/>
      <c r="D51" s="60"/>
      <c r="E51" s="60"/>
      <c r="F51" s="60"/>
    </row>
    <row r="52" spans="1:21">
      <c r="A52" s="46"/>
      <c r="B52" s="10"/>
      <c r="D52" s="60"/>
      <c r="E52" s="60"/>
      <c r="F52" s="60"/>
    </row>
    <row r="53" spans="1:21">
      <c r="A53" s="46"/>
      <c r="B53" s="10"/>
      <c r="D53" s="60"/>
      <c r="E53" s="60"/>
      <c r="F53" s="60"/>
    </row>
    <row r="54" spans="1:21">
      <c r="A54" s="46"/>
      <c r="B54" s="10"/>
      <c r="D54" s="60"/>
      <c r="E54" s="60"/>
      <c r="F54" s="60"/>
    </row>
    <row r="55" spans="1:21">
      <c r="A55" s="46"/>
      <c r="B55" s="10"/>
    </row>
    <row r="56" spans="1:21">
      <c r="A56" s="30" t="s">
        <v>182</v>
      </c>
      <c r="B56" s="30"/>
      <c r="D56" s="104" t="s">
        <v>222</v>
      </c>
      <c r="E56" s="105"/>
      <c r="F56" s="105"/>
      <c r="G56" s="106"/>
      <c r="I56" s="98" t="s">
        <v>224</v>
      </c>
      <c r="J56" s="99"/>
      <c r="K56" s="99"/>
      <c r="L56" s="99"/>
      <c r="M56" s="100"/>
      <c r="O56" s="94" t="s">
        <v>229</v>
      </c>
      <c r="P56" s="94"/>
      <c r="Q56" s="94"/>
      <c r="R56" s="94"/>
      <c r="S56" s="94"/>
      <c r="T56" s="94"/>
      <c r="U56" s="94"/>
    </row>
    <row r="57" spans="1:21">
      <c r="A57" s="32" t="s">
        <v>251</v>
      </c>
      <c r="B57" s="33" t="s">
        <v>252</v>
      </c>
      <c r="D57" s="34" t="s">
        <v>220</v>
      </c>
      <c r="E57" s="34" t="s">
        <v>219</v>
      </c>
      <c r="F57" s="34" t="s">
        <v>221</v>
      </c>
      <c r="G57" s="34" t="s">
        <v>223</v>
      </c>
      <c r="I57" s="101" t="s">
        <v>225</v>
      </c>
      <c r="J57" s="102"/>
      <c r="K57" s="103"/>
      <c r="L57" s="101" t="s">
        <v>226</v>
      </c>
      <c r="M57" s="103"/>
      <c r="O57" s="95" t="s">
        <v>227</v>
      </c>
      <c r="P57" s="96"/>
      <c r="Q57" s="96"/>
      <c r="R57" s="96"/>
      <c r="S57" s="97"/>
      <c r="T57" s="95" t="s">
        <v>228</v>
      </c>
      <c r="U57" s="97"/>
    </row>
    <row r="58" spans="1:21">
      <c r="A58" s="60" t="s">
        <v>101</v>
      </c>
      <c r="B58" s="10" t="s">
        <v>3</v>
      </c>
      <c r="D58" s="10" t="str">
        <f>IF(INDEX($A$3:$B$42,MATCH(D3,$A$3:$A$42,0),2)&lt;&gt;0,INDEX($A$3:$B$42,MATCH(D3,$A$3:$A$42,0),2),D3)</f>
        <v>politico</v>
      </c>
      <c r="E58" s="10" t="str">
        <f>IF(INDEX($A$58:$B$78,MATCH(E3,$A$58:$A$78,0),2)&lt;&gt;0,INDEX($A$58:$B$78,MATCH(E3,$A$58:$A$78,0),2),E3)</f>
        <v>rdfs:subClassOf</v>
      </c>
      <c r="F58" s="10" t="str">
        <f>IF(INDEX($A$3:$B$42,MATCH(F3,$A$3:$A$42,0),2)&lt;&gt;0,INDEX($A$3:$B$42,MATCH(F3,$A$3:$A$42,0),2),F3)</f>
        <v>nivel</v>
      </c>
      <c r="G58" s="3" t="str">
        <f>IF(INDEX($A$3:$B$42,MATCH(F3,$A$3:$A$42,0),2)&lt;&gt;0,"OK","NOK")</f>
        <v>OK</v>
      </c>
      <c r="I58" s="10" t="str">
        <f t="shared" ref="I58:I97" si="1">D58 &amp;"-"&amp;F58</f>
        <v>politico-nivel</v>
      </c>
      <c r="J58" s="10"/>
      <c r="K58" s="10"/>
      <c r="L58" s="3">
        <f>IF(INDEX(GRAFO!$L$2:'GRAFO'!$L$46,MATCH(I58,GRAFO!$L$2:'GRAFO'!$L$46,0),1)&lt;&gt;0,1,0)</f>
        <v>1</v>
      </c>
      <c r="M58" s="3">
        <f>IFERROR(L58,0)</f>
        <v>1</v>
      </c>
      <c r="O58" s="10" t="str">
        <f t="shared" ref="O58:O97" si="2">D58 &amp; "-" &amp; E58 &amp; "-" &amp; F58</f>
        <v>politico-rdfs:subClassOf-nivel</v>
      </c>
      <c r="P58" s="10"/>
      <c r="Q58" s="10"/>
      <c r="R58" s="10"/>
      <c r="S58" s="10"/>
      <c r="T58" s="10">
        <f>IF(INDEX(GRAFO!$M$2:'GRAFO'!$M$46,MATCH(O58,GRAFO!$M$2:'GRAFO'!$M$46,0),1)&lt;&gt;0,1,0)</f>
        <v>1</v>
      </c>
      <c r="U58" s="10">
        <f>IFERROR(T58,0)</f>
        <v>1</v>
      </c>
    </row>
    <row r="59" spans="1:21">
      <c r="A59" s="60" t="s">
        <v>108</v>
      </c>
      <c r="B59" s="10" t="s">
        <v>4</v>
      </c>
      <c r="D59" s="10" t="str">
        <f t="shared" ref="D59:D97" si="3">IF(INDEX($A$3:$B$42,MATCH(D4,$A$3:$A$42,0),2)&lt;&gt;0,INDEX($A$3:$B$42,MATCH(D4,$A$3:$A$42,0),2),D4)</f>
        <v>estrategico</v>
      </c>
      <c r="E59" s="10" t="str">
        <f t="shared" ref="E59:E97" si="4">IF(INDEX($A$58:$B$78,MATCH(E4,$A$58:$A$78,0),2)&lt;&gt;0,INDEX($A$58:$B$78,MATCH(E4,$A$58:$A$78,0),2),E4)</f>
        <v>rdfs:subClassOf</v>
      </c>
      <c r="F59" s="10" t="str">
        <f t="shared" ref="F59:F97" si="5">IF(INDEX($A$3:$B$42,MATCH(F4,$A$3:$A$42,0),2)&lt;&gt;0,INDEX($A$3:$B$42,MATCH(F4,$A$3:$A$42,0),2),F4)</f>
        <v>nivel</v>
      </c>
      <c r="G59" s="3" t="str">
        <f t="shared" ref="G59:G97" si="6">IF(INDEX($A$3:$B$42,MATCH(F4,$A$3:$A$42,0),2)&lt;&gt;0,"OK","NOK")</f>
        <v>OK</v>
      </c>
      <c r="I59" s="10" t="str">
        <f t="shared" si="1"/>
        <v>estrategico-nivel</v>
      </c>
      <c r="J59" s="10"/>
      <c r="K59" s="10"/>
      <c r="L59" s="3">
        <f>IF(INDEX(GRAFO!$L$2:'GRAFO'!$L$46,MATCH(I59,GRAFO!$L$2:'GRAFO'!$L$46,0),1)&lt;&gt;0,1,0)</f>
        <v>1</v>
      </c>
      <c r="M59" s="3">
        <f t="shared" ref="M59:M97" si="7">IFERROR(L59,0)</f>
        <v>1</v>
      </c>
      <c r="O59" s="10" t="str">
        <f t="shared" si="2"/>
        <v>estrategico-rdfs:subClassOf-nivel</v>
      </c>
      <c r="P59" s="10"/>
      <c r="Q59" s="10"/>
      <c r="R59" s="10"/>
      <c r="S59" s="10"/>
      <c r="T59" s="10">
        <f>IF(INDEX(GRAFO!$M$2:'GRAFO'!$M$46,MATCH(O59,GRAFO!$M$2:'GRAFO'!$M$46,0),1)&lt;&gt;0,1,0)</f>
        <v>1</v>
      </c>
      <c r="U59" s="10">
        <f t="shared" ref="U59:U97" si="8">IFERROR(T59,0)</f>
        <v>1</v>
      </c>
    </row>
    <row r="60" spans="1:21">
      <c r="A60" s="60" t="s">
        <v>380</v>
      </c>
      <c r="B60" s="10" t="s">
        <v>205</v>
      </c>
      <c r="D60" s="10" t="str">
        <f t="shared" si="3"/>
        <v>operacional</v>
      </c>
      <c r="E60" s="10" t="str">
        <f t="shared" si="4"/>
        <v>rdfs:subClassOf</v>
      </c>
      <c r="F60" s="10" t="str">
        <f t="shared" si="5"/>
        <v>nivel</v>
      </c>
      <c r="G60" s="3" t="str">
        <f t="shared" si="6"/>
        <v>OK</v>
      </c>
      <c r="I60" s="10" t="str">
        <f t="shared" si="1"/>
        <v>operacional-nivel</v>
      </c>
      <c r="J60" s="10"/>
      <c r="K60" s="10"/>
      <c r="L60" s="3">
        <f>IF(INDEX(GRAFO!$L$2:'GRAFO'!$L$46,MATCH(I60,GRAFO!$L$2:'GRAFO'!$L$46,0),1)&lt;&gt;0,1,0)</f>
        <v>1</v>
      </c>
      <c r="M60" s="3">
        <f t="shared" si="7"/>
        <v>1</v>
      </c>
      <c r="O60" s="10" t="str">
        <f t="shared" si="2"/>
        <v>operacional-rdfs:subClassOf-nivel</v>
      </c>
      <c r="P60" s="10"/>
      <c r="Q60" s="10"/>
      <c r="R60" s="10"/>
      <c r="S60" s="10"/>
      <c r="T60" s="10">
        <f>IF(INDEX(GRAFO!$M$2:'GRAFO'!$M$46,MATCH(O60,GRAFO!$M$2:'GRAFO'!$M$46,0),1)&lt;&gt;0,1,0)</f>
        <v>1</v>
      </c>
      <c r="U60" s="10">
        <f t="shared" si="8"/>
        <v>1</v>
      </c>
    </row>
    <row r="61" spans="1:21">
      <c r="A61" s="60" t="s">
        <v>214</v>
      </c>
      <c r="B61" s="10" t="s">
        <v>4</v>
      </c>
      <c r="D61" s="10" t="str">
        <f t="shared" si="3"/>
        <v>tatico</v>
      </c>
      <c r="E61" s="10" t="str">
        <f t="shared" si="4"/>
        <v>rdfs:subClassOf</v>
      </c>
      <c r="F61" s="10" t="str">
        <f t="shared" si="5"/>
        <v>nivel</v>
      </c>
      <c r="G61" s="3" t="str">
        <f t="shared" si="6"/>
        <v>OK</v>
      </c>
      <c r="I61" s="10" t="str">
        <f t="shared" si="1"/>
        <v>tatico-nivel</v>
      </c>
      <c r="J61" s="10"/>
      <c r="K61" s="10"/>
      <c r="L61" s="3">
        <f>IF(INDEX(GRAFO!$L$2:'GRAFO'!$L$46,MATCH(I61,GRAFO!$L$2:'GRAFO'!$L$46,0),1)&lt;&gt;0,1,0)</f>
        <v>1</v>
      </c>
      <c r="M61" s="3">
        <f t="shared" si="7"/>
        <v>1</v>
      </c>
      <c r="O61" s="10" t="str">
        <f t="shared" si="2"/>
        <v>tatico-rdfs:subClassOf-nivel</v>
      </c>
      <c r="P61" s="10"/>
      <c r="Q61" s="10"/>
      <c r="R61" s="10"/>
      <c r="S61" s="10"/>
      <c r="T61" s="10">
        <f>IF(INDEX(GRAFO!$M$2:'GRAFO'!$M$46,MATCH(O61,GRAFO!$M$2:'GRAFO'!$M$46,0),1)&lt;&gt;0,1,0)</f>
        <v>1</v>
      </c>
      <c r="U61" s="10">
        <f t="shared" si="8"/>
        <v>1</v>
      </c>
    </row>
    <row r="62" spans="1:21">
      <c r="A62" s="60" t="s">
        <v>167</v>
      </c>
      <c r="B62" s="10" t="s">
        <v>7</v>
      </c>
      <c r="D62" s="10" t="str">
        <f t="shared" si="3"/>
        <v>marinha</v>
      </c>
      <c r="E62" s="10" t="str">
        <f t="shared" si="4"/>
        <v>rdfs:subClassOf</v>
      </c>
      <c r="F62" s="10" t="str">
        <f t="shared" si="5"/>
        <v>forcas_armadas</v>
      </c>
      <c r="G62" s="3" t="str">
        <f t="shared" si="6"/>
        <v>OK</v>
      </c>
      <c r="I62" s="10" t="str">
        <f t="shared" si="1"/>
        <v>marinha-forcas_armadas</v>
      </c>
      <c r="J62" s="10"/>
      <c r="K62" s="10"/>
      <c r="L62" s="3">
        <f>IF(INDEX(GRAFO!$L$2:'GRAFO'!$L$46,MATCH(I62,GRAFO!$L$2:'GRAFO'!$L$46,0),1)&lt;&gt;0,1,0)</f>
        <v>1</v>
      </c>
      <c r="M62" s="3">
        <f t="shared" si="7"/>
        <v>1</v>
      </c>
      <c r="O62" s="10" t="str">
        <f t="shared" si="2"/>
        <v>marinha-rdfs:subClassOf-forcas_armadas</v>
      </c>
      <c r="P62" s="10"/>
      <c r="Q62" s="10"/>
      <c r="R62" s="10"/>
      <c r="S62" s="10"/>
      <c r="T62" s="10">
        <f>IF(INDEX(GRAFO!$M$2:'GRAFO'!$M$46,MATCH(O62,GRAFO!$M$2:'GRAFO'!$M$46,0),1)&lt;&gt;0,1,0)</f>
        <v>1</v>
      </c>
      <c r="U62" s="10">
        <f t="shared" si="8"/>
        <v>1</v>
      </c>
    </row>
    <row r="63" spans="1:21">
      <c r="A63" s="60" t="s">
        <v>432</v>
      </c>
      <c r="B63" s="10" t="s">
        <v>35</v>
      </c>
      <c r="D63" s="10" t="str">
        <f t="shared" si="3"/>
        <v>exercito</v>
      </c>
      <c r="E63" s="10" t="str">
        <f t="shared" si="4"/>
        <v>rdfs:subClassOf</v>
      </c>
      <c r="F63" s="10" t="str">
        <f t="shared" si="5"/>
        <v>forcas_armadas</v>
      </c>
      <c r="G63" s="3" t="str">
        <f t="shared" si="6"/>
        <v>OK</v>
      </c>
      <c r="H63">
        <f>COUNTIFS(GRAFO!C2:C42,"=D34",GRAFO!E2:E42,"=F34")</f>
        <v>0</v>
      </c>
      <c r="I63" s="10" t="str">
        <f t="shared" si="1"/>
        <v>exercito-forcas_armadas</v>
      </c>
      <c r="J63" s="10"/>
      <c r="K63" s="10"/>
      <c r="L63" s="3">
        <f>IF(INDEX(GRAFO!$L$2:'GRAFO'!$L$46,MATCH(I63,GRAFO!$L$2:'GRAFO'!$L$46,0),1)&lt;&gt;0,1,0)</f>
        <v>1</v>
      </c>
      <c r="M63" s="3">
        <f t="shared" si="7"/>
        <v>1</v>
      </c>
      <c r="O63" s="10" t="str">
        <f t="shared" si="2"/>
        <v>exercito-rdfs:subClassOf-forcas_armadas</v>
      </c>
      <c r="P63" s="10"/>
      <c r="Q63" s="10"/>
      <c r="R63" s="10"/>
      <c r="S63" s="10"/>
      <c r="T63" s="10">
        <f>IF(INDEX(GRAFO!$M$2:'GRAFO'!$M$46,MATCH(O63,GRAFO!$M$2:'GRAFO'!$M$46,0),1)&lt;&gt;0,1,0)</f>
        <v>1</v>
      </c>
      <c r="U63" s="10">
        <f t="shared" si="8"/>
        <v>1</v>
      </c>
    </row>
    <row r="64" spans="1:21">
      <c r="A64" s="60" t="s">
        <v>433</v>
      </c>
      <c r="B64" s="10" t="s">
        <v>4</v>
      </c>
      <c r="D64" s="10" t="str">
        <f t="shared" si="3"/>
        <v>aeronautica</v>
      </c>
      <c r="E64" s="10" t="str">
        <f t="shared" si="4"/>
        <v>rdfs:subClassOf</v>
      </c>
      <c r="F64" s="10" t="str">
        <f t="shared" si="5"/>
        <v>forcas_armadas</v>
      </c>
      <c r="G64" s="3" t="str">
        <f t="shared" si="6"/>
        <v>OK</v>
      </c>
      <c r="I64" s="10" t="str">
        <f t="shared" si="1"/>
        <v>aeronautica-forcas_armadas</v>
      </c>
      <c r="J64" s="10"/>
      <c r="K64" s="10"/>
      <c r="L64" s="3">
        <f>IF(INDEX(GRAFO!$L$2:'GRAFO'!$L$46,MATCH(I64,GRAFO!$L$2:'GRAFO'!$L$46,0),1)&lt;&gt;0,1,0)</f>
        <v>1</v>
      </c>
      <c r="M64" s="3">
        <f t="shared" si="7"/>
        <v>1</v>
      </c>
      <c r="O64" s="10" t="str">
        <f t="shared" si="2"/>
        <v>aeronautica-rdfs:subClassOf-forcas_armadas</v>
      </c>
      <c r="P64" s="10"/>
      <c r="Q64" s="10"/>
      <c r="R64" s="10"/>
      <c r="S64" s="10"/>
      <c r="T64" s="10">
        <f>IF(INDEX(GRAFO!$M$2:'GRAFO'!$M$46,MATCH(O64,GRAFO!$M$2:'GRAFO'!$M$46,0),1)&lt;&gt;0,1,0)</f>
        <v>1</v>
      </c>
      <c r="U64" s="10">
        <f t="shared" si="8"/>
        <v>1</v>
      </c>
    </row>
    <row r="65" spans="1:21">
      <c r="A65" s="60" t="s">
        <v>136</v>
      </c>
      <c r="B65" s="10" t="s">
        <v>7</v>
      </c>
      <c r="C65" s="24"/>
      <c r="D65" s="10" t="str">
        <f t="shared" si="3"/>
        <v>operacao_conjunta</v>
      </c>
      <c r="E65" s="10" t="str">
        <f t="shared" si="4"/>
        <v>rdfs:subClassOf</v>
      </c>
      <c r="F65" s="10" t="str">
        <f t="shared" si="5"/>
        <v>operacao</v>
      </c>
      <c r="G65" s="3" t="str">
        <f t="shared" si="6"/>
        <v>OK</v>
      </c>
      <c r="I65" s="10" t="str">
        <f t="shared" si="1"/>
        <v>operacao_conjunta-operacao</v>
      </c>
      <c r="J65" s="10"/>
      <c r="K65" s="10"/>
      <c r="L65" s="3">
        <f>IF(INDEX(GRAFO!$L$2:'GRAFO'!$L$46,MATCH(I65,GRAFO!$L$2:'GRAFO'!$L$46,0),1)&lt;&gt;0,1,0)</f>
        <v>1</v>
      </c>
      <c r="M65" s="3">
        <f t="shared" si="7"/>
        <v>1</v>
      </c>
      <c r="O65" s="10" t="str">
        <f t="shared" si="2"/>
        <v>operacao_conjunta-rdfs:subClassOf-operacao</v>
      </c>
      <c r="P65" s="10"/>
      <c r="Q65" s="10"/>
      <c r="R65" s="10"/>
      <c r="S65" s="10"/>
      <c r="T65" s="10">
        <f>IF(INDEX(GRAFO!$M$2:'GRAFO'!$M$46,MATCH(O65,GRAFO!$M$2:'GRAFO'!$M$46,0),1)&lt;&gt;0,1,0)</f>
        <v>1</v>
      </c>
      <c r="U65" s="10">
        <f t="shared" si="8"/>
        <v>1</v>
      </c>
    </row>
    <row r="66" spans="1:21">
      <c r="A66" s="60" t="s">
        <v>105</v>
      </c>
      <c r="B66" s="10" t="s">
        <v>7</v>
      </c>
      <c r="C66" s="9" t="str">
        <f t="shared" ref="C66:C81" si="9">IF(INDEX($A$3:$B$18,MATCH(D3,$A$3:$A$17,0),2)&lt;&gt;0,"OK","NOK")</f>
        <v>OK</v>
      </c>
      <c r="D66" s="10" t="str">
        <f t="shared" si="3"/>
        <v>operacao_singular</v>
      </c>
      <c r="E66" s="10" t="str">
        <f t="shared" si="4"/>
        <v>rdfs:subClassOf</v>
      </c>
      <c r="F66" s="10" t="str">
        <f t="shared" si="5"/>
        <v>operacao</v>
      </c>
      <c r="G66" s="3" t="str">
        <f t="shared" si="6"/>
        <v>OK</v>
      </c>
      <c r="I66" s="10" t="str">
        <f t="shared" si="1"/>
        <v>operacao_singular-operacao</v>
      </c>
      <c r="J66" s="10"/>
      <c r="K66" s="10"/>
      <c r="L66" s="3" t="e">
        <f>IF(INDEX(GRAFO!$L$2:'GRAFO'!$L$46,MATCH(I66,GRAFO!$L$2:'GRAFO'!$L$46,0),1)&lt;&gt;0,1,0)</f>
        <v>#N/A</v>
      </c>
      <c r="M66" s="3">
        <f t="shared" si="7"/>
        <v>0</v>
      </c>
      <c r="O66" s="10" t="str">
        <f t="shared" si="2"/>
        <v>operacao_singular-rdfs:subClassOf-operacao</v>
      </c>
      <c r="P66" s="10"/>
      <c r="Q66" s="10"/>
      <c r="R66" s="10"/>
      <c r="S66" s="10"/>
      <c r="T66" s="10" t="e">
        <f>IF(INDEX(GRAFO!$M$2:'GRAFO'!$M$46,MATCH(O66,GRAFO!$M$2:'GRAFO'!$M$46,0),1)&lt;&gt;0,1,0)</f>
        <v>#N/A</v>
      </c>
      <c r="U66" s="10">
        <f t="shared" si="8"/>
        <v>0</v>
      </c>
    </row>
    <row r="67" spans="1:21">
      <c r="A67" s="60" t="s">
        <v>434</v>
      </c>
      <c r="B67" s="10" t="s">
        <v>7</v>
      </c>
      <c r="C67" s="9" t="str">
        <f t="shared" si="9"/>
        <v>OK</v>
      </c>
      <c r="D67" s="10" t="str">
        <f t="shared" si="3"/>
        <v>objetivo_operacional</v>
      </c>
      <c r="E67" s="10" t="str">
        <f t="shared" si="4"/>
        <v>rdfs:subClassOf</v>
      </c>
      <c r="F67" s="10" t="str">
        <f t="shared" si="5"/>
        <v>objetivos</v>
      </c>
      <c r="G67" s="3" t="str">
        <f t="shared" si="6"/>
        <v>NOK</v>
      </c>
      <c r="I67" s="10" t="str">
        <f t="shared" si="1"/>
        <v>objetivo_operacional-objetivos</v>
      </c>
      <c r="J67" s="10"/>
      <c r="K67" s="10"/>
      <c r="L67" s="3" t="e">
        <f>IF(INDEX(GRAFO!$L$2:'GRAFO'!$L$46,MATCH(I67,GRAFO!$L$2:'GRAFO'!$L$46,0),1)&lt;&gt;0,1,0)</f>
        <v>#N/A</v>
      </c>
      <c r="M67" s="3">
        <f t="shared" si="7"/>
        <v>0</v>
      </c>
      <c r="O67" s="10" t="str">
        <f t="shared" si="2"/>
        <v>objetivo_operacional-rdfs:subClassOf-objetivos</v>
      </c>
      <c r="P67" s="10"/>
      <c r="Q67" s="10"/>
      <c r="R67" s="10"/>
      <c r="S67" s="10"/>
      <c r="T67" s="10" t="e">
        <f>IF(INDEX(GRAFO!$M$2:'GRAFO'!$M$46,MATCH(O67,GRAFO!$M$2:'GRAFO'!$M$46,0),1)&lt;&gt;0,1,0)</f>
        <v>#N/A</v>
      </c>
      <c r="U67" s="10">
        <f t="shared" si="8"/>
        <v>0</v>
      </c>
    </row>
    <row r="68" spans="1:21">
      <c r="A68" s="60" t="s">
        <v>142</v>
      </c>
      <c r="B68" s="10" t="s">
        <v>7</v>
      </c>
      <c r="C68" s="9" t="str">
        <f t="shared" si="9"/>
        <v>OK</v>
      </c>
      <c r="D68" s="10" t="str">
        <f t="shared" si="3"/>
        <v>objetivos_politicos</v>
      </c>
      <c r="E68" s="10" t="str">
        <f t="shared" si="4"/>
        <v>rdfs:subClassOf</v>
      </c>
      <c r="F68" s="10" t="str">
        <f t="shared" si="5"/>
        <v>objetivos</v>
      </c>
      <c r="G68" s="3" t="str">
        <f t="shared" si="6"/>
        <v>NOK</v>
      </c>
      <c r="I68" s="10" t="str">
        <f t="shared" si="1"/>
        <v>objetivos_politicos-objetivos</v>
      </c>
      <c r="J68" s="10"/>
      <c r="K68" s="10"/>
      <c r="L68" s="3" t="e">
        <f>IF(INDEX(GRAFO!$L$2:'GRAFO'!$L$46,MATCH(I68,GRAFO!$L$2:'GRAFO'!$L$46,0),1)&lt;&gt;0,1,0)</f>
        <v>#N/A</v>
      </c>
      <c r="M68" s="3">
        <f t="shared" si="7"/>
        <v>0</v>
      </c>
      <c r="O68" s="10" t="str">
        <f t="shared" si="2"/>
        <v>objetivos_politicos-rdfs:subClassOf-objetivos</v>
      </c>
      <c r="P68" s="10"/>
      <c r="Q68" s="10"/>
      <c r="R68" s="10"/>
      <c r="S68" s="10"/>
      <c r="T68" s="10" t="e">
        <f>IF(INDEX(GRAFO!$M$2:'GRAFO'!$M$46,MATCH(O68,GRAFO!$M$2:'GRAFO'!$M$46,0),1)&lt;&gt;0,1,0)</f>
        <v>#N/A</v>
      </c>
      <c r="U68" s="10">
        <f t="shared" si="8"/>
        <v>0</v>
      </c>
    </row>
    <row r="69" spans="1:21">
      <c r="A69" s="60" t="s">
        <v>277</v>
      </c>
      <c r="B69" s="10" t="s">
        <v>7</v>
      </c>
      <c r="C69" s="9" t="str">
        <f t="shared" si="9"/>
        <v>OK</v>
      </c>
      <c r="D69" s="10" t="str">
        <f t="shared" si="3"/>
        <v>objetivo_estrategico</v>
      </c>
      <c r="E69" s="10" t="str">
        <f t="shared" si="4"/>
        <v>rdfs:subClassOf</v>
      </c>
      <c r="F69" s="10" t="str">
        <f t="shared" si="5"/>
        <v>objetivos</v>
      </c>
      <c r="G69" s="3" t="str">
        <f t="shared" si="6"/>
        <v>NOK</v>
      </c>
      <c r="I69" s="10" t="str">
        <f t="shared" si="1"/>
        <v>objetivo_estrategico-objetivos</v>
      </c>
      <c r="J69" s="10"/>
      <c r="K69" s="10"/>
      <c r="L69" s="3" t="e">
        <f>IF(INDEX(GRAFO!$L$2:'GRAFO'!$L$46,MATCH(I69,GRAFO!$L$2:'GRAFO'!$L$46,0),1)&lt;&gt;0,1,0)</f>
        <v>#N/A</v>
      </c>
      <c r="M69" s="3">
        <f t="shared" si="7"/>
        <v>0</v>
      </c>
      <c r="O69" s="10" t="str">
        <f t="shared" si="2"/>
        <v>objetivo_estrategico-rdfs:subClassOf-objetivos</v>
      </c>
      <c r="P69" s="10"/>
      <c r="Q69" s="10"/>
      <c r="R69" s="10"/>
      <c r="S69" s="10"/>
      <c r="T69" s="10" t="e">
        <f>IF(INDEX(GRAFO!$M$2:'GRAFO'!$M$46,MATCH(O69,GRAFO!$M$2:'GRAFO'!$M$46,0),1)&lt;&gt;0,1,0)</f>
        <v>#N/A</v>
      </c>
      <c r="U69" s="10">
        <f t="shared" si="8"/>
        <v>0</v>
      </c>
    </row>
    <row r="70" spans="1:21">
      <c r="A70" s="60" t="s">
        <v>314</v>
      </c>
      <c r="B70" s="10" t="s">
        <v>4</v>
      </c>
      <c r="C70" s="9" t="e">
        <f t="shared" si="9"/>
        <v>#N/A</v>
      </c>
      <c r="D70" s="10" t="str">
        <f t="shared" si="3"/>
        <v>comando_supremo</v>
      </c>
      <c r="E70" s="10" t="str">
        <f t="shared" si="4"/>
        <v>owl:equivalentClass</v>
      </c>
      <c r="F70" s="10" t="str">
        <f t="shared" si="5"/>
        <v>presidente_da_republica</v>
      </c>
      <c r="G70" s="3" t="str">
        <f t="shared" si="6"/>
        <v>OK</v>
      </c>
      <c r="I70" s="10" t="str">
        <f t="shared" si="1"/>
        <v>comando_supremo-presidente_da_republica</v>
      </c>
      <c r="J70" s="10"/>
      <c r="K70" s="10"/>
      <c r="L70" s="3" t="e">
        <f>IF(INDEX(GRAFO!$L$2:'GRAFO'!$L$46,MATCH(I70,GRAFO!$L$2:'GRAFO'!$L$46,0),1)&lt;&gt;0,1,0)</f>
        <v>#N/A</v>
      </c>
      <c r="M70" s="3">
        <f t="shared" si="7"/>
        <v>0</v>
      </c>
      <c r="O70" s="10" t="str">
        <f t="shared" si="2"/>
        <v>comando_supremo-owl:equivalentClass-presidente_da_republica</v>
      </c>
      <c r="P70" s="10"/>
      <c r="Q70" s="10"/>
      <c r="R70" s="10"/>
      <c r="S70" s="10"/>
      <c r="T70" s="10" t="e">
        <f>IF(INDEX(GRAFO!$M$2:'GRAFO'!$M$46,MATCH(O70,GRAFO!$M$2:'GRAFO'!$M$46,0),1)&lt;&gt;0,1,0)</f>
        <v>#N/A</v>
      </c>
      <c r="U70" s="10">
        <f t="shared" si="8"/>
        <v>0</v>
      </c>
    </row>
    <row r="71" spans="1:21">
      <c r="A71" s="60" t="s">
        <v>141</v>
      </c>
      <c r="B71" s="10" t="s">
        <v>4</v>
      </c>
      <c r="C71" s="9" t="e">
        <f t="shared" si="9"/>
        <v>#N/A</v>
      </c>
      <c r="D71" s="10" t="str">
        <f t="shared" si="3"/>
        <v>presidente_da_republica</v>
      </c>
      <c r="E71" s="10" t="str">
        <f t="shared" si="4"/>
        <v>c2rm:responsible_for</v>
      </c>
      <c r="F71" s="10" t="str">
        <f t="shared" si="5"/>
        <v>diretriz_politica</v>
      </c>
      <c r="G71" s="3" t="str">
        <f t="shared" si="6"/>
        <v>NOK</v>
      </c>
      <c r="I71" s="10" t="str">
        <f t="shared" si="1"/>
        <v>presidente_da_republica-diretriz_politica</v>
      </c>
      <c r="J71" s="10"/>
      <c r="K71" s="10"/>
      <c r="L71" s="3" t="e">
        <f>IF(INDEX(GRAFO!$L$2:'GRAFO'!$L$46,MATCH(I71,GRAFO!$L$2:'GRAFO'!$L$46,0),1)&lt;&gt;0,1,0)</f>
        <v>#N/A</v>
      </c>
      <c r="M71" s="3">
        <f t="shared" si="7"/>
        <v>0</v>
      </c>
      <c r="O71" s="10" t="str">
        <f t="shared" si="2"/>
        <v>presidente_da_republica-c2rm:responsible_for-diretriz_politica</v>
      </c>
      <c r="P71" s="10"/>
      <c r="Q71" s="10"/>
      <c r="R71" s="10"/>
      <c r="S71" s="10"/>
      <c r="T71" s="10" t="e">
        <f>IF(INDEX(GRAFO!$M$2:'GRAFO'!$M$46,MATCH(O71,GRAFO!$M$2:'GRAFO'!$M$46,0),1)&lt;&gt;0,1,0)</f>
        <v>#N/A</v>
      </c>
      <c r="U71" s="10">
        <f t="shared" si="8"/>
        <v>0</v>
      </c>
    </row>
    <row r="72" spans="1:21">
      <c r="A72" s="60" t="s">
        <v>294</v>
      </c>
      <c r="B72" s="10" t="s">
        <v>4</v>
      </c>
      <c r="C72" s="9" t="e">
        <f t="shared" si="9"/>
        <v>#N/A</v>
      </c>
      <c r="D72" s="10" t="str">
        <f t="shared" si="3"/>
        <v>ministerio_da_defesa</v>
      </c>
      <c r="E72" s="10" t="str">
        <f t="shared" si="4"/>
        <v>rdfs:seeAlso</v>
      </c>
      <c r="F72" s="10" t="str">
        <f t="shared" si="5"/>
        <v>comando_supremo</v>
      </c>
      <c r="G72" s="3" t="str">
        <f t="shared" si="6"/>
        <v>OK</v>
      </c>
      <c r="I72" s="10" t="str">
        <f t="shared" si="1"/>
        <v>ministerio_da_defesa-comando_supremo</v>
      </c>
      <c r="J72" s="10"/>
      <c r="K72" s="10"/>
      <c r="L72" s="3" t="e">
        <f>IF(INDEX(GRAFO!$L$2:'GRAFO'!$L$46,MATCH(I72,GRAFO!$L$2:'GRAFO'!$L$46,0),1)&lt;&gt;0,1,0)</f>
        <v>#N/A</v>
      </c>
      <c r="M72" s="3">
        <f t="shared" si="7"/>
        <v>0</v>
      </c>
      <c r="O72" s="10" t="str">
        <f t="shared" si="2"/>
        <v>ministerio_da_defesa-rdfs:seeAlso-comando_supremo</v>
      </c>
      <c r="P72" s="10"/>
      <c r="Q72" s="10"/>
      <c r="R72" s="10"/>
      <c r="S72" s="10"/>
      <c r="T72" s="10" t="e">
        <f>IF(INDEX(GRAFO!$M$2:'GRAFO'!$M$46,MATCH(O72,GRAFO!$M$2:'GRAFO'!$M$46,0),1)&lt;&gt;0,1,0)</f>
        <v>#N/A</v>
      </c>
      <c r="U72" s="10">
        <f t="shared" si="8"/>
        <v>0</v>
      </c>
    </row>
    <row r="73" spans="1:21">
      <c r="A73" s="60" t="s">
        <v>168</v>
      </c>
      <c r="B73" s="10" t="s">
        <v>5</v>
      </c>
      <c r="C73" s="9" t="str">
        <f t="shared" si="9"/>
        <v>OK</v>
      </c>
      <c r="D73" s="10" t="str">
        <f t="shared" si="3"/>
        <v>ministerio_da_defesa</v>
      </c>
      <c r="E73" s="10" t="str">
        <f t="shared" si="4"/>
        <v>c2rm:responsible_for</v>
      </c>
      <c r="F73" s="10" t="str">
        <f t="shared" si="5"/>
        <v>diretriz_estrategica</v>
      </c>
      <c r="G73" s="3" t="str">
        <f t="shared" si="6"/>
        <v>NOK</v>
      </c>
      <c r="I73" s="10" t="str">
        <f t="shared" si="1"/>
        <v>ministerio_da_defesa-diretriz_estrategica</v>
      </c>
      <c r="J73" s="10"/>
      <c r="K73" s="10"/>
      <c r="L73" s="3" t="e">
        <f>IF(INDEX(GRAFO!$L$2:'GRAFO'!$L$46,MATCH(I73,GRAFO!$L$2:'GRAFO'!$L$46,0),1)&lt;&gt;0,1,0)</f>
        <v>#N/A</v>
      </c>
      <c r="M73" s="3">
        <f t="shared" si="7"/>
        <v>0</v>
      </c>
      <c r="O73" s="10" t="str">
        <f t="shared" si="2"/>
        <v>ministerio_da_defesa-c2rm:responsible_for-diretriz_estrategica</v>
      </c>
      <c r="P73" s="10"/>
      <c r="Q73" s="10"/>
      <c r="R73" s="10"/>
      <c r="S73" s="10"/>
      <c r="T73" s="10" t="e">
        <f>IF(INDEX(GRAFO!$M$2:'GRAFO'!$M$46,MATCH(O73,GRAFO!$M$2:'GRAFO'!$M$46,0),1)&lt;&gt;0,1,0)</f>
        <v>#N/A</v>
      </c>
      <c r="U73" s="10">
        <f t="shared" si="8"/>
        <v>0</v>
      </c>
    </row>
    <row r="74" spans="1:21">
      <c r="A74" s="60" t="s">
        <v>435</v>
      </c>
      <c r="B74" s="10" t="s">
        <v>4</v>
      </c>
      <c r="C74" s="9" t="e">
        <f t="shared" si="9"/>
        <v>#N/A</v>
      </c>
      <c r="D74" s="10" t="str">
        <f t="shared" si="3"/>
        <v>ministerio_da_defesa</v>
      </c>
      <c r="E74" s="10" t="str">
        <f t="shared" si="4"/>
        <v>c2rm:responsible_for</v>
      </c>
      <c r="F74" s="10" t="str">
        <f t="shared" si="5"/>
        <v>objetivo_estrategico</v>
      </c>
      <c r="G74" s="3" t="str">
        <f t="shared" si="6"/>
        <v>NOK</v>
      </c>
      <c r="I74" s="10" t="str">
        <f t="shared" si="1"/>
        <v>ministerio_da_defesa-objetivo_estrategico</v>
      </c>
      <c r="J74" s="10"/>
      <c r="K74" s="10"/>
      <c r="L74" s="3" t="e">
        <f>IF(INDEX(GRAFO!$L$2:'GRAFO'!$L$46,MATCH(I74,GRAFO!$L$2:'GRAFO'!$L$46,0),1)&lt;&gt;0,1,0)</f>
        <v>#N/A</v>
      </c>
      <c r="M74" s="3">
        <f t="shared" si="7"/>
        <v>0</v>
      </c>
      <c r="O74" s="10" t="str">
        <f t="shared" si="2"/>
        <v>ministerio_da_defesa-c2rm:responsible_for-objetivo_estrategico</v>
      </c>
      <c r="P74" s="10"/>
      <c r="Q74" s="10"/>
      <c r="R74" s="10"/>
      <c r="S74" s="10"/>
      <c r="T74" s="10" t="e">
        <f>IF(INDEX(GRAFO!$M$2:'GRAFO'!$M$46,MATCH(O74,GRAFO!$M$2:'GRAFO'!$M$46,0),1)&lt;&gt;0,1,0)</f>
        <v>#N/A</v>
      </c>
      <c r="U74" s="10">
        <f t="shared" si="8"/>
        <v>0</v>
      </c>
    </row>
    <row r="75" spans="1:21">
      <c r="A75" s="61" t="s">
        <v>381</v>
      </c>
      <c r="B75" s="10" t="s">
        <v>4</v>
      </c>
      <c r="C75" s="9" t="str">
        <f t="shared" si="9"/>
        <v>NOK</v>
      </c>
      <c r="D75" s="10" t="str">
        <f t="shared" si="3"/>
        <v>diretriz_politica</v>
      </c>
      <c r="E75" s="10" t="str">
        <f t="shared" si="4"/>
        <v>rdfs:seeAlso</v>
      </c>
      <c r="F75" s="10" t="str">
        <f t="shared" si="5"/>
        <v>acao_estrategica</v>
      </c>
      <c r="G75" s="3" t="str">
        <f t="shared" si="6"/>
        <v>NOK</v>
      </c>
      <c r="I75" s="10" t="str">
        <f t="shared" si="1"/>
        <v>diretriz_politica-acao_estrategica</v>
      </c>
      <c r="J75" s="10"/>
      <c r="K75" s="10"/>
      <c r="L75" s="3" t="e">
        <f>IF(INDEX(GRAFO!$L$2:'GRAFO'!$L$46,MATCH(I75,GRAFO!$L$2:'GRAFO'!$L$46,0),1)&lt;&gt;0,1,0)</f>
        <v>#N/A</v>
      </c>
      <c r="M75" s="3">
        <f t="shared" si="7"/>
        <v>0</v>
      </c>
      <c r="O75" s="10" t="str">
        <f t="shared" si="2"/>
        <v>diretriz_politica-rdfs:seeAlso-acao_estrategica</v>
      </c>
      <c r="P75" s="10"/>
      <c r="Q75" s="10"/>
      <c r="R75" s="10"/>
      <c r="S75" s="10"/>
      <c r="T75" s="10" t="e">
        <f>IF(INDEX(GRAFO!$M$2:'GRAFO'!$M$46,MATCH(O75,GRAFO!$M$2:'GRAFO'!$M$46,0),1)&lt;&gt;0,1,0)</f>
        <v>#N/A</v>
      </c>
      <c r="U75" s="10">
        <f t="shared" si="8"/>
        <v>0</v>
      </c>
    </row>
    <row r="76" spans="1:21">
      <c r="A76" s="61" t="s">
        <v>215</v>
      </c>
      <c r="B76" s="10" t="s">
        <v>7</v>
      </c>
      <c r="C76" s="9" t="e">
        <f t="shared" si="9"/>
        <v>#N/A</v>
      </c>
      <c r="D76" s="10" t="str">
        <f t="shared" si="3"/>
        <v>acao_estrategica</v>
      </c>
      <c r="E76" s="10" t="str">
        <f t="shared" si="4"/>
        <v>rdfs:seeAlso</v>
      </c>
      <c r="F76" s="10" t="str">
        <f t="shared" si="5"/>
        <v>objetivo_estrategico</v>
      </c>
      <c r="G76" s="3" t="str">
        <f t="shared" si="6"/>
        <v>NOK</v>
      </c>
      <c r="I76" s="10" t="str">
        <f t="shared" si="1"/>
        <v>acao_estrategica-objetivo_estrategico</v>
      </c>
      <c r="J76" s="10"/>
      <c r="K76" s="10"/>
      <c r="L76" s="3" t="e">
        <f>IF(INDEX(GRAFO!$L$2:'GRAFO'!$L$46,MATCH(I76,GRAFO!$L$2:'GRAFO'!$L$46,0),1)&lt;&gt;0,1,0)</f>
        <v>#N/A</v>
      </c>
      <c r="M76" s="3">
        <f t="shared" si="7"/>
        <v>0</v>
      </c>
      <c r="O76" s="10" t="str">
        <f t="shared" si="2"/>
        <v>acao_estrategica-rdfs:seeAlso-objetivo_estrategico</v>
      </c>
      <c r="P76" s="10"/>
      <c r="Q76" s="10"/>
      <c r="R76" s="10"/>
      <c r="S76" s="10"/>
      <c r="T76" s="10" t="e">
        <f>IF(INDEX(GRAFO!$M$2:'GRAFO'!$M$46,MATCH(O76,GRAFO!$M$2:'GRAFO'!$M$46,0),1)&lt;&gt;0,1,0)</f>
        <v>#N/A</v>
      </c>
      <c r="U76" s="10">
        <f t="shared" si="8"/>
        <v>0</v>
      </c>
    </row>
    <row r="77" spans="1:21">
      <c r="A77" s="56" t="s">
        <v>436</v>
      </c>
      <c r="B77" s="10" t="s">
        <v>4</v>
      </c>
      <c r="C77" s="9" t="e">
        <f t="shared" si="9"/>
        <v>#N/A</v>
      </c>
      <c r="D77" s="10" t="str">
        <f t="shared" si="3"/>
        <v>objetivo_estrategico</v>
      </c>
      <c r="E77" s="10" t="str">
        <f t="shared" si="4"/>
        <v>rdfs:seeAlso</v>
      </c>
      <c r="F77" s="10" t="str">
        <f t="shared" si="5"/>
        <v>objetivos_politicos</v>
      </c>
      <c r="G77" s="3" t="str">
        <f t="shared" si="6"/>
        <v>OK</v>
      </c>
      <c r="I77" s="10" t="str">
        <f t="shared" si="1"/>
        <v>objetivo_estrategico-objetivos_politicos</v>
      </c>
      <c r="J77" s="10"/>
      <c r="K77" s="10"/>
      <c r="L77" s="3" t="e">
        <f>IF(INDEX(GRAFO!$L$2:'GRAFO'!$L$46,MATCH(I77,GRAFO!$L$2:'GRAFO'!$L$46,0),1)&lt;&gt;0,1,0)</f>
        <v>#N/A</v>
      </c>
      <c r="M77" s="3">
        <f t="shared" si="7"/>
        <v>0</v>
      </c>
      <c r="O77" s="10" t="str">
        <f t="shared" si="2"/>
        <v>objetivo_estrategico-rdfs:seeAlso-objetivos_politicos</v>
      </c>
      <c r="P77" s="10"/>
      <c r="Q77" s="10"/>
      <c r="R77" s="10"/>
      <c r="S77" s="10"/>
      <c r="T77" s="10" t="e">
        <f>IF(INDEX(GRAFO!$M$2:'GRAFO'!$M$46,MATCH(O77,GRAFO!$M$2:'GRAFO'!$M$46,0),1)&lt;&gt;0,1,0)</f>
        <v>#N/A</v>
      </c>
      <c r="U77" s="10">
        <f t="shared" si="8"/>
        <v>0</v>
      </c>
    </row>
    <row r="78" spans="1:21">
      <c r="A78" s="56" t="s">
        <v>438</v>
      </c>
      <c r="B78" s="10" t="s">
        <v>35</v>
      </c>
      <c r="C78" s="9" t="e">
        <f t="shared" si="9"/>
        <v>#N/A</v>
      </c>
      <c r="D78" s="10" t="str">
        <f t="shared" si="3"/>
        <v>objetivo_operacional</v>
      </c>
      <c r="E78" s="10" t="str">
        <f t="shared" si="4"/>
        <v>rdfs:seeAlso</v>
      </c>
      <c r="F78" s="10" t="str">
        <f t="shared" si="5"/>
        <v>objetivo_estrategico</v>
      </c>
      <c r="G78" s="3" t="str">
        <f t="shared" si="6"/>
        <v>NOK</v>
      </c>
      <c r="I78" s="10" t="str">
        <f t="shared" si="1"/>
        <v>objetivo_operacional-objetivo_estrategico</v>
      </c>
      <c r="J78" s="10"/>
      <c r="K78" s="10"/>
      <c r="L78" s="3" t="e">
        <f>IF(INDEX(GRAFO!$L$2:'GRAFO'!$L$46,MATCH(I78,GRAFO!$L$2:'GRAFO'!$L$46,0),1)&lt;&gt;0,1,0)</f>
        <v>#N/A</v>
      </c>
      <c r="M78" s="3">
        <f t="shared" si="7"/>
        <v>0</v>
      </c>
      <c r="O78" s="10" t="str">
        <f t="shared" si="2"/>
        <v>objetivo_operacional-rdfs:seeAlso-objetivo_estrategico</v>
      </c>
      <c r="P78" s="10"/>
      <c r="Q78" s="10"/>
      <c r="R78" s="10"/>
      <c r="S78" s="10"/>
      <c r="T78" s="10" t="e">
        <f>IF(INDEX(GRAFO!$M$2:'GRAFO'!$M$46,MATCH(O78,GRAFO!$M$2:'GRAFO'!$M$46,0),1)&lt;&gt;0,1,0)</f>
        <v>#N/A</v>
      </c>
      <c r="U78" s="10">
        <f t="shared" si="8"/>
        <v>0</v>
      </c>
    </row>
    <row r="79" spans="1:21">
      <c r="A79" s="56"/>
      <c r="C79" s="9" t="e">
        <f t="shared" si="9"/>
        <v>#N/A</v>
      </c>
      <c r="D79" s="10" t="str">
        <f t="shared" si="3"/>
        <v>diretriz_politica</v>
      </c>
      <c r="E79" s="10" t="str">
        <f t="shared" si="4"/>
        <v>rdfs:seeAlso</v>
      </c>
      <c r="F79" s="10" t="str">
        <f t="shared" si="5"/>
        <v>dped</v>
      </c>
      <c r="G79" s="3" t="str">
        <f t="shared" si="6"/>
        <v>NOK</v>
      </c>
      <c r="I79" s="10" t="str">
        <f t="shared" si="1"/>
        <v>diretriz_politica-dped</v>
      </c>
      <c r="J79" s="10"/>
      <c r="K79" s="10"/>
      <c r="L79" s="3" t="e">
        <f>IF(INDEX(GRAFO!$L$2:'GRAFO'!$L$46,MATCH(I79,GRAFO!$L$2:'GRAFO'!$L$46,0),1)&lt;&gt;0,1,0)</f>
        <v>#N/A</v>
      </c>
      <c r="M79" s="3">
        <f t="shared" si="7"/>
        <v>0</v>
      </c>
      <c r="O79" s="10" t="str">
        <f t="shared" si="2"/>
        <v>diretriz_politica-rdfs:seeAlso-dped</v>
      </c>
      <c r="P79" s="10"/>
      <c r="Q79" s="10"/>
      <c r="R79" s="10"/>
      <c r="S79" s="10"/>
      <c r="T79" s="10" t="e">
        <f>IF(INDEX(GRAFO!$M$2:'GRAFO'!$M$46,MATCH(O79,GRAFO!$M$2:'GRAFO'!$M$46,0),1)&lt;&gt;0,1,0)</f>
        <v>#N/A</v>
      </c>
      <c r="U79" s="10">
        <f t="shared" si="8"/>
        <v>0</v>
      </c>
    </row>
    <row r="80" spans="1:21">
      <c r="A80" s="56"/>
      <c r="C80" s="9" t="str">
        <f t="shared" si="9"/>
        <v>NOK</v>
      </c>
      <c r="D80" s="10" t="str">
        <f t="shared" si="3"/>
        <v>plano_estrategico</v>
      </c>
      <c r="E80" s="10" t="str">
        <f t="shared" si="4"/>
        <v>rdfs:seeAlso</v>
      </c>
      <c r="F80" s="10" t="str">
        <f t="shared" si="5"/>
        <v>acao_estrategica</v>
      </c>
      <c r="G80" s="3" t="str">
        <f t="shared" si="6"/>
        <v>NOK</v>
      </c>
      <c r="I80" s="10" t="str">
        <f t="shared" si="1"/>
        <v>plano_estrategico-acao_estrategica</v>
      </c>
      <c r="J80" s="10"/>
      <c r="K80" s="10"/>
      <c r="L80" s="3" t="e">
        <f>IF(INDEX(GRAFO!$L$2:'GRAFO'!$L$46,MATCH(I80,GRAFO!$L$2:'GRAFO'!$L$46,0),1)&lt;&gt;0,1,0)</f>
        <v>#N/A</v>
      </c>
      <c r="M80" s="3">
        <f t="shared" si="7"/>
        <v>0</v>
      </c>
      <c r="O80" s="10" t="str">
        <f t="shared" si="2"/>
        <v>plano_estrategico-rdfs:seeAlso-acao_estrategica</v>
      </c>
      <c r="P80" s="10"/>
      <c r="Q80" s="10"/>
      <c r="R80" s="10"/>
      <c r="S80" s="10"/>
      <c r="T80" s="10" t="e">
        <f>IF(INDEX(GRAFO!$M$2:'GRAFO'!$M$46,MATCH(O80,GRAFO!$M$2:'GRAFO'!$M$46,0),1)&lt;&gt;0,1,0)</f>
        <v>#N/A</v>
      </c>
      <c r="U80" s="10">
        <f t="shared" si="8"/>
        <v>0</v>
      </c>
    </row>
    <row r="81" spans="1:21">
      <c r="A81" s="56"/>
      <c r="C81" s="9" t="str">
        <f t="shared" si="9"/>
        <v>NOK</v>
      </c>
      <c r="D81" s="10" t="str">
        <f t="shared" si="3"/>
        <v>plano_operacional</v>
      </c>
      <c r="E81" s="10" t="str">
        <f t="shared" si="4"/>
        <v>rdfs:seeAlso</v>
      </c>
      <c r="F81" s="10" t="str">
        <f t="shared" si="5"/>
        <v>area_de_responsabilidade</v>
      </c>
      <c r="G81" s="3" t="str">
        <f t="shared" si="6"/>
        <v>NOK</v>
      </c>
      <c r="I81" s="10" t="str">
        <f t="shared" si="1"/>
        <v>plano_operacional-area_de_responsabilidade</v>
      </c>
      <c r="J81" s="10"/>
      <c r="K81" s="10"/>
      <c r="L81" s="3" t="e">
        <f>IF(INDEX(GRAFO!$L$2:'GRAFO'!$L$46,MATCH(I81,GRAFO!$L$2:'GRAFO'!$L$46,0),1)&lt;&gt;0,1,0)</f>
        <v>#N/A</v>
      </c>
      <c r="M81" s="3">
        <f t="shared" si="7"/>
        <v>0</v>
      </c>
      <c r="O81" s="10" t="str">
        <f t="shared" si="2"/>
        <v>plano_operacional-rdfs:seeAlso-area_de_responsabilidade</v>
      </c>
      <c r="P81" s="10"/>
      <c r="Q81" s="10"/>
      <c r="R81" s="10"/>
      <c r="S81" s="10"/>
      <c r="T81" s="10" t="e">
        <f>IF(INDEX(GRAFO!$M$2:'GRAFO'!$M$46,MATCH(O81,GRAFO!$M$2:'GRAFO'!$M$46,0),1)&lt;&gt;0,1,0)</f>
        <v>#N/A</v>
      </c>
      <c r="U81" s="10">
        <f t="shared" si="8"/>
        <v>0</v>
      </c>
    </row>
    <row r="82" spans="1:21">
      <c r="A82" s="56"/>
      <c r="D82" s="10" t="str">
        <f t="shared" si="3"/>
        <v>plano_operacional</v>
      </c>
      <c r="E82" s="10" t="str">
        <f t="shared" si="4"/>
        <v>rdfs:seeAlso</v>
      </c>
      <c r="F82" s="10" t="str">
        <f t="shared" si="5"/>
        <v>area_operacional</v>
      </c>
      <c r="G82" s="3" t="str">
        <f t="shared" si="6"/>
        <v>NOK</v>
      </c>
      <c r="I82" s="10" t="str">
        <f t="shared" si="1"/>
        <v>plano_operacional-area_operacional</v>
      </c>
      <c r="J82" s="10"/>
      <c r="K82" s="10"/>
      <c r="L82" s="3" t="e">
        <f>IF(INDEX(GRAFO!$L$2:'GRAFO'!$L$46,MATCH(I82,GRAFO!$L$2:'GRAFO'!$L$46,0),1)&lt;&gt;0,1,0)</f>
        <v>#N/A</v>
      </c>
      <c r="M82" s="3">
        <f t="shared" si="7"/>
        <v>0</v>
      </c>
      <c r="O82" s="10" t="str">
        <f t="shared" si="2"/>
        <v>plano_operacional-rdfs:seeAlso-area_operacional</v>
      </c>
      <c r="P82" s="10"/>
      <c r="Q82" s="10"/>
      <c r="R82" s="10"/>
      <c r="S82" s="10"/>
      <c r="T82" s="10" t="e">
        <f>IF(INDEX(GRAFO!$M$2:'GRAFO'!$M$46,MATCH(O82,GRAFO!$M$2:'GRAFO'!$M$46,0),1)&lt;&gt;0,1,0)</f>
        <v>#N/A</v>
      </c>
      <c r="U82" s="10">
        <f t="shared" si="8"/>
        <v>0</v>
      </c>
    </row>
    <row r="83" spans="1:21">
      <c r="D83" s="10" t="str">
        <f t="shared" si="3"/>
        <v>plano_tatico</v>
      </c>
      <c r="E83" s="10" t="str">
        <f t="shared" si="4"/>
        <v>rdfs:seeAlso</v>
      </c>
      <c r="F83" s="10" t="str">
        <f t="shared" si="5"/>
        <v>acao_tatica</v>
      </c>
      <c r="G83" s="3" t="str">
        <f t="shared" si="6"/>
        <v>NOK</v>
      </c>
      <c r="I83" s="10" t="str">
        <f t="shared" si="1"/>
        <v>plano_tatico-acao_tatica</v>
      </c>
      <c r="J83" s="10"/>
      <c r="K83" s="10"/>
      <c r="L83" s="3" t="e">
        <f>IF(INDEX(GRAFO!$L$2:'GRAFO'!$L$46,MATCH(I83,GRAFO!$L$2:'GRAFO'!$L$46,0),1)&lt;&gt;0,1,0)</f>
        <v>#N/A</v>
      </c>
      <c r="M83" s="3">
        <f t="shared" si="7"/>
        <v>0</v>
      </c>
      <c r="O83" s="10" t="str">
        <f t="shared" si="2"/>
        <v>plano_tatico-rdfs:seeAlso-acao_tatica</v>
      </c>
      <c r="P83" s="10"/>
      <c r="Q83" s="10"/>
      <c r="R83" s="10"/>
      <c r="S83" s="10"/>
      <c r="T83" s="10" t="e">
        <f>IF(INDEX(GRAFO!$M$2:'GRAFO'!$M$46,MATCH(O83,GRAFO!$M$2:'GRAFO'!$M$46,0),1)&lt;&gt;0,1,0)</f>
        <v>#N/A</v>
      </c>
      <c r="U83" s="10">
        <f t="shared" si="8"/>
        <v>0</v>
      </c>
    </row>
    <row r="84" spans="1:21">
      <c r="D84" s="10" t="str">
        <f t="shared" si="3"/>
        <v>meio</v>
      </c>
      <c r="E84" s="10" t="str">
        <f t="shared" si="4"/>
        <v>c2rm:applied_to</v>
      </c>
      <c r="F84" s="10" t="str">
        <f t="shared" si="5"/>
        <v>acao_tatica</v>
      </c>
      <c r="G84" s="3" t="str">
        <f t="shared" si="6"/>
        <v>NOK</v>
      </c>
      <c r="I84" s="10" t="str">
        <f t="shared" si="1"/>
        <v>meio-acao_tatica</v>
      </c>
      <c r="J84" s="10"/>
      <c r="K84" s="10"/>
      <c r="L84" s="3" t="e">
        <f>IF(INDEX(GRAFO!$L$2:'GRAFO'!$L$46,MATCH(I84,GRAFO!$L$2:'GRAFO'!$L$46,0),1)&lt;&gt;0,1,0)</f>
        <v>#N/A</v>
      </c>
      <c r="M84" s="3">
        <f t="shared" si="7"/>
        <v>0</v>
      </c>
      <c r="O84" s="10" t="str">
        <f t="shared" si="2"/>
        <v>meio-c2rm:applied_to-acao_tatica</v>
      </c>
      <c r="P84" s="10"/>
      <c r="Q84" s="10"/>
      <c r="R84" s="10"/>
      <c r="S84" s="10"/>
      <c r="T84" s="10" t="e">
        <f>IF(INDEX(GRAFO!$M$2:'GRAFO'!$M$46,MATCH(O84,GRAFO!$M$2:'GRAFO'!$M$46,0),1)&lt;&gt;0,1,0)</f>
        <v>#N/A</v>
      </c>
      <c r="U84" s="10">
        <f t="shared" si="8"/>
        <v>0</v>
      </c>
    </row>
    <row r="85" spans="1:21">
      <c r="D85" s="10" t="str">
        <f t="shared" si="3"/>
        <v>acao_operacional</v>
      </c>
      <c r="E85" s="10" t="str">
        <f t="shared" si="4"/>
        <v>rdfs:seeAlso</v>
      </c>
      <c r="F85" s="10" t="str">
        <f t="shared" si="5"/>
        <v>objetivo_operacional</v>
      </c>
      <c r="G85" s="3" t="str">
        <f t="shared" si="6"/>
        <v>NOK</v>
      </c>
      <c r="I85" s="10" t="str">
        <f t="shared" si="1"/>
        <v>acao_operacional-objetivo_operacional</v>
      </c>
      <c r="J85" s="10"/>
      <c r="K85" s="10"/>
      <c r="L85" s="3" t="e">
        <f>IF(INDEX(GRAFO!$L$2:'GRAFO'!$L$46,MATCH(I85,GRAFO!$L$2:'GRAFO'!$L$46,0),1)&lt;&gt;0,1,0)</f>
        <v>#N/A</v>
      </c>
      <c r="M85" s="3">
        <f t="shared" si="7"/>
        <v>0</v>
      </c>
      <c r="O85" s="10" t="str">
        <f t="shared" si="2"/>
        <v>acao_operacional-rdfs:seeAlso-objetivo_operacional</v>
      </c>
      <c r="P85" s="10"/>
      <c r="Q85" s="10"/>
      <c r="R85" s="10"/>
      <c r="S85" s="10"/>
      <c r="T85" s="10" t="e">
        <f>IF(INDEX(GRAFO!$M$2:'GRAFO'!$M$46,MATCH(O85,GRAFO!$M$2:'GRAFO'!$M$46,0),1)&lt;&gt;0,1,0)</f>
        <v>#N/A</v>
      </c>
      <c r="U85" s="10">
        <f t="shared" si="8"/>
        <v>0</v>
      </c>
    </row>
    <row r="86" spans="1:21">
      <c r="D86" s="10" t="str">
        <f t="shared" si="3"/>
        <v>forca_componente</v>
      </c>
      <c r="E86" s="10" t="str">
        <f t="shared" si="4"/>
        <v>c2rm:responsible_for</v>
      </c>
      <c r="F86" s="10" t="str">
        <f t="shared" si="5"/>
        <v>acao_operacional</v>
      </c>
      <c r="G86" s="3" t="str">
        <f t="shared" si="6"/>
        <v>NOK</v>
      </c>
      <c r="I86" s="10" t="str">
        <f t="shared" si="1"/>
        <v>forca_componente-acao_operacional</v>
      </c>
      <c r="J86" s="10"/>
      <c r="K86" s="10"/>
      <c r="L86" s="3" t="e">
        <f>IF(INDEX(GRAFO!$L$2:'GRAFO'!$L$46,MATCH(I86,GRAFO!$L$2:'GRAFO'!$L$46,0),1)&lt;&gt;0,1,0)</f>
        <v>#N/A</v>
      </c>
      <c r="M86" s="3">
        <f t="shared" si="7"/>
        <v>0</v>
      </c>
      <c r="O86" s="10" t="str">
        <f t="shared" si="2"/>
        <v>forca_componente-c2rm:responsible_for-acao_operacional</v>
      </c>
      <c r="P86" s="10"/>
      <c r="Q86" s="10"/>
      <c r="R86" s="10"/>
      <c r="S86" s="10"/>
      <c r="T86" s="10" t="e">
        <f>IF(INDEX(GRAFO!$M$2:'GRAFO'!$M$46,MATCH(O86,GRAFO!$M$2:'GRAFO'!$M$46,0),1)&lt;&gt;0,1,0)</f>
        <v>#N/A</v>
      </c>
      <c r="U86" s="10">
        <f t="shared" si="8"/>
        <v>0</v>
      </c>
    </row>
    <row r="87" spans="1:21">
      <c r="D87" s="10" t="str">
        <f t="shared" si="3"/>
        <v>forca_componente</v>
      </c>
      <c r="E87" s="10" t="str">
        <f t="shared" si="4"/>
        <v>c2rm:responsible_for</v>
      </c>
      <c r="F87" s="10" t="str">
        <f t="shared" si="5"/>
        <v>plano_tatico</v>
      </c>
      <c r="G87" s="3" t="str">
        <f t="shared" si="6"/>
        <v>NOK</v>
      </c>
      <c r="I87" s="10" t="str">
        <f t="shared" si="1"/>
        <v>forca_componente-plano_tatico</v>
      </c>
      <c r="J87" s="10"/>
      <c r="K87" s="10"/>
      <c r="L87" s="3" t="e">
        <f>IF(INDEX(GRAFO!$L$2:'GRAFO'!$L$46,MATCH(I87,GRAFO!$L$2:'GRAFO'!$L$46,0),1)&lt;&gt;0,1,0)</f>
        <v>#N/A</v>
      </c>
      <c r="M87" s="3">
        <f t="shared" si="7"/>
        <v>0</v>
      </c>
      <c r="O87" s="10" t="str">
        <f t="shared" si="2"/>
        <v>forca_componente-c2rm:responsible_for-plano_tatico</v>
      </c>
      <c r="P87" s="10"/>
      <c r="Q87" s="10"/>
      <c r="R87" s="10"/>
      <c r="S87" s="10"/>
      <c r="T87" s="10" t="e">
        <f>IF(INDEX(GRAFO!$M$2:'GRAFO'!$M$46,MATCH(O87,GRAFO!$M$2:'GRAFO'!$M$46,0),1)&lt;&gt;0,1,0)</f>
        <v>#N/A</v>
      </c>
      <c r="U87" s="10">
        <f t="shared" si="8"/>
        <v>0</v>
      </c>
    </row>
    <row r="88" spans="1:21">
      <c r="D88" s="10" t="str">
        <f t="shared" si="3"/>
        <v>forca_componente</v>
      </c>
      <c r="E88" s="10" t="str">
        <f t="shared" si="4"/>
        <v>rdfs:seeAlso</v>
      </c>
      <c r="F88" s="10" t="str">
        <f t="shared" si="5"/>
        <v>meio</v>
      </c>
      <c r="G88" s="3" t="str">
        <f t="shared" si="6"/>
        <v>NOK</v>
      </c>
      <c r="I88" s="10" t="str">
        <f t="shared" si="1"/>
        <v>forca_componente-meio</v>
      </c>
      <c r="J88" s="10"/>
      <c r="K88" s="10"/>
      <c r="L88" s="3" t="e">
        <f>IF(INDEX(GRAFO!$L$2:'GRAFO'!$L$46,MATCH(I88,GRAFO!$L$2:'GRAFO'!$L$46,0),1)&lt;&gt;0,1,0)</f>
        <v>#N/A</v>
      </c>
      <c r="M88" s="3">
        <f t="shared" si="7"/>
        <v>0</v>
      </c>
      <c r="O88" s="10" t="str">
        <f t="shared" si="2"/>
        <v>forca_componente-rdfs:seeAlso-meio</v>
      </c>
      <c r="P88" s="10"/>
      <c r="Q88" s="10"/>
      <c r="R88" s="10"/>
      <c r="S88" s="10"/>
      <c r="T88" s="10" t="e">
        <f>IF(INDEX(GRAFO!$M$2:'GRAFO'!$M$46,MATCH(O88,GRAFO!$M$2:'GRAFO'!$M$46,0),1)&lt;&gt;0,1,0)</f>
        <v>#N/A</v>
      </c>
      <c r="U88" s="10">
        <f t="shared" si="8"/>
        <v>0</v>
      </c>
    </row>
    <row r="89" spans="1:21">
      <c r="D89" s="10" t="str">
        <f t="shared" si="3"/>
        <v>forca_componente</v>
      </c>
      <c r="E89" s="10" t="str">
        <f t="shared" si="4"/>
        <v>rdf:Bag</v>
      </c>
      <c r="F89" s="10" t="str">
        <f t="shared" si="5"/>
        <v>forcas_armadas</v>
      </c>
      <c r="G89" s="3" t="str">
        <f t="shared" si="6"/>
        <v>OK</v>
      </c>
      <c r="I89" s="10" t="str">
        <f t="shared" si="1"/>
        <v>forca_componente-forcas_armadas</v>
      </c>
      <c r="J89" s="10"/>
      <c r="K89" s="10"/>
      <c r="L89" s="3" t="e">
        <f>IF(INDEX(GRAFO!$L$2:'GRAFO'!$L$46,MATCH(I89,GRAFO!$L$2:'GRAFO'!$L$46,0),1)&lt;&gt;0,1,0)</f>
        <v>#N/A</v>
      </c>
      <c r="M89" s="3">
        <f t="shared" si="7"/>
        <v>0</v>
      </c>
      <c r="O89" s="10" t="str">
        <f t="shared" si="2"/>
        <v>forca_componente-rdf:Bag-forcas_armadas</v>
      </c>
      <c r="P89" s="10"/>
      <c r="Q89" s="10"/>
      <c r="R89" s="10"/>
      <c r="S89" s="10"/>
      <c r="T89" s="10" t="e">
        <f>IF(INDEX(GRAFO!$M$2:'GRAFO'!$M$46,MATCH(O89,GRAFO!$M$2:'GRAFO'!$M$46,0),1)&lt;&gt;0,1,0)</f>
        <v>#N/A</v>
      </c>
      <c r="U89" s="10">
        <f t="shared" si="8"/>
        <v>0</v>
      </c>
    </row>
    <row r="90" spans="1:21">
      <c r="D90" s="10" t="str">
        <f t="shared" si="3"/>
        <v>ministerio_da_defesa</v>
      </c>
      <c r="E90" s="10" t="str">
        <f t="shared" si="4"/>
        <v>c2rm:responsible_for</v>
      </c>
      <c r="F90" s="10" t="str">
        <f t="shared" si="5"/>
        <v>operacao_conjunta</v>
      </c>
      <c r="G90" s="3" t="str">
        <f t="shared" si="6"/>
        <v>OK</v>
      </c>
      <c r="I90" s="10" t="str">
        <f t="shared" si="1"/>
        <v>ministerio_da_defesa-operacao_conjunta</v>
      </c>
      <c r="J90" s="10"/>
      <c r="K90" s="10"/>
      <c r="L90" s="3" t="e">
        <f>IF(INDEX(GRAFO!$L$2:'GRAFO'!$L$46,MATCH(I90,GRAFO!$L$2:'GRAFO'!$L$46,0),1)&lt;&gt;0,1,0)</f>
        <v>#N/A</v>
      </c>
      <c r="M90" s="3">
        <f t="shared" si="7"/>
        <v>0</v>
      </c>
      <c r="O90" s="10" t="str">
        <f t="shared" si="2"/>
        <v>ministerio_da_defesa-c2rm:responsible_for-operacao_conjunta</v>
      </c>
      <c r="P90" s="10"/>
      <c r="Q90" s="10"/>
      <c r="R90" s="10"/>
      <c r="S90" s="10"/>
      <c r="T90" s="10" t="e">
        <f>IF(INDEX(GRAFO!$M$2:'GRAFO'!$M$46,MATCH(O90,GRAFO!$M$2:'GRAFO'!$M$46,0),1)&lt;&gt;0,1,0)</f>
        <v>#N/A</v>
      </c>
      <c r="U90" s="10">
        <f t="shared" si="8"/>
        <v>0</v>
      </c>
    </row>
    <row r="91" spans="1:21">
      <c r="D91" s="10" t="str">
        <f t="shared" si="3"/>
        <v>presidente_da_republica</v>
      </c>
      <c r="E91" s="10" t="str">
        <f t="shared" si="4"/>
        <v>c2rm:responsible_for</v>
      </c>
      <c r="F91" s="10" t="str">
        <f t="shared" si="5"/>
        <v>objetivos_politicos</v>
      </c>
      <c r="G91" s="3" t="str">
        <f t="shared" si="6"/>
        <v>OK</v>
      </c>
      <c r="I91" s="10" t="str">
        <f t="shared" si="1"/>
        <v>presidente_da_republica-objetivos_politicos</v>
      </c>
      <c r="J91" s="10"/>
      <c r="K91" s="10"/>
      <c r="L91" s="3">
        <f>IF(INDEX(GRAFO!$L$2:'GRAFO'!$L$46,MATCH(I91,GRAFO!$L$2:'GRAFO'!$L$46,0),1)&lt;&gt;0,1,0)</f>
        <v>1</v>
      </c>
      <c r="M91" s="3">
        <f t="shared" si="7"/>
        <v>1</v>
      </c>
      <c r="O91" s="10" t="str">
        <f t="shared" si="2"/>
        <v>presidente_da_republica-c2rm:responsible_for-objetivos_politicos</v>
      </c>
      <c r="P91" s="10"/>
      <c r="Q91" s="10"/>
      <c r="R91" s="10"/>
      <c r="S91" s="10"/>
      <c r="T91" s="10">
        <f>IF(INDEX(GRAFO!$M$2:'GRAFO'!$M$46,MATCH(O91,GRAFO!$M$2:'GRAFO'!$M$46,0),1)&lt;&gt;0,1,0)</f>
        <v>1</v>
      </c>
      <c r="U91" s="10">
        <f t="shared" si="8"/>
        <v>1</v>
      </c>
    </row>
    <row r="92" spans="1:21">
      <c r="D92" s="10" t="str">
        <f t="shared" si="3"/>
        <v>estrategico</v>
      </c>
      <c r="E92" s="10" t="str">
        <f t="shared" si="4"/>
        <v>owl:equivalentClass</v>
      </c>
      <c r="F92" s="10" t="str">
        <f t="shared" si="5"/>
        <v>ministerio_da_defesa</v>
      </c>
      <c r="G92" s="3" t="str">
        <f t="shared" si="6"/>
        <v>NOK</v>
      </c>
      <c r="I92" s="10" t="str">
        <f t="shared" si="1"/>
        <v>estrategico-ministerio_da_defesa</v>
      </c>
      <c r="J92" s="10"/>
      <c r="K92" s="10"/>
      <c r="L92" s="3" t="e">
        <f>IF(INDEX(GRAFO!$L$2:'GRAFO'!$L$46,MATCH(I92,GRAFO!$L$2:'GRAFO'!$L$46,0),1)&lt;&gt;0,1,0)</f>
        <v>#N/A</v>
      </c>
      <c r="M92" s="3">
        <f t="shared" si="7"/>
        <v>0</v>
      </c>
      <c r="O92" s="10" t="str">
        <f t="shared" si="2"/>
        <v>estrategico-owl:equivalentClass-ministerio_da_defesa</v>
      </c>
      <c r="P92" s="10"/>
      <c r="Q92" s="10"/>
      <c r="R92" s="10"/>
      <c r="S92" s="10"/>
      <c r="T92" s="10" t="e">
        <f>IF(INDEX(GRAFO!$M$2:'GRAFO'!$M$46,MATCH(O92,GRAFO!$M$2:'GRAFO'!$M$46,0),1)&lt;&gt;0,1,0)</f>
        <v>#N/A</v>
      </c>
      <c r="U92" s="10">
        <f t="shared" si="8"/>
        <v>0</v>
      </c>
    </row>
    <row r="93" spans="1:21">
      <c r="D93" s="10" t="str">
        <f t="shared" si="3"/>
        <v>operacional</v>
      </c>
      <c r="E93" s="10" t="str">
        <f t="shared" si="4"/>
        <v>owl:equivalentClass</v>
      </c>
      <c r="F93" s="10" t="str">
        <f t="shared" si="5"/>
        <v>comandos_operacionais</v>
      </c>
      <c r="G93" s="3" t="str">
        <f t="shared" si="6"/>
        <v>OK</v>
      </c>
      <c r="I93" s="10" t="str">
        <f t="shared" si="1"/>
        <v>operacional-comandos_operacionais</v>
      </c>
      <c r="J93" s="10"/>
      <c r="K93" s="10"/>
      <c r="L93" s="3" t="e">
        <f>IF(INDEX(GRAFO!$L$2:'GRAFO'!$L$46,MATCH(I93,GRAFO!$L$2:'GRAFO'!$L$46,0),1)&lt;&gt;0,1,0)</f>
        <v>#N/A</v>
      </c>
      <c r="M93" s="3">
        <f t="shared" si="7"/>
        <v>0</v>
      </c>
      <c r="O93" s="10" t="str">
        <f t="shared" si="2"/>
        <v>operacional-owl:equivalentClass-comandos_operacionais</v>
      </c>
      <c r="P93" s="10"/>
      <c r="Q93" s="10"/>
      <c r="R93" s="10"/>
      <c r="S93" s="10"/>
      <c r="T93" s="10" t="e">
        <f>IF(INDEX(GRAFO!$M$2:'GRAFO'!$M$46,MATCH(O93,GRAFO!$M$2:'GRAFO'!$M$46,0),1)&lt;&gt;0,1,0)</f>
        <v>#N/A</v>
      </c>
      <c r="U93" s="10">
        <f t="shared" si="8"/>
        <v>0</v>
      </c>
    </row>
    <row r="94" spans="1:21">
      <c r="D94" s="10" t="str">
        <f t="shared" si="3"/>
        <v>tatico</v>
      </c>
      <c r="E94" s="10" t="str">
        <f t="shared" si="4"/>
        <v>owl:equivalentClass</v>
      </c>
      <c r="F94" s="10" t="str">
        <f t="shared" si="5"/>
        <v>ministerio_da_defesa</v>
      </c>
      <c r="G94" s="3" t="str">
        <f t="shared" si="6"/>
        <v>NOK</v>
      </c>
      <c r="I94" s="10" t="str">
        <f t="shared" si="1"/>
        <v>tatico-ministerio_da_defesa</v>
      </c>
      <c r="J94" s="10"/>
      <c r="K94" s="10"/>
      <c r="L94" s="3" t="e">
        <f>IF(INDEX(GRAFO!$L$2:'GRAFO'!$L$46,MATCH(I94,GRAFO!$L$2:'GRAFO'!$L$46,0),1)&lt;&gt;0,1,0)</f>
        <v>#N/A</v>
      </c>
      <c r="M94" s="3">
        <f t="shared" si="7"/>
        <v>0</v>
      </c>
      <c r="O94" s="10" t="str">
        <f t="shared" si="2"/>
        <v>tatico-owl:equivalentClass-ministerio_da_defesa</v>
      </c>
      <c r="P94" s="10"/>
      <c r="Q94" s="10"/>
      <c r="R94" s="10"/>
      <c r="S94" s="10"/>
      <c r="T94" s="10" t="e">
        <f>IF(INDEX(GRAFO!$M$2:'GRAFO'!$M$46,MATCH(O94,GRAFO!$M$2:'GRAFO'!$M$46,0),1)&lt;&gt;0,1,0)</f>
        <v>#N/A</v>
      </c>
      <c r="U94" s="10">
        <f t="shared" si="8"/>
        <v>0</v>
      </c>
    </row>
    <row r="95" spans="1:21">
      <c r="D95" s="10" t="str">
        <f t="shared" si="3"/>
        <v>politico</v>
      </c>
      <c r="E95" s="10" t="str">
        <f t="shared" si="4"/>
        <v>owl:equivalentClass</v>
      </c>
      <c r="F95" s="10" t="str">
        <f t="shared" si="5"/>
        <v>presidente_da_republica</v>
      </c>
      <c r="G95" s="3" t="str">
        <f t="shared" si="6"/>
        <v>OK</v>
      </c>
      <c r="I95" s="10" t="str">
        <f t="shared" si="1"/>
        <v>politico-presidente_da_republica</v>
      </c>
      <c r="J95" s="10"/>
      <c r="K95" s="10"/>
      <c r="L95" s="3" t="e">
        <f>IF(INDEX(GRAFO!$L$2:'GRAFO'!$L$46,MATCH(I95,GRAFO!$L$2:'GRAFO'!$L$46,0),1)&lt;&gt;0,1,0)</f>
        <v>#N/A</v>
      </c>
      <c r="M95" s="3">
        <f t="shared" si="7"/>
        <v>0</v>
      </c>
      <c r="O95" s="10" t="str">
        <f t="shared" si="2"/>
        <v>politico-owl:equivalentClass-presidente_da_republica</v>
      </c>
      <c r="P95" s="10"/>
      <c r="Q95" s="10"/>
      <c r="R95" s="10"/>
      <c r="S95" s="10"/>
      <c r="T95" s="10" t="e">
        <f>IF(INDEX(GRAFO!$M$2:'GRAFO'!$M$46,MATCH(O95,GRAFO!$M$2:'GRAFO'!$M$46,0),1)&lt;&gt;0,1,0)</f>
        <v>#N/A</v>
      </c>
      <c r="U95" s="10">
        <f t="shared" si="8"/>
        <v>0</v>
      </c>
    </row>
    <row r="96" spans="1:21">
      <c r="D96" s="10" t="str">
        <f t="shared" si="3"/>
        <v>comandos_operacionais</v>
      </c>
      <c r="E96" s="10" t="str">
        <f t="shared" si="4"/>
        <v>c2rm:responsible_for</v>
      </c>
      <c r="F96" s="10" t="str">
        <f t="shared" si="5"/>
        <v>plano_operacional</v>
      </c>
      <c r="G96" s="3" t="str">
        <f t="shared" si="6"/>
        <v>NOK</v>
      </c>
      <c r="I96" s="10" t="str">
        <f t="shared" si="1"/>
        <v>comandos_operacionais-plano_operacional</v>
      </c>
      <c r="J96" s="10"/>
      <c r="K96" s="10"/>
      <c r="L96" s="3" t="e">
        <f>IF(INDEX(GRAFO!$L$2:'GRAFO'!$L$46,MATCH(I96,GRAFO!$L$2:'GRAFO'!$L$46,0),1)&lt;&gt;0,1,0)</f>
        <v>#N/A</v>
      </c>
      <c r="M96" s="3">
        <f t="shared" si="7"/>
        <v>0</v>
      </c>
      <c r="O96" s="10" t="str">
        <f t="shared" si="2"/>
        <v>comandos_operacionais-c2rm:responsible_for-plano_operacional</v>
      </c>
      <c r="P96" s="10"/>
      <c r="Q96" s="10"/>
      <c r="R96" s="10"/>
      <c r="S96" s="10"/>
      <c r="T96" s="10" t="e">
        <f>IF(INDEX(GRAFO!$M$2:'GRAFO'!$M$46,MATCH(O96,GRAFO!$M$2:'GRAFO'!$M$46,0),1)&lt;&gt;0,1,0)</f>
        <v>#N/A</v>
      </c>
      <c r="U96" s="10">
        <f t="shared" si="8"/>
        <v>0</v>
      </c>
    </row>
    <row r="97" spans="4:21">
      <c r="D97" s="10" t="str">
        <f t="shared" si="3"/>
        <v>forcas_armadas</v>
      </c>
      <c r="E97" s="10" t="str">
        <f t="shared" si="4"/>
        <v>c2rm:responsible_for</v>
      </c>
      <c r="F97" s="10" t="str">
        <f t="shared" si="5"/>
        <v>operacao_singular</v>
      </c>
      <c r="G97" s="3" t="str">
        <f t="shared" si="6"/>
        <v>NOK</v>
      </c>
      <c r="I97" s="10" t="str">
        <f t="shared" si="1"/>
        <v>forcas_armadas-operacao_singular</v>
      </c>
      <c r="J97" s="10"/>
      <c r="K97" s="10"/>
      <c r="L97" s="3" t="e">
        <f>IF(INDEX(GRAFO!$L$2:'GRAFO'!$L$46,MATCH(I97,GRAFO!$L$2:'GRAFO'!$L$46,0),1)&lt;&gt;0,1,0)</f>
        <v>#N/A</v>
      </c>
      <c r="M97" s="3">
        <f t="shared" si="7"/>
        <v>0</v>
      </c>
      <c r="O97" s="10" t="str">
        <f t="shared" si="2"/>
        <v>forcas_armadas-c2rm:responsible_for-operacao_singular</v>
      </c>
      <c r="P97" s="10"/>
      <c r="Q97" s="10"/>
      <c r="R97" s="10"/>
      <c r="S97" s="10"/>
      <c r="T97" s="10" t="e">
        <f>IF(INDEX(GRAFO!$M$2:'GRAFO'!$M$46,MATCH(O97,GRAFO!$M$2:'GRAFO'!$M$46,0),1)&lt;&gt;0,1,0)</f>
        <v>#N/A</v>
      </c>
      <c r="U97" s="10">
        <f t="shared" si="8"/>
        <v>0</v>
      </c>
    </row>
    <row r="98" spans="4:21">
      <c r="D98" s="10"/>
      <c r="E98" s="10"/>
      <c r="F98" s="10"/>
      <c r="G98" s="3"/>
      <c r="I98" s="10"/>
      <c r="J98" s="10"/>
      <c r="K98" s="10"/>
      <c r="L98" s="3"/>
      <c r="M98" s="3"/>
      <c r="O98" s="10"/>
      <c r="P98" s="10"/>
      <c r="Q98" s="10"/>
      <c r="R98" s="10"/>
      <c r="S98" s="10"/>
      <c r="T98" s="10"/>
      <c r="U98" s="10"/>
    </row>
    <row r="99" spans="4:21">
      <c r="D99" s="10"/>
      <c r="E99" s="10"/>
      <c r="F99" s="10"/>
      <c r="G99" s="3"/>
      <c r="I99" s="10"/>
      <c r="J99" s="10"/>
      <c r="K99" s="10"/>
      <c r="L99" s="3"/>
      <c r="M99" s="3"/>
      <c r="O99" s="10"/>
      <c r="P99" s="10"/>
      <c r="Q99" s="10"/>
      <c r="R99" s="10"/>
      <c r="S99" s="10"/>
      <c r="T99" s="10"/>
      <c r="U99" s="10"/>
    </row>
    <row r="100" spans="4:21">
      <c r="D100" s="10"/>
      <c r="E100" s="10"/>
      <c r="F100" s="10"/>
      <c r="G100" s="3"/>
      <c r="I100" s="10"/>
      <c r="J100" s="10"/>
      <c r="K100" s="10"/>
      <c r="L100" s="3"/>
      <c r="M100" s="3"/>
      <c r="O100" s="10"/>
      <c r="P100" s="10"/>
      <c r="Q100" s="10"/>
      <c r="R100" s="10"/>
      <c r="S100" s="10"/>
      <c r="T100" s="10"/>
      <c r="U100" s="10"/>
    </row>
    <row r="101" spans="4:21">
      <c r="D101" s="10"/>
      <c r="E101" s="10"/>
      <c r="F101" s="10"/>
      <c r="G101" s="3"/>
      <c r="I101" s="10"/>
      <c r="J101" s="10"/>
      <c r="K101" s="10"/>
      <c r="L101" s="3"/>
      <c r="M101" s="3"/>
      <c r="O101" s="10"/>
      <c r="P101" s="10"/>
      <c r="Q101" s="10"/>
      <c r="R101" s="10"/>
      <c r="S101" s="10"/>
      <c r="T101" s="10"/>
      <c r="U101" s="10"/>
    </row>
    <row r="102" spans="4:21">
      <c r="D102" s="10"/>
      <c r="E102" s="10"/>
      <c r="F102" s="10"/>
      <c r="G102" s="3"/>
      <c r="I102" s="10"/>
      <c r="J102" s="10"/>
      <c r="K102" s="10"/>
      <c r="L102" s="3"/>
      <c r="M102" s="3"/>
      <c r="O102" s="10"/>
      <c r="P102" s="10"/>
      <c r="Q102" s="10"/>
      <c r="R102" s="10"/>
      <c r="S102" s="10"/>
      <c r="T102" s="10"/>
      <c r="U102" s="10"/>
    </row>
    <row r="103" spans="4:21">
      <c r="D103" s="10"/>
      <c r="E103" s="10"/>
      <c r="F103" s="10"/>
      <c r="G103" s="3"/>
    </row>
    <row r="104" spans="4:21">
      <c r="D104" s="10"/>
      <c r="E104" s="10"/>
      <c r="F104" s="10"/>
      <c r="G104" s="3"/>
    </row>
    <row r="105" spans="4:21">
      <c r="D105" s="10"/>
      <c r="E105" s="10"/>
      <c r="F105" s="10"/>
      <c r="G105" s="3"/>
    </row>
    <row r="106" spans="4:21">
      <c r="D106" s="10"/>
      <c r="E106" s="10"/>
      <c r="F106" s="10"/>
      <c r="G106" s="3"/>
    </row>
    <row r="107" spans="4:21">
      <c r="D107" s="10"/>
      <c r="E107" s="10"/>
      <c r="F107" s="10"/>
      <c r="G107" s="3"/>
    </row>
    <row r="108" spans="4:21">
      <c r="D108" s="10"/>
      <c r="E108" s="10"/>
      <c r="F108" s="10"/>
      <c r="G108" s="3"/>
    </row>
    <row r="109" spans="4:21">
      <c r="D109" s="10"/>
      <c r="E109" s="10"/>
      <c r="F109" s="10"/>
      <c r="G109" s="3"/>
    </row>
    <row r="110" spans="4:21">
      <c r="D110" s="10"/>
      <c r="E110" s="10"/>
      <c r="F110" s="10"/>
      <c r="G110" s="3"/>
    </row>
    <row r="111" spans="4:21">
      <c r="D111" s="10"/>
      <c r="E111" s="10"/>
      <c r="F111" s="10"/>
      <c r="G111" s="3"/>
    </row>
    <row r="112" spans="4:21">
      <c r="D112" s="10"/>
      <c r="E112" s="10"/>
      <c r="F112" s="10"/>
      <c r="G112" s="3"/>
    </row>
    <row r="113" spans="4:7">
      <c r="D113" s="10"/>
      <c r="E113" s="10"/>
      <c r="F113" s="10"/>
      <c r="G113" s="3"/>
    </row>
    <row r="114" spans="4:7">
      <c r="D114" s="10"/>
      <c r="E114" s="10"/>
      <c r="F114" s="10"/>
      <c r="G114" s="3"/>
    </row>
    <row r="115" spans="4:7">
      <c r="D115" s="10"/>
      <c r="E115" s="10"/>
      <c r="F115" s="10"/>
      <c r="G115" s="3"/>
    </row>
    <row r="116" spans="4:7">
      <c r="D116" s="10"/>
      <c r="E116" s="10"/>
      <c r="F116" s="10"/>
      <c r="G116" s="3"/>
    </row>
  </sheetData>
  <mergeCells count="10">
    <mergeCell ref="I57:K57"/>
    <mergeCell ref="L57:M57"/>
    <mergeCell ref="O57:S57"/>
    <mergeCell ref="T57:U57"/>
    <mergeCell ref="A1:B1"/>
    <mergeCell ref="D1:F1"/>
    <mergeCell ref="K4:K5"/>
    <mergeCell ref="D56:G56"/>
    <mergeCell ref="I56:M56"/>
    <mergeCell ref="O56:U56"/>
  </mergeCells>
  <dataValidations count="13">
    <dataValidation type="list" allowBlank="1" showInputMessage="1" showErrorMessage="1" sqref="F22 D12:D14 F10:F14 D10">
      <formula1>$A$3:$A$44</formula1>
    </dataValidation>
    <dataValidation type="list" allowBlank="1" showInputMessage="1" showErrorMessage="1" sqref="E10:E14">
      <formula1>$A$58:$A$67</formula1>
    </dataValidation>
    <dataValidation type="list" allowBlank="1" showInputMessage="1" showErrorMessage="1" sqref="B3">
      <formula1>$Y$3:$Y$31</formula1>
    </dataValidation>
    <dataValidation type="list" allowBlank="1" showInputMessage="1" showErrorMessage="1" sqref="E55">
      <formula1>$A$58:$A$66</formula1>
    </dataValidation>
    <dataValidation type="list" allowBlank="1" showInputMessage="1" showErrorMessage="1" sqref="F55 D55">
      <formula1>$A$3:$A$28</formula1>
    </dataValidation>
    <dataValidation type="list" allowBlank="1" showInputMessage="1" showErrorMessage="1" sqref="B58:B78">
      <formula1>$AE$2:$AE$12</formula1>
    </dataValidation>
    <dataValidation type="list" allowBlank="1" showInputMessage="1" showErrorMessage="1" sqref="H3:H62 G3:G55">
      <formula1>$A$3:$A$22</formula1>
    </dataValidation>
    <dataValidation type="list" allowBlank="1" showInputMessage="1" showErrorMessage="1" sqref="C3:C55 B4:B8 B10:B55">
      <formula1>$Y$3:$Y$57</formula1>
    </dataValidation>
    <dataValidation type="list" allowBlank="1" showInputMessage="1" showErrorMessage="1" sqref="F56:G56">
      <formula1>$A$3:$A$27</formula1>
    </dataValidation>
    <dataValidation type="list" allowBlank="1" showInputMessage="1" showErrorMessage="1" sqref="F15:F21 D3:D9 F3:F9 D29 D11 D15:D27 F23:F29">
      <formula1>$A$3:$A$35</formula1>
    </dataValidation>
    <dataValidation type="list" allowBlank="1" showInputMessage="1" showErrorMessage="1" sqref="E3:E9 E15:E39">
      <formula1>$A$58:$A$77</formula1>
    </dataValidation>
    <dataValidation type="list" allowBlank="1" showInputMessage="1" showErrorMessage="1" sqref="D28 D30:D54 F30:F54">
      <formula1>$A$3:$A$36</formula1>
    </dataValidation>
    <dataValidation type="list" allowBlank="1" showInputMessage="1" showErrorMessage="1" sqref="E40:E54">
      <formula1>$A$58:$A$78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E116"/>
  <sheetViews>
    <sheetView topLeftCell="F1" zoomScale="85" zoomScaleNormal="85" workbookViewId="0">
      <selection activeCell="Q5" sqref="Q5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58" t="s">
        <v>184</v>
      </c>
      <c r="AD2" s="58" t="s">
        <v>195</v>
      </c>
      <c r="AE2" s="58" t="s">
        <v>35</v>
      </c>
    </row>
    <row r="3" spans="1:31" ht="16.75">
      <c r="A3" s="46" t="s">
        <v>444</v>
      </c>
      <c r="B3" s="10" t="s">
        <v>9</v>
      </c>
      <c r="D3" s="46" t="s">
        <v>8</v>
      </c>
      <c r="E3" s="46" t="s">
        <v>101</v>
      </c>
      <c r="F3" s="46" t="s">
        <v>444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s="16" t="s">
        <v>33</v>
      </c>
      <c r="AC3" s="58" t="s">
        <v>185</v>
      </c>
      <c r="AD3" s="58" t="s">
        <v>196</v>
      </c>
      <c r="AE3" s="58" t="s">
        <v>4</v>
      </c>
    </row>
    <row r="4" spans="1:31" ht="16.75">
      <c r="A4" s="46" t="s">
        <v>8</v>
      </c>
      <c r="B4" s="10" t="s">
        <v>8</v>
      </c>
      <c r="D4" s="46" t="s">
        <v>10</v>
      </c>
      <c r="E4" s="46" t="s">
        <v>101</v>
      </c>
      <c r="F4" s="46" t="s">
        <v>444</v>
      </c>
      <c r="K4" s="85" t="s">
        <v>80</v>
      </c>
      <c r="L4" s="8" t="s">
        <v>0</v>
      </c>
      <c r="M4" s="4">
        <f>GRAFO!J2</f>
        <v>29</v>
      </c>
      <c r="N4" s="11">
        <f>COUNTA(A3:A33)</f>
        <v>31</v>
      </c>
      <c r="O4" s="11">
        <f>COUNTIF(B3:B33,"&lt;&gt;"&amp;"")</f>
        <v>12</v>
      </c>
      <c r="P4" s="2">
        <f>N4-R4</f>
        <v>12</v>
      </c>
      <c r="Q4" s="2">
        <f>M4-O4</f>
        <v>17</v>
      </c>
      <c r="R4" s="2">
        <f>N4-O4</f>
        <v>19</v>
      </c>
      <c r="S4" s="2">
        <f>O4+P4</f>
        <v>24</v>
      </c>
      <c r="T4" s="2">
        <f>Q4+R4</f>
        <v>36</v>
      </c>
      <c r="U4" s="6">
        <f>O4/(O4+R4)</f>
        <v>0.38709677419354838</v>
      </c>
      <c r="V4" s="6">
        <f>O4/(O4+Q4)</f>
        <v>0.41379310344827586</v>
      </c>
      <c r="W4" s="6">
        <f>(O4+P4)/(O4+P4+Q4+R4)</f>
        <v>0.4</v>
      </c>
      <c r="X4" s="62">
        <f>AVERAGE(U4:W4)</f>
        <v>0.40029662588060805</v>
      </c>
      <c r="Y4" s="16" t="s">
        <v>21</v>
      </c>
      <c r="AC4" s="58" t="s">
        <v>186</v>
      </c>
      <c r="AD4" s="58" t="s">
        <v>197</v>
      </c>
      <c r="AE4" s="58" t="s">
        <v>205</v>
      </c>
    </row>
    <row r="5" spans="1:31" ht="16.75">
      <c r="A5" s="46" t="s">
        <v>10</v>
      </c>
      <c r="B5" s="10" t="s">
        <v>10</v>
      </c>
      <c r="D5" s="46" t="s">
        <v>12</v>
      </c>
      <c r="E5" s="46" t="s">
        <v>101</v>
      </c>
      <c r="F5" s="46" t="s">
        <v>444</v>
      </c>
      <c r="K5" s="85"/>
      <c r="L5" s="8" t="s">
        <v>100</v>
      </c>
      <c r="M5" s="5">
        <f>GRAFO!J3</f>
        <v>41</v>
      </c>
      <c r="N5" s="12">
        <f>COUNTA(D58:D101)</f>
        <v>44</v>
      </c>
      <c r="O5" s="12">
        <f>COUNTIF(M58:M101,"=1")</f>
        <v>4</v>
      </c>
      <c r="P5" s="2">
        <f>N5-R5</f>
        <v>4</v>
      </c>
      <c r="Q5" s="2">
        <f>M5-O5</f>
        <v>37</v>
      </c>
      <c r="R5" s="2">
        <f>N5-O5</f>
        <v>40</v>
      </c>
      <c r="S5" s="2">
        <f>O5+P5</f>
        <v>8</v>
      </c>
      <c r="T5" s="2">
        <f>Q5+R5</f>
        <v>77</v>
      </c>
      <c r="U5" s="6">
        <f>O5/(O5+R5)</f>
        <v>9.0909090909090912E-2</v>
      </c>
      <c r="V5" s="6">
        <f>O5/(O5+Q5)</f>
        <v>9.7560975609756101E-2</v>
      </c>
      <c r="W5" s="6">
        <f>(O5+P5)/(O5+P5+Q5+R5)</f>
        <v>9.4117647058823528E-2</v>
      </c>
      <c r="X5" s="62">
        <f t="shared" ref="X5:X6" si="0">AVERAGE(U5:W5)</f>
        <v>9.4195904525890176E-2</v>
      </c>
      <c r="Y5" s="16" t="s">
        <v>17</v>
      </c>
      <c r="AC5" s="58" t="s">
        <v>187</v>
      </c>
      <c r="AD5" s="58" t="s">
        <v>198</v>
      </c>
      <c r="AE5" s="58" t="s">
        <v>3</v>
      </c>
    </row>
    <row r="6" spans="1:31" ht="16.75">
      <c r="A6" s="46" t="s">
        <v>12</v>
      </c>
      <c r="B6" s="10" t="s">
        <v>12</v>
      </c>
      <c r="D6" s="46" t="s">
        <v>11</v>
      </c>
      <c r="E6" s="46" t="s">
        <v>101</v>
      </c>
      <c r="F6" s="46" t="s">
        <v>444</v>
      </c>
      <c r="L6" s="8" t="s">
        <v>99</v>
      </c>
      <c r="M6" s="5">
        <v>41</v>
      </c>
      <c r="N6" s="12">
        <f>COUNTA(D58:D101)</f>
        <v>44</v>
      </c>
      <c r="O6" s="12">
        <f>COUNTIF(U58:U101,"=1")</f>
        <v>4</v>
      </c>
      <c r="P6" s="2">
        <f>N6-R6</f>
        <v>4</v>
      </c>
      <c r="Q6" s="2">
        <f>M6-O6</f>
        <v>37</v>
      </c>
      <c r="R6" s="2">
        <f>N6-O6</f>
        <v>40</v>
      </c>
      <c r="S6" s="2">
        <f>O6+P6</f>
        <v>8</v>
      </c>
      <c r="T6" s="2">
        <f>Q6+R6</f>
        <v>77</v>
      </c>
      <c r="U6" s="6">
        <f>O6/(O6+R6)</f>
        <v>9.0909090909090912E-2</v>
      </c>
      <c r="V6" s="6">
        <f>O6/(O6+Q6)</f>
        <v>9.7560975609756101E-2</v>
      </c>
      <c r="W6" s="6">
        <f>(O6+P6)/(O6+P6+Q6+R6)</f>
        <v>9.4117647058823528E-2</v>
      </c>
      <c r="X6" s="62">
        <f t="shared" si="0"/>
        <v>9.4195904525890176E-2</v>
      </c>
      <c r="Y6" s="16" t="s">
        <v>40</v>
      </c>
      <c r="AC6" s="58" t="s">
        <v>188</v>
      </c>
      <c r="AD6" s="58" t="s">
        <v>199</v>
      </c>
      <c r="AE6" s="58" t="s">
        <v>6</v>
      </c>
    </row>
    <row r="7" spans="1:31" ht="16.75">
      <c r="A7" s="46" t="s">
        <v>11</v>
      </c>
      <c r="B7" s="10" t="s">
        <v>11</v>
      </c>
      <c r="D7" s="46" t="s">
        <v>55</v>
      </c>
      <c r="E7" s="46" t="s">
        <v>101</v>
      </c>
      <c r="F7" s="46" t="s">
        <v>64</v>
      </c>
      <c r="X7" s="62">
        <f>AVERAGE(X4:X6)</f>
        <v>0.19622947831079615</v>
      </c>
      <c r="Y7" s="16" t="s">
        <v>13</v>
      </c>
      <c r="AC7" s="58" t="s">
        <v>189</v>
      </c>
      <c r="AD7" s="58" t="s">
        <v>200</v>
      </c>
      <c r="AE7" s="58" t="s">
        <v>206</v>
      </c>
    </row>
    <row r="8" spans="1:31" ht="16.75">
      <c r="A8" s="46" t="s">
        <v>53</v>
      </c>
      <c r="B8" s="10"/>
      <c r="D8" s="46" t="s">
        <v>56</v>
      </c>
      <c r="E8" s="46" t="s">
        <v>101</v>
      </c>
      <c r="F8" s="46" t="s">
        <v>64</v>
      </c>
      <c r="Y8" s="16" t="s">
        <v>39</v>
      </c>
      <c r="AC8" s="58" t="s">
        <v>190</v>
      </c>
      <c r="AD8" s="58" t="s">
        <v>148</v>
      </c>
      <c r="AE8" s="58" t="s">
        <v>36</v>
      </c>
    </row>
    <row r="9" spans="1:31" ht="16.75">
      <c r="A9" s="46" t="s">
        <v>66</v>
      </c>
      <c r="B9" s="10" t="s">
        <v>22</v>
      </c>
      <c r="D9" s="46" t="s">
        <v>57</v>
      </c>
      <c r="E9" s="46" t="s">
        <v>101</v>
      </c>
      <c r="F9" s="46" t="s">
        <v>64</v>
      </c>
      <c r="K9" t="s">
        <v>74</v>
      </c>
      <c r="L9" t="s">
        <v>75</v>
      </c>
      <c r="N9">
        <f>GRAFO!J2</f>
        <v>29</v>
      </c>
      <c r="Y9" s="16" t="s">
        <v>19</v>
      </c>
      <c r="AC9" s="58" t="s">
        <v>191</v>
      </c>
      <c r="AD9" s="58" t="s">
        <v>201</v>
      </c>
      <c r="AE9" s="58" t="s">
        <v>7</v>
      </c>
    </row>
    <row r="10" spans="1:31" ht="16.75">
      <c r="A10" s="46" t="s">
        <v>446</v>
      </c>
      <c r="B10" s="10"/>
      <c r="D10" s="46" t="s">
        <v>64</v>
      </c>
      <c r="E10" s="46" t="s">
        <v>140</v>
      </c>
      <c r="F10" s="46" t="s">
        <v>451</v>
      </c>
      <c r="K10" t="s">
        <v>80</v>
      </c>
      <c r="L10" t="s">
        <v>76</v>
      </c>
      <c r="N10">
        <f>N4</f>
        <v>31</v>
      </c>
      <c r="Y10" s="16" t="s">
        <v>37</v>
      </c>
      <c r="AC10" s="58" t="s">
        <v>192</v>
      </c>
      <c r="AD10" s="58" t="s">
        <v>202</v>
      </c>
      <c r="AE10" s="58" t="s">
        <v>207</v>
      </c>
    </row>
    <row r="11" spans="1:31" ht="16.75">
      <c r="A11" s="46" t="s">
        <v>153</v>
      </c>
      <c r="B11" s="10"/>
      <c r="D11" s="46" t="s">
        <v>64</v>
      </c>
      <c r="E11" s="46" t="s">
        <v>140</v>
      </c>
      <c r="F11" s="46" t="s">
        <v>382</v>
      </c>
      <c r="K11" t="s">
        <v>68</v>
      </c>
      <c r="L11" t="s">
        <v>77</v>
      </c>
      <c r="N11">
        <v>16</v>
      </c>
      <c r="Y11" s="16" t="s">
        <v>10</v>
      </c>
      <c r="AC11" s="58" t="s">
        <v>193</v>
      </c>
      <c r="AD11" s="58" t="s">
        <v>203</v>
      </c>
      <c r="AE11" s="58" t="s">
        <v>208</v>
      </c>
    </row>
    <row r="12" spans="1:31" ht="16.75">
      <c r="A12" s="46" t="s">
        <v>64</v>
      </c>
      <c r="B12" s="10" t="s">
        <v>28</v>
      </c>
      <c r="D12" s="46" t="s">
        <v>451</v>
      </c>
      <c r="E12" s="46" t="s">
        <v>101</v>
      </c>
      <c r="F12" s="46" t="s">
        <v>450</v>
      </c>
      <c r="K12" t="s">
        <v>70</v>
      </c>
      <c r="L12" t="s">
        <v>78</v>
      </c>
      <c r="M12" t="s">
        <v>86</v>
      </c>
      <c r="N12">
        <f>N9-N11</f>
        <v>13</v>
      </c>
      <c r="Y12" s="16" t="s">
        <v>14</v>
      </c>
      <c r="AC12" s="58" t="s">
        <v>194</v>
      </c>
      <c r="AD12" s="58" t="s">
        <v>204</v>
      </c>
      <c r="AE12" s="58" t="s">
        <v>5</v>
      </c>
    </row>
    <row r="13" spans="1:31" ht="16.75">
      <c r="A13" s="46" t="s">
        <v>55</v>
      </c>
      <c r="B13" s="10" t="s">
        <v>32</v>
      </c>
      <c r="D13" s="46" t="s">
        <v>451</v>
      </c>
      <c r="E13" s="46" t="s">
        <v>101</v>
      </c>
      <c r="F13" s="46" t="s">
        <v>445</v>
      </c>
      <c r="K13" t="s">
        <v>69</v>
      </c>
      <c r="L13" t="s">
        <v>79</v>
      </c>
      <c r="M13" t="s">
        <v>87</v>
      </c>
      <c r="Y13" s="16" t="s">
        <v>34</v>
      </c>
    </row>
    <row r="14" spans="1:31" ht="16.75">
      <c r="A14" s="46" t="s">
        <v>56</v>
      </c>
      <c r="B14" s="10" t="s">
        <v>34</v>
      </c>
      <c r="D14" s="46" t="s">
        <v>451</v>
      </c>
      <c r="E14" s="46" t="s">
        <v>101</v>
      </c>
      <c r="F14" s="46" t="s">
        <v>452</v>
      </c>
      <c r="K14" t="s">
        <v>83</v>
      </c>
      <c r="M14" t="s">
        <v>88</v>
      </c>
      <c r="Y14" s="16" t="s">
        <v>27</v>
      </c>
    </row>
    <row r="15" spans="1:31" ht="16.75">
      <c r="A15" s="46" t="s">
        <v>57</v>
      </c>
      <c r="B15" s="10" t="s">
        <v>33</v>
      </c>
      <c r="D15" s="46" t="s">
        <v>448</v>
      </c>
      <c r="E15" s="46" t="s">
        <v>101</v>
      </c>
      <c r="F15" s="46" t="s">
        <v>382</v>
      </c>
      <c r="K15" t="s">
        <v>89</v>
      </c>
      <c r="M15" t="s">
        <v>92</v>
      </c>
      <c r="Y15" s="16" t="s">
        <v>28</v>
      </c>
    </row>
    <row r="16" spans="1:31" ht="16.75">
      <c r="A16" s="46" t="s">
        <v>154</v>
      </c>
      <c r="B16" s="10"/>
      <c r="D16" s="46" t="s">
        <v>64</v>
      </c>
      <c r="E16" s="46" t="s">
        <v>168</v>
      </c>
      <c r="F16" s="46" t="s">
        <v>449</v>
      </c>
      <c r="K16" t="s">
        <v>90</v>
      </c>
      <c r="M16" t="s">
        <v>93</v>
      </c>
      <c r="Y16" s="16" t="s">
        <v>30</v>
      </c>
    </row>
    <row r="17" spans="1:25" ht="16.75">
      <c r="A17" s="46" t="s">
        <v>233</v>
      </c>
      <c r="B17" s="10" t="s">
        <v>21</v>
      </c>
      <c r="D17" s="46" t="s">
        <v>453</v>
      </c>
      <c r="E17" s="46" t="s">
        <v>140</v>
      </c>
      <c r="F17" s="46" t="s">
        <v>64</v>
      </c>
      <c r="K17" t="s">
        <v>91</v>
      </c>
      <c r="M17" t="s">
        <v>94</v>
      </c>
      <c r="Y17" s="16" t="s">
        <v>29</v>
      </c>
    </row>
    <row r="18" spans="1:25" ht="16.75">
      <c r="A18" s="46" t="s">
        <v>382</v>
      </c>
      <c r="B18" s="10"/>
      <c r="D18" s="46" t="s">
        <v>453</v>
      </c>
      <c r="E18" s="46" t="s">
        <v>168</v>
      </c>
      <c r="F18" s="46" t="s">
        <v>66</v>
      </c>
      <c r="K18" t="s">
        <v>84</v>
      </c>
      <c r="M18" t="s">
        <v>95</v>
      </c>
      <c r="Y18" s="16" t="s">
        <v>31</v>
      </c>
    </row>
    <row r="19" spans="1:25" ht="16.75">
      <c r="A19" s="46" t="s">
        <v>59</v>
      </c>
      <c r="B19" s="10"/>
      <c r="D19" s="46" t="s">
        <v>8</v>
      </c>
      <c r="E19" s="46" t="s">
        <v>140</v>
      </c>
      <c r="F19" s="46" t="s">
        <v>233</v>
      </c>
      <c r="K19" t="s">
        <v>85</v>
      </c>
      <c r="M19" t="s">
        <v>96</v>
      </c>
      <c r="Y19" s="16" t="s">
        <v>171</v>
      </c>
    </row>
    <row r="20" spans="1:25" ht="16.75">
      <c r="A20" s="46" t="s">
        <v>445</v>
      </c>
      <c r="B20" s="10"/>
      <c r="D20" s="46" t="s">
        <v>10</v>
      </c>
      <c r="E20" s="46" t="s">
        <v>140</v>
      </c>
      <c r="F20" s="46" t="s">
        <v>53</v>
      </c>
      <c r="K20" t="s">
        <v>97</v>
      </c>
      <c r="M20" t="s">
        <v>98</v>
      </c>
      <c r="Y20" s="16" t="s">
        <v>15</v>
      </c>
    </row>
    <row r="21" spans="1:25" ht="16.75">
      <c r="A21" s="46" t="s">
        <v>312</v>
      </c>
      <c r="B21" s="10"/>
      <c r="D21" s="46" t="s">
        <v>12</v>
      </c>
      <c r="E21" s="46" t="s">
        <v>140</v>
      </c>
      <c r="F21" s="46" t="s">
        <v>445</v>
      </c>
      <c r="Y21" s="16" t="s">
        <v>16</v>
      </c>
    </row>
    <row r="22" spans="1:25" ht="16.75">
      <c r="A22" s="46" t="s">
        <v>52</v>
      </c>
      <c r="B22" s="10" t="s">
        <v>20</v>
      </c>
      <c r="D22" s="46" t="s">
        <v>11</v>
      </c>
      <c r="E22" s="46" t="s">
        <v>140</v>
      </c>
      <c r="F22" s="46" t="s">
        <v>64</v>
      </c>
      <c r="Y22" s="16" t="s">
        <v>32</v>
      </c>
    </row>
    <row r="23" spans="1:25" ht="16.75">
      <c r="A23" s="46" t="s">
        <v>118</v>
      </c>
      <c r="B23" s="10"/>
      <c r="D23" s="46" t="s">
        <v>8</v>
      </c>
      <c r="E23" s="46" t="s">
        <v>140</v>
      </c>
      <c r="F23" s="46" t="s">
        <v>312</v>
      </c>
      <c r="Y23" s="16" t="s">
        <v>9</v>
      </c>
    </row>
    <row r="24" spans="1:25" ht="16.75">
      <c r="A24" s="46" t="s">
        <v>447</v>
      </c>
      <c r="B24" s="10"/>
      <c r="D24" s="46" t="s">
        <v>10</v>
      </c>
      <c r="E24" s="46" t="s">
        <v>140</v>
      </c>
      <c r="F24" s="46" t="s">
        <v>153</v>
      </c>
      <c r="Y24" s="16" t="s">
        <v>18</v>
      </c>
    </row>
    <row r="25" spans="1:25" ht="16.75">
      <c r="A25" s="46" t="s">
        <v>62</v>
      </c>
      <c r="B25" s="10"/>
      <c r="D25" s="46" t="s">
        <v>12</v>
      </c>
      <c r="E25" s="46" t="s">
        <v>140</v>
      </c>
      <c r="F25" s="46" t="s">
        <v>446</v>
      </c>
      <c r="Y25" s="16" t="s">
        <v>23</v>
      </c>
    </row>
    <row r="26" spans="1:25" ht="16.75">
      <c r="A26" s="46" t="s">
        <v>448</v>
      </c>
      <c r="B26" s="10"/>
      <c r="D26" s="46" t="s">
        <v>11</v>
      </c>
      <c r="E26" s="46" t="s">
        <v>140</v>
      </c>
      <c r="F26" s="46" t="s">
        <v>154</v>
      </c>
      <c r="Y26" s="16" t="s">
        <v>22</v>
      </c>
    </row>
    <row r="27" spans="1:25" ht="16.75">
      <c r="A27" s="46" t="s">
        <v>449</v>
      </c>
      <c r="B27" s="10"/>
      <c r="D27" s="46" t="s">
        <v>233</v>
      </c>
      <c r="E27" s="46" t="s">
        <v>101</v>
      </c>
      <c r="F27" s="46" t="s">
        <v>52</v>
      </c>
      <c r="Y27" s="16" t="s">
        <v>12</v>
      </c>
    </row>
    <row r="28" spans="1:25" ht="16.75">
      <c r="A28" s="46" t="s">
        <v>450</v>
      </c>
      <c r="B28" s="10"/>
      <c r="D28" s="46" t="s">
        <v>233</v>
      </c>
      <c r="E28" s="46" t="s">
        <v>147</v>
      </c>
      <c r="F28" s="46" t="s">
        <v>474</v>
      </c>
      <c r="Y28" s="16" t="s">
        <v>24</v>
      </c>
    </row>
    <row r="29" spans="1:25" ht="16.75">
      <c r="A29" s="46" t="s">
        <v>451</v>
      </c>
      <c r="B29" s="10"/>
      <c r="D29" s="46" t="s">
        <v>312</v>
      </c>
      <c r="E29" s="46" t="s">
        <v>475</v>
      </c>
      <c r="F29" s="46" t="s">
        <v>474</v>
      </c>
      <c r="Y29" s="16" t="s">
        <v>8</v>
      </c>
    </row>
    <row r="30" spans="1:25" ht="16.75">
      <c r="A30" s="46" t="s">
        <v>452</v>
      </c>
      <c r="B30" s="10"/>
      <c r="D30" s="46" t="s">
        <v>312</v>
      </c>
      <c r="E30" s="46" t="s">
        <v>473</v>
      </c>
      <c r="F30" s="46" t="s">
        <v>233</v>
      </c>
      <c r="Y30" s="16" t="s">
        <v>20</v>
      </c>
    </row>
    <row r="31" spans="1:25" ht="16.75">
      <c r="A31" s="46" t="s">
        <v>453</v>
      </c>
      <c r="B31" s="10"/>
      <c r="D31" s="46" t="s">
        <v>52</v>
      </c>
      <c r="E31" s="46" t="s">
        <v>101</v>
      </c>
      <c r="F31" s="46" t="s">
        <v>118</v>
      </c>
      <c r="Y31" s="16" t="s">
        <v>11</v>
      </c>
    </row>
    <row r="32" spans="1:25">
      <c r="A32" s="46" t="s">
        <v>474</v>
      </c>
      <c r="B32" s="10"/>
      <c r="D32" s="46" t="s">
        <v>312</v>
      </c>
      <c r="E32" s="46" t="s">
        <v>294</v>
      </c>
      <c r="F32" s="46" t="s">
        <v>153</v>
      </c>
    </row>
    <row r="33" spans="1:6">
      <c r="A33" s="46" t="s">
        <v>447</v>
      </c>
      <c r="B33" s="10"/>
      <c r="D33" s="46" t="s">
        <v>53</v>
      </c>
      <c r="E33" s="46" t="s">
        <v>147</v>
      </c>
      <c r="F33" s="46" t="s">
        <v>447</v>
      </c>
    </row>
    <row r="34" spans="1:6">
      <c r="A34" s="60"/>
      <c r="B34" s="10"/>
      <c r="D34" s="46" t="s">
        <v>153</v>
      </c>
      <c r="E34" s="46" t="s">
        <v>473</v>
      </c>
      <c r="F34" s="46" t="s">
        <v>53</v>
      </c>
    </row>
    <row r="35" spans="1:6">
      <c r="A35" s="60"/>
      <c r="B35" s="10"/>
      <c r="D35" s="46" t="s">
        <v>153</v>
      </c>
      <c r="E35" s="46" t="s">
        <v>475</v>
      </c>
      <c r="F35" s="46" t="s">
        <v>447</v>
      </c>
    </row>
    <row r="36" spans="1:6">
      <c r="A36" s="60"/>
      <c r="B36" s="10"/>
      <c r="D36" s="46" t="s">
        <v>153</v>
      </c>
      <c r="E36" s="46" t="s">
        <v>294</v>
      </c>
      <c r="F36" s="46" t="s">
        <v>446</v>
      </c>
    </row>
    <row r="37" spans="1:6">
      <c r="A37" s="46"/>
      <c r="B37" s="10"/>
      <c r="D37" s="46" t="s">
        <v>446</v>
      </c>
      <c r="E37" s="46" t="s">
        <v>294</v>
      </c>
      <c r="F37" s="46" t="s">
        <v>154</v>
      </c>
    </row>
    <row r="38" spans="1:6">
      <c r="A38" s="46"/>
      <c r="B38" s="10"/>
      <c r="D38" s="46" t="s">
        <v>445</v>
      </c>
      <c r="E38" s="46" t="s">
        <v>215</v>
      </c>
      <c r="F38" s="46" t="s">
        <v>59</v>
      </c>
    </row>
    <row r="39" spans="1:6">
      <c r="A39" s="46"/>
      <c r="B39" s="10"/>
      <c r="D39" s="46" t="s">
        <v>445</v>
      </c>
      <c r="E39" s="46" t="s">
        <v>147</v>
      </c>
      <c r="F39" s="46" t="s">
        <v>66</v>
      </c>
    </row>
    <row r="40" spans="1:6">
      <c r="A40" s="46"/>
      <c r="B40" s="10"/>
      <c r="D40" s="46" t="s">
        <v>446</v>
      </c>
      <c r="E40" s="46" t="s">
        <v>473</v>
      </c>
      <c r="F40" s="46" t="s">
        <v>445</v>
      </c>
    </row>
    <row r="41" spans="1:6">
      <c r="A41" s="46"/>
      <c r="B41" s="10"/>
      <c r="D41" s="46" t="s">
        <v>446</v>
      </c>
      <c r="E41" s="46" t="s">
        <v>475</v>
      </c>
      <c r="F41" s="46" t="s">
        <v>66</v>
      </c>
    </row>
    <row r="42" spans="1:6">
      <c r="A42" s="46"/>
      <c r="B42" s="10"/>
      <c r="D42" s="46" t="s">
        <v>446</v>
      </c>
      <c r="E42" s="46" t="s">
        <v>364</v>
      </c>
      <c r="F42" s="46" t="s">
        <v>62</v>
      </c>
    </row>
    <row r="43" spans="1:6">
      <c r="A43" s="46"/>
      <c r="B43" s="10"/>
      <c r="D43" s="46" t="s">
        <v>446</v>
      </c>
      <c r="E43" s="46" t="s">
        <v>364</v>
      </c>
      <c r="F43" s="46" t="s">
        <v>448</v>
      </c>
    </row>
    <row r="44" spans="1:6">
      <c r="A44" s="46"/>
      <c r="B44" s="10"/>
      <c r="D44" s="46" t="s">
        <v>450</v>
      </c>
      <c r="E44" s="46" t="s">
        <v>147</v>
      </c>
      <c r="F44" s="46" t="s">
        <v>449</v>
      </c>
    </row>
    <row r="45" spans="1:6">
      <c r="A45" s="46"/>
      <c r="B45" s="10"/>
      <c r="D45" s="46" t="s">
        <v>154</v>
      </c>
      <c r="E45" s="46" t="s">
        <v>473</v>
      </c>
      <c r="F45" s="46" t="s">
        <v>450</v>
      </c>
    </row>
    <row r="46" spans="1:6">
      <c r="A46" s="46"/>
      <c r="B46" s="10"/>
      <c r="D46" s="46" t="s">
        <v>154</v>
      </c>
      <c r="E46" s="46" t="s">
        <v>475</v>
      </c>
      <c r="F46" s="46" t="s">
        <v>449</v>
      </c>
    </row>
    <row r="47" spans="1:6">
      <c r="A47" s="46"/>
      <c r="B47" s="10"/>
      <c r="D47" s="46"/>
      <c r="E47" s="46"/>
      <c r="F47" s="46"/>
    </row>
    <row r="48" spans="1:6">
      <c r="A48" s="46"/>
      <c r="B48" s="10"/>
      <c r="D48" s="46"/>
      <c r="E48" s="46"/>
      <c r="F48" s="46"/>
    </row>
    <row r="49" spans="1:21">
      <c r="A49" s="46"/>
      <c r="B49" s="10"/>
      <c r="D49" s="46"/>
      <c r="E49" s="46"/>
      <c r="F49" s="46"/>
    </row>
    <row r="50" spans="1:21">
      <c r="A50" s="46"/>
      <c r="B50" s="10"/>
      <c r="D50" s="46"/>
      <c r="E50" s="46"/>
      <c r="F50" s="46"/>
    </row>
    <row r="51" spans="1:21">
      <c r="A51" s="46"/>
      <c r="B51" s="10"/>
      <c r="D51" s="46"/>
      <c r="E51" s="46"/>
      <c r="F51" s="46"/>
    </row>
    <row r="52" spans="1:21">
      <c r="A52" s="46"/>
      <c r="B52" s="10"/>
      <c r="D52" s="46"/>
      <c r="E52" s="46"/>
      <c r="F52" s="46"/>
    </row>
    <row r="53" spans="1:21">
      <c r="A53" s="46"/>
      <c r="B53" s="10"/>
      <c r="D53" s="46"/>
      <c r="E53" s="46"/>
      <c r="F53" s="46"/>
    </row>
    <row r="54" spans="1:21">
      <c r="A54" s="46"/>
      <c r="B54" s="10"/>
      <c r="D54" s="46"/>
      <c r="E54" s="46"/>
      <c r="F54" s="46"/>
    </row>
    <row r="55" spans="1:21">
      <c r="A55" s="46"/>
      <c r="B55" s="10"/>
    </row>
    <row r="56" spans="1:21">
      <c r="A56" s="59" t="s">
        <v>182</v>
      </c>
      <c r="B56" s="59"/>
      <c r="D56" s="104" t="s">
        <v>222</v>
      </c>
      <c r="E56" s="105"/>
      <c r="F56" s="105"/>
      <c r="G56" s="106"/>
      <c r="I56" s="98" t="s">
        <v>224</v>
      </c>
      <c r="J56" s="99"/>
      <c r="K56" s="99"/>
      <c r="L56" s="99"/>
      <c r="M56" s="100"/>
      <c r="O56" s="94" t="s">
        <v>229</v>
      </c>
      <c r="P56" s="94"/>
      <c r="Q56" s="94"/>
      <c r="R56" s="94"/>
      <c r="S56" s="94"/>
      <c r="T56" s="94"/>
      <c r="U56" s="94"/>
    </row>
    <row r="57" spans="1:21">
      <c r="A57" s="32" t="s">
        <v>251</v>
      </c>
      <c r="B57" s="33" t="s">
        <v>252</v>
      </c>
      <c r="D57" s="34" t="s">
        <v>220</v>
      </c>
      <c r="E57" s="34" t="s">
        <v>219</v>
      </c>
      <c r="F57" s="34" t="s">
        <v>221</v>
      </c>
      <c r="G57" s="34" t="s">
        <v>223</v>
      </c>
      <c r="I57" s="101" t="s">
        <v>225</v>
      </c>
      <c r="J57" s="102"/>
      <c r="K57" s="103"/>
      <c r="L57" s="101" t="s">
        <v>226</v>
      </c>
      <c r="M57" s="103"/>
      <c r="O57" s="95" t="s">
        <v>227</v>
      </c>
      <c r="P57" s="96"/>
      <c r="Q57" s="96"/>
      <c r="R57" s="96"/>
      <c r="S57" s="97"/>
      <c r="T57" s="95" t="s">
        <v>228</v>
      </c>
      <c r="U57" s="97"/>
    </row>
    <row r="58" spans="1:21">
      <c r="A58" s="46" t="s">
        <v>101</v>
      </c>
      <c r="B58" s="10" t="s">
        <v>3</v>
      </c>
      <c r="D58" s="10" t="str">
        <f>IF(INDEX($A$3:$B$33,MATCH(D3,$A$3:$A$33,0),2)&lt;&gt;0,INDEX($A$3:$B$33,MATCH(D3,$A$3:$A$33,0),2),D3)</f>
        <v>politico</v>
      </c>
      <c r="E58" s="10" t="str">
        <f>IF(INDEX($A$58:$B$66,MATCH(E3,$A$58:$A$66,0),2)&lt;&gt;0,INDEX($A$58:$B$66,MATCH(E3,$A$58:$A$66,0),2),E3)</f>
        <v>rdfs:subClassOf</v>
      </c>
      <c r="F58" s="10" t="str">
        <f>IF(INDEX($A$3:$B$31,MATCH(F3,$A$3:$A$31,0),2)&lt;&gt;0,INDEX($A$3:$B$31,MATCH(F3,$A$3:$A$31,0),2),F3)</f>
        <v>nivel</v>
      </c>
      <c r="G58" s="3" t="str">
        <f>IF(INDEX($A$3:$B$31,MATCH(F3,$A$3:$A$31,0),2)&lt;&gt;0,"OK","NOK")</f>
        <v>OK</v>
      </c>
      <c r="I58" s="10" t="str">
        <f t="shared" ref="I58:I101" si="1">D58 &amp;"-"&amp;F58</f>
        <v>politico-nivel</v>
      </c>
      <c r="J58" s="10"/>
      <c r="K58" s="10"/>
      <c r="L58" s="3">
        <f>IF(INDEX(GRAFO!$L$2:'GRAFO'!$L$46,MATCH(I58,GRAFO!$L$2:'GRAFO'!$L$46,0),1)&lt;&gt;0,1,0)</f>
        <v>1</v>
      </c>
      <c r="M58" s="3">
        <f>IFERROR(L58,0)</f>
        <v>1</v>
      </c>
      <c r="O58" s="10" t="str">
        <f t="shared" ref="O58:O101" si="2">D58 &amp; "-" &amp; E58 &amp; "-" &amp; F58</f>
        <v>politico-rdfs:subClassOf-nivel</v>
      </c>
      <c r="P58" s="10"/>
      <c r="Q58" s="10"/>
      <c r="R58" s="10"/>
      <c r="S58" s="10"/>
      <c r="T58" s="10">
        <f>IF(INDEX(GRAFO!$M$2:'GRAFO'!$M$46,MATCH(O58,GRAFO!$M$2:'GRAFO'!$M$46,0),1)&lt;&gt;0,1,0)</f>
        <v>1</v>
      </c>
      <c r="U58" s="10">
        <f>IFERROR(T58,0)</f>
        <v>1</v>
      </c>
    </row>
    <row r="59" spans="1:21">
      <c r="A59" s="46" t="s">
        <v>140</v>
      </c>
      <c r="B59" s="10" t="s">
        <v>205</v>
      </c>
      <c r="D59" s="10" t="str">
        <f t="shared" ref="D59:D101" si="3">IF(INDEX($A$3:$B$33,MATCH(D4,$A$3:$A$33,0),2)&lt;&gt;0,INDEX($A$3:$B$33,MATCH(D4,$A$3:$A$33,0),2),D4)</f>
        <v>estrategico</v>
      </c>
      <c r="E59" s="10" t="str">
        <f t="shared" ref="E59:E101" si="4">IF(INDEX($A$58:$B$66,MATCH(E4,$A$58:$A$66,0),2)&lt;&gt;0,INDEX($A$58:$B$66,MATCH(E4,$A$58:$A$66,0),2),E4)</f>
        <v>rdfs:subClassOf</v>
      </c>
      <c r="F59" s="10" t="str">
        <f t="shared" ref="F59:F101" si="5">IF(INDEX($A$3:$B$31,MATCH(F4,$A$3:$A$31,0),2)&lt;&gt;0,INDEX($A$3:$B$31,MATCH(F4,$A$3:$A$31,0),2),F4)</f>
        <v>nivel</v>
      </c>
      <c r="G59" s="3" t="str">
        <f t="shared" ref="G59:G101" si="6">IF(INDEX($A$3:$B$31,MATCH(F4,$A$3:$A$31,0),2)&lt;&gt;0,"OK","NOK")</f>
        <v>OK</v>
      </c>
      <c r="I59" s="10" t="str">
        <f t="shared" si="1"/>
        <v>estrategico-nivel</v>
      </c>
      <c r="J59" s="10"/>
      <c r="K59" s="10"/>
      <c r="L59" s="3">
        <f>IF(INDEX(GRAFO!$L$2:'GRAFO'!$L$46,MATCH(I59,GRAFO!$L$2:'GRAFO'!$L$46,0),1)&lt;&gt;0,1,0)</f>
        <v>1</v>
      </c>
      <c r="M59" s="3">
        <f t="shared" ref="M59:M101" si="7">IFERROR(L59,0)</f>
        <v>1</v>
      </c>
      <c r="O59" s="10" t="str">
        <f t="shared" si="2"/>
        <v>estrategico-rdfs:subClassOf-nivel</v>
      </c>
      <c r="P59" s="10"/>
      <c r="Q59" s="10"/>
      <c r="R59" s="10"/>
      <c r="S59" s="10"/>
      <c r="T59" s="10">
        <f>IF(INDEX(GRAFO!$M$2:'GRAFO'!$M$46,MATCH(O59,GRAFO!$M$2:'GRAFO'!$M$46,0),1)&lt;&gt;0,1,0)</f>
        <v>1</v>
      </c>
      <c r="U59" s="10">
        <f t="shared" ref="U59:U101" si="8">IFERROR(T59,0)</f>
        <v>1</v>
      </c>
    </row>
    <row r="60" spans="1:21">
      <c r="A60" s="46" t="s">
        <v>147</v>
      </c>
      <c r="B60" s="10" t="s">
        <v>7</v>
      </c>
      <c r="D60" s="10" t="str">
        <f t="shared" si="3"/>
        <v>operacional</v>
      </c>
      <c r="E60" s="10" t="str">
        <f t="shared" si="4"/>
        <v>rdfs:subClassOf</v>
      </c>
      <c r="F60" s="10" t="str">
        <f t="shared" si="5"/>
        <v>nivel</v>
      </c>
      <c r="G60" s="3" t="str">
        <f t="shared" si="6"/>
        <v>OK</v>
      </c>
      <c r="I60" s="10" t="str">
        <f t="shared" si="1"/>
        <v>operacional-nivel</v>
      </c>
      <c r="J60" s="10"/>
      <c r="K60" s="10"/>
      <c r="L60" s="3">
        <f>IF(INDEX(GRAFO!$L$2:'GRAFO'!$L$46,MATCH(I60,GRAFO!$L$2:'GRAFO'!$L$46,0),1)&lt;&gt;0,1,0)</f>
        <v>1</v>
      </c>
      <c r="M60" s="3">
        <f t="shared" si="7"/>
        <v>1</v>
      </c>
      <c r="O60" s="10" t="str">
        <f t="shared" si="2"/>
        <v>operacional-rdfs:subClassOf-nivel</v>
      </c>
      <c r="P60" s="10"/>
      <c r="Q60" s="10"/>
      <c r="R60" s="10"/>
      <c r="S60" s="10"/>
      <c r="T60" s="10">
        <f>IF(INDEX(GRAFO!$M$2:'GRAFO'!$M$46,MATCH(O60,GRAFO!$M$2:'GRAFO'!$M$46,0),1)&lt;&gt;0,1,0)</f>
        <v>1</v>
      </c>
      <c r="U60" s="10">
        <f t="shared" si="8"/>
        <v>1</v>
      </c>
    </row>
    <row r="61" spans="1:21">
      <c r="A61" s="46" t="s">
        <v>475</v>
      </c>
      <c r="B61" s="10" t="s">
        <v>4</v>
      </c>
      <c r="D61" s="10" t="str">
        <f t="shared" si="3"/>
        <v>tatico</v>
      </c>
      <c r="E61" s="10" t="str">
        <f t="shared" si="4"/>
        <v>rdfs:subClassOf</v>
      </c>
      <c r="F61" s="10" t="str">
        <f t="shared" si="5"/>
        <v>nivel</v>
      </c>
      <c r="G61" s="3" t="str">
        <f t="shared" si="6"/>
        <v>OK</v>
      </c>
      <c r="I61" s="10" t="str">
        <f t="shared" si="1"/>
        <v>tatico-nivel</v>
      </c>
      <c r="J61" s="10"/>
      <c r="K61" s="10"/>
      <c r="L61" s="3">
        <f>IF(INDEX(GRAFO!$L$2:'GRAFO'!$L$46,MATCH(I61,GRAFO!$L$2:'GRAFO'!$L$46,0),1)&lt;&gt;0,1,0)</f>
        <v>1</v>
      </c>
      <c r="M61" s="3">
        <f t="shared" si="7"/>
        <v>1</v>
      </c>
      <c r="O61" s="10" t="str">
        <f t="shared" si="2"/>
        <v>tatico-rdfs:subClassOf-nivel</v>
      </c>
      <c r="P61" s="10"/>
      <c r="Q61" s="10"/>
      <c r="R61" s="10"/>
      <c r="S61" s="10"/>
      <c r="T61" s="10">
        <f>IF(INDEX(GRAFO!$M$2:'GRAFO'!$M$46,MATCH(O61,GRAFO!$M$2:'GRAFO'!$M$46,0),1)&lt;&gt;0,1,0)</f>
        <v>1</v>
      </c>
      <c r="U61" s="10">
        <f t="shared" si="8"/>
        <v>1</v>
      </c>
    </row>
    <row r="62" spans="1:21">
      <c r="A62" s="46" t="s">
        <v>294</v>
      </c>
      <c r="B62" s="10" t="s">
        <v>7</v>
      </c>
      <c r="D62" s="10" t="str">
        <f t="shared" si="3"/>
        <v>marinha</v>
      </c>
      <c r="E62" s="10" t="str">
        <f t="shared" si="4"/>
        <v>rdfs:subClassOf</v>
      </c>
      <c r="F62" s="10" t="str">
        <f t="shared" si="5"/>
        <v>forca_componente</v>
      </c>
      <c r="G62" s="3" t="str">
        <f t="shared" si="6"/>
        <v>OK</v>
      </c>
      <c r="I62" s="10" t="str">
        <f t="shared" si="1"/>
        <v>marinha-forca_componente</v>
      </c>
      <c r="J62" s="10"/>
      <c r="K62" s="10"/>
      <c r="L62" s="3" t="e">
        <f>IF(INDEX(GRAFO!$L$2:'GRAFO'!$L$46,MATCH(I62,GRAFO!$L$2:'GRAFO'!$L$46,0),1)&lt;&gt;0,1,0)</f>
        <v>#N/A</v>
      </c>
      <c r="M62" s="3">
        <f t="shared" si="7"/>
        <v>0</v>
      </c>
      <c r="O62" s="10" t="str">
        <f t="shared" si="2"/>
        <v>marinha-rdfs:subClassOf-forca_componente</v>
      </c>
      <c r="P62" s="10"/>
      <c r="Q62" s="10"/>
      <c r="R62" s="10"/>
      <c r="S62" s="10"/>
      <c r="T62" s="10" t="e">
        <f>IF(INDEX(GRAFO!$M$2:'GRAFO'!$M$46,MATCH(O62,GRAFO!$M$2:'GRAFO'!$M$46,0),1)&lt;&gt;0,1,0)</f>
        <v>#N/A</v>
      </c>
      <c r="U62" s="10">
        <f t="shared" si="8"/>
        <v>0</v>
      </c>
    </row>
    <row r="63" spans="1:21">
      <c r="A63" s="46" t="s">
        <v>473</v>
      </c>
      <c r="B63" s="10" t="s">
        <v>4</v>
      </c>
      <c r="D63" s="10" t="str">
        <f t="shared" si="3"/>
        <v>exercito</v>
      </c>
      <c r="E63" s="10" t="str">
        <f t="shared" si="4"/>
        <v>rdfs:subClassOf</v>
      </c>
      <c r="F63" s="10" t="str">
        <f t="shared" si="5"/>
        <v>forca_componente</v>
      </c>
      <c r="G63" s="3" t="str">
        <f t="shared" si="6"/>
        <v>OK</v>
      </c>
      <c r="H63">
        <f>COUNTIFS(GRAFO!C2:C42,"=D34",GRAFO!E2:E42,"=F34")</f>
        <v>0</v>
      </c>
      <c r="I63" s="10" t="str">
        <f t="shared" si="1"/>
        <v>exercito-forca_componente</v>
      </c>
      <c r="J63" s="10"/>
      <c r="K63" s="10"/>
      <c r="L63" s="3" t="e">
        <f>IF(INDEX(GRAFO!$L$2:'GRAFO'!$L$46,MATCH(I63,GRAFO!$L$2:'GRAFO'!$L$46,0),1)&lt;&gt;0,1,0)</f>
        <v>#N/A</v>
      </c>
      <c r="M63" s="3">
        <f t="shared" si="7"/>
        <v>0</v>
      </c>
      <c r="O63" s="10" t="str">
        <f t="shared" si="2"/>
        <v>exercito-rdfs:subClassOf-forca_componente</v>
      </c>
      <c r="P63" s="10"/>
      <c r="Q63" s="10"/>
      <c r="R63" s="10"/>
      <c r="S63" s="10"/>
      <c r="T63" s="10" t="e">
        <f>IF(INDEX(GRAFO!$M$2:'GRAFO'!$M$46,MATCH(O63,GRAFO!$M$2:'GRAFO'!$M$46,0),1)&lt;&gt;0,1,0)</f>
        <v>#N/A</v>
      </c>
      <c r="U63" s="10">
        <f t="shared" si="8"/>
        <v>0</v>
      </c>
    </row>
    <row r="64" spans="1:21">
      <c r="A64" s="46" t="s">
        <v>215</v>
      </c>
      <c r="B64" s="10" t="s">
        <v>7</v>
      </c>
      <c r="D64" s="10" t="str">
        <f t="shared" si="3"/>
        <v>aeronautica</v>
      </c>
      <c r="E64" s="10" t="str">
        <f t="shared" si="4"/>
        <v>rdfs:subClassOf</v>
      </c>
      <c r="F64" s="10" t="str">
        <f t="shared" si="5"/>
        <v>forca_componente</v>
      </c>
      <c r="G64" s="3" t="str">
        <f t="shared" si="6"/>
        <v>OK</v>
      </c>
      <c r="I64" s="10" t="str">
        <f t="shared" si="1"/>
        <v>aeronautica-forca_componente</v>
      </c>
      <c r="J64" s="10"/>
      <c r="K64" s="10"/>
      <c r="L64" s="3" t="e">
        <f>IF(INDEX(GRAFO!$L$2:'GRAFO'!$L$46,MATCH(I64,GRAFO!$L$2:'GRAFO'!$L$46,0),1)&lt;&gt;0,1,0)</f>
        <v>#N/A</v>
      </c>
      <c r="M64" s="3">
        <f t="shared" si="7"/>
        <v>0</v>
      </c>
      <c r="O64" s="10" t="str">
        <f t="shared" si="2"/>
        <v>aeronautica-rdfs:subClassOf-forca_componente</v>
      </c>
      <c r="P64" s="10"/>
      <c r="Q64" s="10"/>
      <c r="R64" s="10"/>
      <c r="S64" s="10"/>
      <c r="T64" s="10" t="e">
        <f>IF(INDEX(GRAFO!$M$2:'GRAFO'!$M$46,MATCH(O64,GRAFO!$M$2:'GRAFO'!$M$46,0),1)&lt;&gt;0,1,0)</f>
        <v>#N/A</v>
      </c>
      <c r="U64" s="10">
        <f t="shared" si="8"/>
        <v>0</v>
      </c>
    </row>
    <row r="65" spans="1:21">
      <c r="A65" s="46" t="s">
        <v>168</v>
      </c>
      <c r="B65" s="10" t="s">
        <v>4</v>
      </c>
      <c r="C65" s="24"/>
      <c r="D65" s="10" t="str">
        <f t="shared" si="3"/>
        <v>forca_componente</v>
      </c>
      <c r="E65" s="10" t="str">
        <f t="shared" si="4"/>
        <v>rdf:Bag</v>
      </c>
      <c r="F65" s="10" t="str">
        <f t="shared" si="5"/>
        <v>militar</v>
      </c>
      <c r="G65" s="3" t="str">
        <f t="shared" si="6"/>
        <v>NOK</v>
      </c>
      <c r="I65" s="10" t="str">
        <f t="shared" si="1"/>
        <v>forca_componente-militar</v>
      </c>
      <c r="J65" s="10"/>
      <c r="K65" s="10"/>
      <c r="L65" s="3" t="e">
        <f>IF(INDEX(GRAFO!$L$2:'GRAFO'!$L$46,MATCH(I65,GRAFO!$L$2:'GRAFO'!$L$46,0),1)&lt;&gt;0,1,0)</f>
        <v>#N/A</v>
      </c>
      <c r="M65" s="3">
        <f t="shared" si="7"/>
        <v>0</v>
      </c>
      <c r="O65" s="10" t="str">
        <f t="shared" si="2"/>
        <v>forca_componente-rdf:Bag-militar</v>
      </c>
      <c r="P65" s="10"/>
      <c r="Q65" s="10"/>
      <c r="R65" s="10"/>
      <c r="S65" s="10"/>
      <c r="T65" s="10" t="e">
        <f>IF(INDEX(GRAFO!$M$2:'GRAFO'!$M$46,MATCH(O65,GRAFO!$M$2:'GRAFO'!$M$46,0),1)&lt;&gt;0,1,0)</f>
        <v>#N/A</v>
      </c>
      <c r="U65" s="10">
        <f t="shared" si="8"/>
        <v>0</v>
      </c>
    </row>
    <row r="66" spans="1:21">
      <c r="A66" s="10" t="s">
        <v>364</v>
      </c>
      <c r="B66" s="10" t="s">
        <v>4</v>
      </c>
      <c r="C66" s="58" t="str">
        <f t="shared" ref="C66:C81" si="9">IF(INDEX($A$3:$B$18,MATCH(D3,$A$3:$A$17,0),2)&lt;&gt;0,"OK","NOK")</f>
        <v>OK</v>
      </c>
      <c r="D66" s="10" t="str">
        <f t="shared" si="3"/>
        <v>forca_componente</v>
      </c>
      <c r="E66" s="10" t="str">
        <f t="shared" si="4"/>
        <v>rdf:Bag</v>
      </c>
      <c r="F66" s="10" t="str">
        <f t="shared" si="5"/>
        <v>meio</v>
      </c>
      <c r="G66" s="3" t="str">
        <f t="shared" si="6"/>
        <v>NOK</v>
      </c>
      <c r="I66" s="10" t="str">
        <f t="shared" si="1"/>
        <v>forca_componente-meio</v>
      </c>
      <c r="J66" s="10"/>
      <c r="K66" s="10"/>
      <c r="L66" s="3" t="e">
        <f>IF(INDEX(GRAFO!$L$2:'GRAFO'!$L$46,MATCH(I66,GRAFO!$L$2:'GRAFO'!$L$46,0),1)&lt;&gt;0,1,0)</f>
        <v>#N/A</v>
      </c>
      <c r="M66" s="3">
        <f t="shared" si="7"/>
        <v>0</v>
      </c>
      <c r="O66" s="10" t="str">
        <f t="shared" si="2"/>
        <v>forca_componente-rdf:Bag-meio</v>
      </c>
      <c r="P66" s="10"/>
      <c r="Q66" s="10"/>
      <c r="R66" s="10"/>
      <c r="S66" s="10"/>
      <c r="T66" s="10" t="e">
        <f>IF(INDEX(GRAFO!$M$2:'GRAFO'!$M$46,MATCH(O66,GRAFO!$M$2:'GRAFO'!$M$46,0),1)&lt;&gt;0,1,0)</f>
        <v>#N/A</v>
      </c>
      <c r="U66" s="10">
        <f t="shared" si="8"/>
        <v>0</v>
      </c>
    </row>
    <row r="67" spans="1:21">
      <c r="A67" s="60"/>
      <c r="B67" s="10"/>
      <c r="C67" s="58" t="str">
        <f t="shared" si="9"/>
        <v>OK</v>
      </c>
      <c r="D67" s="10" t="str">
        <f t="shared" si="3"/>
        <v>militar</v>
      </c>
      <c r="E67" s="10" t="str">
        <f t="shared" si="4"/>
        <v>rdfs:subClassOf</v>
      </c>
      <c r="F67" s="10" t="str">
        <f t="shared" si="5"/>
        <v>cmd_fcte</v>
      </c>
      <c r="G67" s="3" t="str">
        <f t="shared" si="6"/>
        <v>NOK</v>
      </c>
      <c r="I67" s="10" t="str">
        <f t="shared" si="1"/>
        <v>militar-cmd_fcte</v>
      </c>
      <c r="J67" s="10"/>
      <c r="K67" s="10"/>
      <c r="L67" s="3" t="e">
        <f>IF(INDEX(GRAFO!$L$2:'GRAFO'!$L$46,MATCH(I67,GRAFO!$L$2:'GRAFO'!$L$46,0),1)&lt;&gt;0,1,0)</f>
        <v>#N/A</v>
      </c>
      <c r="M67" s="3">
        <f t="shared" si="7"/>
        <v>0</v>
      </c>
      <c r="O67" s="10" t="str">
        <f t="shared" si="2"/>
        <v>militar-rdfs:subClassOf-cmd_fcte</v>
      </c>
      <c r="P67" s="10"/>
      <c r="Q67" s="10"/>
      <c r="R67" s="10"/>
      <c r="S67" s="10"/>
      <c r="T67" s="10" t="e">
        <f>IF(INDEX(GRAFO!$M$2:'GRAFO'!$M$46,MATCH(O67,GRAFO!$M$2:'GRAFO'!$M$46,0),1)&lt;&gt;0,1,0)</f>
        <v>#N/A</v>
      </c>
      <c r="U67" s="10">
        <f t="shared" si="8"/>
        <v>0</v>
      </c>
    </row>
    <row r="68" spans="1:21">
      <c r="A68" s="60"/>
      <c r="B68" s="10"/>
      <c r="C68" s="58" t="str">
        <f t="shared" si="9"/>
        <v>OK</v>
      </c>
      <c r="D68" s="10" t="str">
        <f t="shared" si="3"/>
        <v>militar</v>
      </c>
      <c r="E68" s="10" t="str">
        <f t="shared" si="4"/>
        <v>rdfs:subClassOf</v>
      </c>
      <c r="F68" s="10" t="str">
        <f t="shared" si="5"/>
        <v>cmd_fcj</v>
      </c>
      <c r="G68" s="3" t="str">
        <f t="shared" si="6"/>
        <v>NOK</v>
      </c>
      <c r="I68" s="10" t="str">
        <f t="shared" si="1"/>
        <v>militar-cmd_fcj</v>
      </c>
      <c r="J68" s="10"/>
      <c r="K68" s="10"/>
      <c r="L68" s="3" t="e">
        <f>IF(INDEX(GRAFO!$L$2:'GRAFO'!$L$46,MATCH(I68,GRAFO!$L$2:'GRAFO'!$L$46,0),1)&lt;&gt;0,1,0)</f>
        <v>#N/A</v>
      </c>
      <c r="M68" s="3">
        <f t="shared" si="7"/>
        <v>0</v>
      </c>
      <c r="O68" s="10" t="str">
        <f t="shared" si="2"/>
        <v>militar-rdfs:subClassOf-cmd_fcj</v>
      </c>
      <c r="P68" s="10"/>
      <c r="Q68" s="10"/>
      <c r="R68" s="10"/>
      <c r="S68" s="10"/>
      <c r="T68" s="10" t="e">
        <f>IF(INDEX(GRAFO!$M$2:'GRAFO'!$M$46,MATCH(O68,GRAFO!$M$2:'GRAFO'!$M$46,0),1)&lt;&gt;0,1,0)</f>
        <v>#N/A</v>
      </c>
      <c r="U68" s="10">
        <f t="shared" si="8"/>
        <v>0</v>
      </c>
    </row>
    <row r="69" spans="1:21">
      <c r="A69" s="60"/>
      <c r="B69" s="10"/>
      <c r="C69" s="58" t="str">
        <f t="shared" si="9"/>
        <v>OK</v>
      </c>
      <c r="D69" s="10" t="str">
        <f t="shared" si="3"/>
        <v>militar</v>
      </c>
      <c r="E69" s="10" t="str">
        <f t="shared" si="4"/>
        <v>rdfs:subClassOf</v>
      </c>
      <c r="F69" s="10" t="str">
        <f t="shared" si="5"/>
        <v>cmt_c_log</v>
      </c>
      <c r="G69" s="3" t="str">
        <f t="shared" si="6"/>
        <v>NOK</v>
      </c>
      <c r="I69" s="10" t="str">
        <f t="shared" si="1"/>
        <v>militar-cmt_c_log</v>
      </c>
      <c r="J69" s="10"/>
      <c r="K69" s="10"/>
      <c r="L69" s="3" t="e">
        <f>IF(INDEX(GRAFO!$L$2:'GRAFO'!$L$46,MATCH(I69,GRAFO!$L$2:'GRAFO'!$L$46,0),1)&lt;&gt;0,1,0)</f>
        <v>#N/A</v>
      </c>
      <c r="M69" s="3">
        <f t="shared" si="7"/>
        <v>0</v>
      </c>
      <c r="O69" s="10" t="str">
        <f t="shared" si="2"/>
        <v>militar-rdfs:subClassOf-cmt_c_log</v>
      </c>
      <c r="P69" s="10"/>
      <c r="Q69" s="10"/>
      <c r="R69" s="10"/>
      <c r="S69" s="10"/>
      <c r="T69" s="10" t="e">
        <f>IF(INDEX(GRAFO!$M$2:'GRAFO'!$M$46,MATCH(O69,GRAFO!$M$2:'GRAFO'!$M$46,0),1)&lt;&gt;0,1,0)</f>
        <v>#N/A</v>
      </c>
      <c r="U69" s="10">
        <f t="shared" si="8"/>
        <v>0</v>
      </c>
    </row>
    <row r="70" spans="1:21">
      <c r="A70" s="60"/>
      <c r="B70" s="10"/>
      <c r="C70" s="58" t="str">
        <f t="shared" si="9"/>
        <v>OK</v>
      </c>
      <c r="D70" s="10" t="str">
        <f t="shared" si="3"/>
        <v>meio_adjudicado</v>
      </c>
      <c r="E70" s="10" t="str">
        <f t="shared" si="4"/>
        <v>rdfs:subClassOf</v>
      </c>
      <c r="F70" s="10" t="str">
        <f t="shared" si="5"/>
        <v>meio</v>
      </c>
      <c r="G70" s="3" t="str">
        <f t="shared" si="6"/>
        <v>NOK</v>
      </c>
      <c r="I70" s="10" t="str">
        <f t="shared" si="1"/>
        <v>meio_adjudicado-meio</v>
      </c>
      <c r="J70" s="10"/>
      <c r="K70" s="10"/>
      <c r="L70" s="3" t="e">
        <f>IF(INDEX(GRAFO!$L$2:'GRAFO'!$L$46,MATCH(I70,GRAFO!$L$2:'GRAFO'!$L$46,0),1)&lt;&gt;0,1,0)</f>
        <v>#N/A</v>
      </c>
      <c r="M70" s="3">
        <f t="shared" si="7"/>
        <v>0</v>
      </c>
      <c r="O70" s="10" t="str">
        <f t="shared" si="2"/>
        <v>meio_adjudicado-rdfs:subClassOf-meio</v>
      </c>
      <c r="P70" s="10"/>
      <c r="Q70" s="10"/>
      <c r="R70" s="10"/>
      <c r="S70" s="10"/>
      <c r="T70" s="10" t="e">
        <f>IF(INDEX(GRAFO!$M$2:'GRAFO'!$M$46,MATCH(O70,GRAFO!$M$2:'GRAFO'!$M$46,0),1)&lt;&gt;0,1,0)</f>
        <v>#N/A</v>
      </c>
      <c r="U70" s="10">
        <f t="shared" si="8"/>
        <v>0</v>
      </c>
    </row>
    <row r="71" spans="1:21">
      <c r="A71" s="60"/>
      <c r="B71" s="10"/>
      <c r="C71" s="58" t="str">
        <f t="shared" si="9"/>
        <v>OK</v>
      </c>
      <c r="D71" s="10" t="str">
        <f t="shared" si="3"/>
        <v>forca_componente</v>
      </c>
      <c r="E71" s="10" t="str">
        <f t="shared" si="4"/>
        <v>rdfs:seeAlso</v>
      </c>
      <c r="F71" s="10" t="str">
        <f t="shared" si="5"/>
        <v>op_tatica</v>
      </c>
      <c r="G71" s="3" t="str">
        <f t="shared" si="6"/>
        <v>NOK</v>
      </c>
      <c r="I71" s="10" t="str">
        <f t="shared" si="1"/>
        <v>forca_componente-op_tatica</v>
      </c>
      <c r="J71" s="10"/>
      <c r="K71" s="10"/>
      <c r="L71" s="3" t="e">
        <f>IF(INDEX(GRAFO!$L$2:'GRAFO'!$L$46,MATCH(I71,GRAFO!$L$2:'GRAFO'!$L$46,0),1)&lt;&gt;0,1,0)</f>
        <v>#N/A</v>
      </c>
      <c r="M71" s="3">
        <f t="shared" si="7"/>
        <v>0</v>
      </c>
      <c r="O71" s="10" t="str">
        <f t="shared" si="2"/>
        <v>forca_componente-rdfs:seeAlso-op_tatica</v>
      </c>
      <c r="P71" s="10"/>
      <c r="Q71" s="10"/>
      <c r="R71" s="10"/>
      <c r="S71" s="10"/>
      <c r="T71" s="10" t="e">
        <f>IF(INDEX(GRAFO!$M$2:'GRAFO'!$M$46,MATCH(O71,GRAFO!$M$2:'GRAFO'!$M$46,0),1)&lt;&gt;0,1,0)</f>
        <v>#N/A</v>
      </c>
      <c r="U71" s="10">
        <f t="shared" si="8"/>
        <v>0</v>
      </c>
    </row>
    <row r="72" spans="1:21">
      <c r="A72" s="60"/>
      <c r="B72" s="10"/>
      <c r="C72" s="58" t="str">
        <f t="shared" si="9"/>
        <v>OK</v>
      </c>
      <c r="D72" s="10" t="str">
        <f t="shared" si="3"/>
        <v>f_cj</v>
      </c>
      <c r="E72" s="10" t="str">
        <f t="shared" si="4"/>
        <v>rdf:Bag</v>
      </c>
      <c r="F72" s="10" t="str">
        <f t="shared" si="5"/>
        <v>forca_componente</v>
      </c>
      <c r="G72" s="3" t="str">
        <f t="shared" si="6"/>
        <v>OK</v>
      </c>
      <c r="I72" s="10" t="str">
        <f t="shared" si="1"/>
        <v>f_cj-forca_componente</v>
      </c>
      <c r="J72" s="10"/>
      <c r="K72" s="10"/>
      <c r="L72" s="3" t="e">
        <f>IF(INDEX(GRAFO!$L$2:'GRAFO'!$L$46,MATCH(I72,GRAFO!$L$2:'GRAFO'!$L$46,0),1)&lt;&gt;0,1,0)</f>
        <v>#N/A</v>
      </c>
      <c r="M72" s="3">
        <f t="shared" si="7"/>
        <v>0</v>
      </c>
      <c r="O72" s="10" t="str">
        <f t="shared" si="2"/>
        <v>f_cj-rdf:Bag-forca_componente</v>
      </c>
      <c r="P72" s="10"/>
      <c r="Q72" s="10"/>
      <c r="R72" s="10"/>
      <c r="S72" s="10"/>
      <c r="T72" s="10" t="e">
        <f>IF(INDEX(GRAFO!$M$2:'GRAFO'!$M$46,MATCH(O72,GRAFO!$M$2:'GRAFO'!$M$46,0),1)&lt;&gt;0,1,0)</f>
        <v>#N/A</v>
      </c>
      <c r="U72" s="10">
        <f t="shared" si="8"/>
        <v>0</v>
      </c>
    </row>
    <row r="73" spans="1:21">
      <c r="A73" s="60"/>
      <c r="B73" s="10"/>
      <c r="C73" s="58" t="str">
        <f t="shared" si="9"/>
        <v>OK</v>
      </c>
      <c r="D73" s="10" t="str">
        <f t="shared" si="3"/>
        <v>f_cj</v>
      </c>
      <c r="E73" s="10" t="str">
        <f t="shared" si="4"/>
        <v>rdfs:seeAlso</v>
      </c>
      <c r="F73" s="10" t="str">
        <f t="shared" si="5"/>
        <v>operacao_conjunta</v>
      </c>
      <c r="G73" s="3" t="str">
        <f t="shared" si="6"/>
        <v>OK</v>
      </c>
      <c r="I73" s="10" t="str">
        <f t="shared" si="1"/>
        <v>f_cj-operacao_conjunta</v>
      </c>
      <c r="J73" s="10"/>
      <c r="K73" s="10"/>
      <c r="L73" s="3" t="e">
        <f>IF(INDEX(GRAFO!$L$2:'GRAFO'!$L$46,MATCH(I73,GRAFO!$L$2:'GRAFO'!$L$46,0),1)&lt;&gt;0,1,0)</f>
        <v>#N/A</v>
      </c>
      <c r="M73" s="3">
        <f t="shared" si="7"/>
        <v>0</v>
      </c>
      <c r="O73" s="10" t="str">
        <f t="shared" si="2"/>
        <v>f_cj-rdfs:seeAlso-operacao_conjunta</v>
      </c>
      <c r="P73" s="10"/>
      <c r="Q73" s="10"/>
      <c r="R73" s="10"/>
      <c r="S73" s="10"/>
      <c r="T73" s="10" t="e">
        <f>IF(INDEX(GRAFO!$M$2:'GRAFO'!$M$46,MATCH(O73,GRAFO!$M$2:'GRAFO'!$M$46,0),1)&lt;&gt;0,1,0)</f>
        <v>#N/A</v>
      </c>
      <c r="U73" s="10">
        <f t="shared" si="8"/>
        <v>0</v>
      </c>
    </row>
    <row r="74" spans="1:21">
      <c r="A74" s="10"/>
      <c r="B74" s="10"/>
      <c r="C74" s="58" t="str">
        <f t="shared" si="9"/>
        <v>OK</v>
      </c>
      <c r="D74" s="10" t="str">
        <f t="shared" si="3"/>
        <v>politico</v>
      </c>
      <c r="E74" s="10" t="str">
        <f t="shared" si="4"/>
        <v>rdf:Bag</v>
      </c>
      <c r="F74" s="10" t="str">
        <f t="shared" si="5"/>
        <v>comandante_supremo</v>
      </c>
      <c r="G74" s="3" t="str">
        <f t="shared" si="6"/>
        <v>OK</v>
      </c>
      <c r="I74" s="10" t="str">
        <f t="shared" si="1"/>
        <v>politico-comandante_supremo</v>
      </c>
      <c r="J74" s="10"/>
      <c r="K74" s="10"/>
      <c r="L74" s="3" t="e">
        <f>IF(INDEX(GRAFO!$L$2:'GRAFO'!$L$46,MATCH(I74,GRAFO!$L$2:'GRAFO'!$L$46,0),1)&lt;&gt;0,1,0)</f>
        <v>#N/A</v>
      </c>
      <c r="M74" s="3">
        <f t="shared" si="7"/>
        <v>0</v>
      </c>
      <c r="O74" s="10" t="str">
        <f t="shared" si="2"/>
        <v>politico-rdf:Bag-comandante_supremo</v>
      </c>
      <c r="P74" s="10"/>
      <c r="Q74" s="10"/>
      <c r="R74" s="10"/>
      <c r="S74" s="10"/>
      <c r="T74" s="10" t="e">
        <f>IF(INDEX(GRAFO!$M$2:'GRAFO'!$M$46,MATCH(O74,GRAFO!$M$2:'GRAFO'!$M$46,0),1)&lt;&gt;0,1,0)</f>
        <v>#N/A</v>
      </c>
      <c r="U74" s="10">
        <f t="shared" si="8"/>
        <v>0</v>
      </c>
    </row>
    <row r="75" spans="1:21">
      <c r="A75" s="56"/>
      <c r="C75" s="58" t="e">
        <f t="shared" si="9"/>
        <v>#N/A</v>
      </c>
      <c r="D75" s="10" t="str">
        <f t="shared" si="3"/>
        <v>estrategico</v>
      </c>
      <c r="E75" s="10" t="str">
        <f t="shared" si="4"/>
        <v>rdf:Bag</v>
      </c>
      <c r="F75" s="10" t="str">
        <f t="shared" si="5"/>
        <v>md</v>
      </c>
      <c r="G75" s="3" t="str">
        <f t="shared" si="6"/>
        <v>NOK</v>
      </c>
      <c r="I75" s="10" t="str">
        <f t="shared" si="1"/>
        <v>estrategico-md</v>
      </c>
      <c r="J75" s="10"/>
      <c r="K75" s="10"/>
      <c r="L75" s="3" t="e">
        <f>IF(INDEX(GRAFO!$L$2:'GRAFO'!$L$46,MATCH(I75,GRAFO!$L$2:'GRAFO'!$L$46,0),1)&lt;&gt;0,1,0)</f>
        <v>#N/A</v>
      </c>
      <c r="M75" s="3">
        <f t="shared" si="7"/>
        <v>0</v>
      </c>
      <c r="O75" s="10" t="str">
        <f t="shared" si="2"/>
        <v>estrategico-rdf:Bag-md</v>
      </c>
      <c r="P75" s="10"/>
      <c r="Q75" s="10"/>
      <c r="R75" s="10"/>
      <c r="S75" s="10"/>
      <c r="T75" s="10" t="e">
        <f>IF(INDEX(GRAFO!$M$2:'GRAFO'!$M$46,MATCH(O75,GRAFO!$M$2:'GRAFO'!$M$46,0),1)&lt;&gt;0,1,0)</f>
        <v>#N/A</v>
      </c>
      <c r="U75" s="10">
        <f t="shared" si="8"/>
        <v>0</v>
      </c>
    </row>
    <row r="76" spans="1:21">
      <c r="A76" s="56"/>
      <c r="C76" s="58" t="e">
        <f t="shared" si="9"/>
        <v>#N/A</v>
      </c>
      <c r="D76" s="10" t="str">
        <f t="shared" si="3"/>
        <v>operacional</v>
      </c>
      <c r="E76" s="10" t="str">
        <f t="shared" si="4"/>
        <v>rdf:Bag</v>
      </c>
      <c r="F76" s="10" t="str">
        <f t="shared" si="5"/>
        <v>cmd_fcj</v>
      </c>
      <c r="G76" s="3" t="str">
        <f t="shared" si="6"/>
        <v>NOK</v>
      </c>
      <c r="I76" s="10" t="str">
        <f t="shared" si="1"/>
        <v>operacional-cmd_fcj</v>
      </c>
      <c r="J76" s="10"/>
      <c r="K76" s="10"/>
      <c r="L76" s="3" t="e">
        <f>IF(INDEX(GRAFO!$L$2:'GRAFO'!$L$46,MATCH(I76,GRAFO!$L$2:'GRAFO'!$L$46,0),1)&lt;&gt;0,1,0)</f>
        <v>#N/A</v>
      </c>
      <c r="M76" s="3">
        <f t="shared" si="7"/>
        <v>0</v>
      </c>
      <c r="O76" s="10" t="str">
        <f t="shared" si="2"/>
        <v>operacional-rdf:Bag-cmd_fcj</v>
      </c>
      <c r="P76" s="10"/>
      <c r="Q76" s="10"/>
      <c r="R76" s="10"/>
      <c r="S76" s="10"/>
      <c r="T76" s="10" t="e">
        <f>IF(INDEX(GRAFO!$M$2:'GRAFO'!$M$46,MATCH(O76,GRAFO!$M$2:'GRAFO'!$M$46,0),1)&lt;&gt;0,1,0)</f>
        <v>#N/A</v>
      </c>
      <c r="U76" s="10">
        <f t="shared" si="8"/>
        <v>0</v>
      </c>
    </row>
    <row r="77" spans="1:21">
      <c r="A77" s="56"/>
      <c r="C77" s="58" t="e">
        <f t="shared" si="9"/>
        <v>#N/A</v>
      </c>
      <c r="D77" s="10" t="str">
        <f t="shared" si="3"/>
        <v>tatico</v>
      </c>
      <c r="E77" s="10" t="str">
        <f t="shared" si="4"/>
        <v>rdf:Bag</v>
      </c>
      <c r="F77" s="10" t="str">
        <f t="shared" si="5"/>
        <v>forca_componente</v>
      </c>
      <c r="G77" s="3" t="str">
        <f t="shared" si="6"/>
        <v>OK</v>
      </c>
      <c r="I77" s="10" t="str">
        <f t="shared" si="1"/>
        <v>tatico-forca_componente</v>
      </c>
      <c r="J77" s="10"/>
      <c r="K77" s="10"/>
      <c r="L77" s="3" t="e">
        <f>IF(INDEX(GRAFO!$L$2:'GRAFO'!$L$46,MATCH(I77,GRAFO!$L$2:'GRAFO'!$L$46,0),1)&lt;&gt;0,1,0)</f>
        <v>#N/A</v>
      </c>
      <c r="M77" s="3">
        <f t="shared" si="7"/>
        <v>0</v>
      </c>
      <c r="O77" s="10" t="str">
        <f t="shared" si="2"/>
        <v>tatico-rdf:Bag-forca_componente</v>
      </c>
      <c r="P77" s="10"/>
      <c r="Q77" s="10"/>
      <c r="R77" s="10"/>
      <c r="S77" s="10"/>
      <c r="T77" s="10" t="e">
        <f>IF(INDEX(GRAFO!$M$2:'GRAFO'!$M$46,MATCH(O77,GRAFO!$M$2:'GRAFO'!$M$46,0),1)&lt;&gt;0,1,0)</f>
        <v>#N/A</v>
      </c>
      <c r="U77" s="10">
        <f t="shared" si="8"/>
        <v>0</v>
      </c>
    </row>
    <row r="78" spans="1:21">
      <c r="A78" s="56"/>
      <c r="C78" s="58" t="e">
        <f t="shared" si="9"/>
        <v>#N/A</v>
      </c>
      <c r="D78" s="10" t="str">
        <f t="shared" si="3"/>
        <v>politico</v>
      </c>
      <c r="E78" s="10" t="str">
        <f t="shared" si="4"/>
        <v>rdf:Bag</v>
      </c>
      <c r="F78" s="10" t="str">
        <f t="shared" si="5"/>
        <v>plano_politico</v>
      </c>
      <c r="G78" s="3" t="str">
        <f t="shared" si="6"/>
        <v>NOK</v>
      </c>
      <c r="I78" s="10" t="str">
        <f t="shared" si="1"/>
        <v>politico-plano_politico</v>
      </c>
      <c r="J78" s="10"/>
      <c r="K78" s="10"/>
      <c r="L78" s="3" t="e">
        <f>IF(INDEX(GRAFO!$L$2:'GRAFO'!$L$46,MATCH(I78,GRAFO!$L$2:'GRAFO'!$L$46,0),1)&lt;&gt;0,1,0)</f>
        <v>#N/A</v>
      </c>
      <c r="M78" s="3">
        <f t="shared" si="7"/>
        <v>0</v>
      </c>
      <c r="O78" s="10" t="str">
        <f t="shared" si="2"/>
        <v>politico-rdf:Bag-plano_politico</v>
      </c>
      <c r="P78" s="10"/>
      <c r="Q78" s="10"/>
      <c r="R78" s="10"/>
      <c r="S78" s="10"/>
      <c r="T78" s="10" t="e">
        <f>IF(INDEX(GRAFO!$M$2:'GRAFO'!$M$46,MATCH(O78,GRAFO!$M$2:'GRAFO'!$M$46,0),1)&lt;&gt;0,1,0)</f>
        <v>#N/A</v>
      </c>
      <c r="U78" s="10">
        <f t="shared" si="8"/>
        <v>0</v>
      </c>
    </row>
    <row r="79" spans="1:21">
      <c r="A79" s="56"/>
      <c r="C79" s="58" t="str">
        <f t="shared" si="9"/>
        <v>OK</v>
      </c>
      <c r="D79" s="10" t="str">
        <f t="shared" si="3"/>
        <v>estrategico</v>
      </c>
      <c r="E79" s="10" t="str">
        <f t="shared" si="4"/>
        <v>rdf:Bag</v>
      </c>
      <c r="F79" s="10" t="str">
        <f t="shared" si="5"/>
        <v>plano_estrategico</v>
      </c>
      <c r="G79" s="3" t="str">
        <f t="shared" si="6"/>
        <v>NOK</v>
      </c>
      <c r="I79" s="10" t="str">
        <f t="shared" si="1"/>
        <v>estrategico-plano_estrategico</v>
      </c>
      <c r="J79" s="10"/>
      <c r="K79" s="10"/>
      <c r="L79" s="3" t="e">
        <f>IF(INDEX(GRAFO!$L$2:'GRAFO'!$L$46,MATCH(I79,GRAFO!$L$2:'GRAFO'!$L$46,0),1)&lt;&gt;0,1,0)</f>
        <v>#N/A</v>
      </c>
      <c r="M79" s="3">
        <f t="shared" si="7"/>
        <v>0</v>
      </c>
      <c r="O79" s="10" t="str">
        <f t="shared" si="2"/>
        <v>estrategico-rdf:Bag-plano_estrategico</v>
      </c>
      <c r="P79" s="10"/>
      <c r="Q79" s="10"/>
      <c r="R79" s="10"/>
      <c r="S79" s="10"/>
      <c r="T79" s="10" t="e">
        <f>IF(INDEX(GRAFO!$M$2:'GRAFO'!$M$46,MATCH(O79,GRAFO!$M$2:'GRAFO'!$M$46,0),1)&lt;&gt;0,1,0)</f>
        <v>#N/A</v>
      </c>
      <c r="U79" s="10">
        <f t="shared" si="8"/>
        <v>0</v>
      </c>
    </row>
    <row r="80" spans="1:21">
      <c r="A80" s="56"/>
      <c r="C80" s="58" t="e">
        <f t="shared" si="9"/>
        <v>#N/A</v>
      </c>
      <c r="D80" s="10" t="str">
        <f t="shared" si="3"/>
        <v>operacional</v>
      </c>
      <c r="E80" s="10" t="str">
        <f t="shared" si="4"/>
        <v>rdf:Bag</v>
      </c>
      <c r="F80" s="10" t="str">
        <f t="shared" si="5"/>
        <v>plano_campanha</v>
      </c>
      <c r="G80" s="3" t="str">
        <f t="shared" si="6"/>
        <v>NOK</v>
      </c>
      <c r="I80" s="10" t="str">
        <f t="shared" si="1"/>
        <v>operacional-plano_campanha</v>
      </c>
      <c r="J80" s="10"/>
      <c r="K80" s="10"/>
      <c r="L80" s="3" t="e">
        <f>IF(INDEX(GRAFO!$L$2:'GRAFO'!$L$46,MATCH(I80,GRAFO!$L$2:'GRAFO'!$L$46,0),1)&lt;&gt;0,1,0)</f>
        <v>#N/A</v>
      </c>
      <c r="M80" s="3">
        <f t="shared" si="7"/>
        <v>0</v>
      </c>
      <c r="O80" s="10" t="str">
        <f t="shared" si="2"/>
        <v>operacional-rdf:Bag-plano_campanha</v>
      </c>
      <c r="P80" s="10"/>
      <c r="Q80" s="10"/>
      <c r="R80" s="10"/>
      <c r="S80" s="10"/>
      <c r="T80" s="10" t="e">
        <f>IF(INDEX(GRAFO!$M$2:'GRAFO'!$M$46,MATCH(O80,GRAFO!$M$2:'GRAFO'!$M$46,0),1)&lt;&gt;0,1,0)</f>
        <v>#N/A</v>
      </c>
      <c r="U80" s="10">
        <f t="shared" si="8"/>
        <v>0</v>
      </c>
    </row>
    <row r="81" spans="1:21">
      <c r="A81" s="56"/>
      <c r="C81" s="58" t="e">
        <f t="shared" si="9"/>
        <v>#N/A</v>
      </c>
      <c r="D81" s="10" t="str">
        <f t="shared" si="3"/>
        <v>tatico</v>
      </c>
      <c r="E81" s="10" t="str">
        <f t="shared" si="4"/>
        <v>rdf:Bag</v>
      </c>
      <c r="F81" s="10" t="str">
        <f t="shared" si="5"/>
        <v>plano_tatico</v>
      </c>
      <c r="G81" s="3" t="str">
        <f t="shared" si="6"/>
        <v>NOK</v>
      </c>
      <c r="I81" s="10" t="str">
        <f t="shared" si="1"/>
        <v>tatico-plano_tatico</v>
      </c>
      <c r="J81" s="10"/>
      <c r="K81" s="10"/>
      <c r="L81" s="3" t="e">
        <f>IF(INDEX(GRAFO!$L$2:'GRAFO'!$L$46,MATCH(I81,GRAFO!$L$2:'GRAFO'!$L$46,0),1)&lt;&gt;0,1,0)</f>
        <v>#N/A</v>
      </c>
      <c r="M81" s="3">
        <f t="shared" si="7"/>
        <v>0</v>
      </c>
      <c r="O81" s="10" t="str">
        <f t="shared" si="2"/>
        <v>tatico-rdf:Bag-plano_tatico</v>
      </c>
      <c r="P81" s="10"/>
      <c r="Q81" s="10"/>
      <c r="R81" s="10"/>
      <c r="S81" s="10"/>
      <c r="T81" s="10" t="e">
        <f>IF(INDEX(GRAFO!$M$2:'GRAFO'!$M$46,MATCH(O81,GRAFO!$M$2:'GRAFO'!$M$46,0),1)&lt;&gt;0,1,0)</f>
        <v>#N/A</v>
      </c>
      <c r="U81" s="10">
        <f t="shared" si="8"/>
        <v>0</v>
      </c>
    </row>
    <row r="82" spans="1:21">
      <c r="A82" s="56"/>
      <c r="D82" s="10" t="str">
        <f t="shared" si="3"/>
        <v>comandante_supremo</v>
      </c>
      <c r="E82" s="10" t="str">
        <f t="shared" si="4"/>
        <v>rdfs:subClassOf</v>
      </c>
      <c r="F82" s="10" t="str">
        <f t="shared" si="5"/>
        <v>presidente_da_republica</v>
      </c>
      <c r="G82" s="3" t="str">
        <f t="shared" si="6"/>
        <v>OK</v>
      </c>
      <c r="I82" s="10" t="str">
        <f t="shared" si="1"/>
        <v>comandante_supremo-presidente_da_republica</v>
      </c>
      <c r="J82" s="10"/>
      <c r="K82" s="10"/>
      <c r="L82" s="3" t="e">
        <f>IF(INDEX(GRAFO!$L$2:'GRAFO'!$L$46,MATCH(I82,GRAFO!$L$2:'GRAFO'!$L$46,0),1)&lt;&gt;0,1,0)</f>
        <v>#N/A</v>
      </c>
      <c r="M82" s="3">
        <f t="shared" si="7"/>
        <v>0</v>
      </c>
      <c r="O82" s="10" t="str">
        <f t="shared" si="2"/>
        <v>comandante_supremo-rdfs:subClassOf-presidente_da_republica</v>
      </c>
      <c r="P82" s="10"/>
      <c r="Q82" s="10"/>
      <c r="R82" s="10"/>
      <c r="S82" s="10"/>
      <c r="T82" s="10" t="e">
        <f>IF(INDEX(GRAFO!$M$2:'GRAFO'!$M$46,MATCH(O82,GRAFO!$M$2:'GRAFO'!$M$46,0),1)&lt;&gt;0,1,0)</f>
        <v>#N/A</v>
      </c>
      <c r="U82" s="10">
        <f t="shared" si="8"/>
        <v>0</v>
      </c>
    </row>
    <row r="83" spans="1:21">
      <c r="D83" s="10" t="str">
        <f t="shared" si="3"/>
        <v>comandante_supremo</v>
      </c>
      <c r="E83" s="10" t="str">
        <f t="shared" si="4"/>
        <v>c2rm:responsible_for</v>
      </c>
      <c r="F83" s="10" t="str">
        <f>IF(INDEX($A$3:$B$33,MATCH(F28,$A$3:$A$33,0),2)&lt;&gt;0,INDEX($A$3:$B$33,MATCH(F28,$A$3:$A$33,0),2),F28)</f>
        <v>politica</v>
      </c>
      <c r="G83" s="3" t="str">
        <f>IF(INDEX($A$3:$B$33,MATCH(F28,$A$3:$A$33,0),2)&lt;&gt;0,"OK","NOK")</f>
        <v>NOK</v>
      </c>
      <c r="I83" s="10" t="str">
        <f t="shared" si="1"/>
        <v>comandante_supremo-politica</v>
      </c>
      <c r="J83" s="10"/>
      <c r="K83" s="10"/>
      <c r="L83" s="3" t="e">
        <f>IF(INDEX(GRAFO!$L$2:'GRAFO'!$L$46,MATCH(I83,GRAFO!$L$2:'GRAFO'!$L$46,0),1)&lt;&gt;0,1,0)</f>
        <v>#N/A</v>
      </c>
      <c r="M83" s="3">
        <f t="shared" si="7"/>
        <v>0</v>
      </c>
      <c r="O83" s="10" t="str">
        <f t="shared" si="2"/>
        <v>comandante_supremo-c2rm:responsible_for-politica</v>
      </c>
      <c r="P83" s="10"/>
      <c r="Q83" s="10"/>
      <c r="R83" s="10"/>
      <c r="S83" s="10"/>
      <c r="T83" s="10" t="e">
        <f>IF(INDEX(GRAFO!$M$2:'GRAFO'!$M$46,MATCH(O83,GRAFO!$M$2:'GRAFO'!$M$46,0),1)&lt;&gt;0,1,0)</f>
        <v>#N/A</v>
      </c>
      <c r="U83" s="10">
        <f t="shared" si="8"/>
        <v>0</v>
      </c>
    </row>
    <row r="84" spans="1:21">
      <c r="D84" s="10" t="str">
        <f t="shared" si="3"/>
        <v>plano_politico</v>
      </c>
      <c r="E84" s="10" t="str">
        <f t="shared" si="4"/>
        <v>rdfs:seeAlso</v>
      </c>
      <c r="F84" s="10" t="str">
        <f>IF(INDEX($A$3:$B$33,MATCH(F29,$A$3:$A$33,0),2)&lt;&gt;0,INDEX($A$3:$B$33,MATCH(F29,$A$3:$A$33,0),2),F29)</f>
        <v>politica</v>
      </c>
      <c r="G84" s="3" t="str">
        <f>IF(INDEX($A$3:$B$33,MATCH(F29,$A$3:$A$33,0),2)&lt;&gt;0,"OK","NOK")</f>
        <v>NOK</v>
      </c>
      <c r="I84" s="10" t="str">
        <f t="shared" si="1"/>
        <v>plano_politico-politica</v>
      </c>
      <c r="J84" s="10"/>
      <c r="K84" s="10"/>
      <c r="L84" s="3" t="e">
        <f>IF(INDEX(GRAFO!$L$2:'GRAFO'!$L$46,MATCH(I84,GRAFO!$L$2:'GRAFO'!$L$46,0),1)&lt;&gt;0,1,0)</f>
        <v>#N/A</v>
      </c>
      <c r="M84" s="3">
        <f t="shared" si="7"/>
        <v>0</v>
      </c>
      <c r="O84" s="10" t="str">
        <f t="shared" si="2"/>
        <v>plano_politico-rdfs:seeAlso-politica</v>
      </c>
      <c r="P84" s="10"/>
      <c r="Q84" s="10"/>
      <c r="R84" s="10"/>
      <c r="S84" s="10"/>
      <c r="T84" s="10" t="e">
        <f>IF(INDEX(GRAFO!$M$2:'GRAFO'!$M$46,MATCH(O84,GRAFO!$M$2:'GRAFO'!$M$46,0),1)&lt;&gt;0,1,0)</f>
        <v>#N/A</v>
      </c>
      <c r="U84" s="10">
        <f t="shared" si="8"/>
        <v>0</v>
      </c>
    </row>
    <row r="85" spans="1:21">
      <c r="D85" s="10" t="str">
        <f t="shared" si="3"/>
        <v>plano_politico</v>
      </c>
      <c r="E85" s="10" t="str">
        <f t="shared" si="4"/>
        <v>rdfs:seeAlso</v>
      </c>
      <c r="F85" s="10" t="str">
        <f t="shared" si="5"/>
        <v>comandante_supremo</v>
      </c>
      <c r="G85" s="3" t="str">
        <f t="shared" si="6"/>
        <v>OK</v>
      </c>
      <c r="I85" s="10" t="str">
        <f t="shared" si="1"/>
        <v>plano_politico-comandante_supremo</v>
      </c>
      <c r="J85" s="10"/>
      <c r="K85" s="10"/>
      <c r="L85" s="3" t="e">
        <f>IF(INDEX(GRAFO!$L$2:'GRAFO'!$L$46,MATCH(I85,GRAFO!$L$2:'GRAFO'!$L$46,0),1)&lt;&gt;0,1,0)</f>
        <v>#N/A</v>
      </c>
      <c r="M85" s="3">
        <f t="shared" si="7"/>
        <v>0</v>
      </c>
      <c r="O85" s="10" t="str">
        <f t="shared" si="2"/>
        <v>plano_politico-rdfs:seeAlso-comandante_supremo</v>
      </c>
      <c r="P85" s="10"/>
      <c r="Q85" s="10"/>
      <c r="R85" s="10"/>
      <c r="S85" s="10"/>
      <c r="T85" s="10" t="e">
        <f>IF(INDEX(GRAFO!$M$2:'GRAFO'!$M$46,MATCH(O85,GRAFO!$M$2:'GRAFO'!$M$46,0),1)&lt;&gt;0,1,0)</f>
        <v>#N/A</v>
      </c>
      <c r="U85" s="10">
        <f t="shared" si="8"/>
        <v>0</v>
      </c>
    </row>
    <row r="86" spans="1:21">
      <c r="D86" s="10" t="str">
        <f t="shared" si="3"/>
        <v>presidente_da_republica</v>
      </c>
      <c r="E86" s="10" t="str">
        <f t="shared" si="4"/>
        <v>rdfs:subClassOf</v>
      </c>
      <c r="F86" s="10" t="str">
        <f t="shared" si="5"/>
        <v>pessoa</v>
      </c>
      <c r="G86" s="3" t="str">
        <f t="shared" si="6"/>
        <v>NOK</v>
      </c>
      <c r="I86" s="10" t="str">
        <f t="shared" si="1"/>
        <v>presidente_da_republica-pessoa</v>
      </c>
      <c r="J86" s="10"/>
      <c r="K86" s="10"/>
      <c r="L86" s="3" t="e">
        <f>IF(INDEX(GRAFO!$L$2:'GRAFO'!$L$46,MATCH(I86,GRAFO!$L$2:'GRAFO'!$L$46,0),1)&lt;&gt;0,1,0)</f>
        <v>#N/A</v>
      </c>
      <c r="M86" s="3">
        <f t="shared" si="7"/>
        <v>0</v>
      </c>
      <c r="O86" s="10" t="str">
        <f t="shared" si="2"/>
        <v>presidente_da_republica-rdfs:subClassOf-pessoa</v>
      </c>
      <c r="P86" s="10"/>
      <c r="Q86" s="10"/>
      <c r="R86" s="10"/>
      <c r="S86" s="10"/>
      <c r="T86" s="10" t="e">
        <f>IF(INDEX(GRAFO!$M$2:'GRAFO'!$M$46,MATCH(O86,GRAFO!$M$2:'GRAFO'!$M$46,0),1)&lt;&gt;0,1,0)</f>
        <v>#N/A</v>
      </c>
      <c r="U86" s="10">
        <f t="shared" si="8"/>
        <v>0</v>
      </c>
    </row>
    <row r="87" spans="1:21">
      <c r="D87" s="10" t="str">
        <f t="shared" si="3"/>
        <v>plano_politico</v>
      </c>
      <c r="E87" s="10" t="str">
        <f t="shared" si="4"/>
        <v>c2rm:responsible_for</v>
      </c>
      <c r="F87" s="10" t="str">
        <f t="shared" si="5"/>
        <v>plano_estrategico</v>
      </c>
      <c r="G87" s="3" t="str">
        <f t="shared" si="6"/>
        <v>NOK</v>
      </c>
      <c r="I87" s="10" t="str">
        <f t="shared" si="1"/>
        <v>plano_politico-plano_estrategico</v>
      </c>
      <c r="J87" s="10"/>
      <c r="K87" s="10"/>
      <c r="L87" s="3" t="e">
        <f>IF(INDEX(GRAFO!$L$2:'GRAFO'!$L$46,MATCH(I87,GRAFO!$L$2:'GRAFO'!$L$46,0),1)&lt;&gt;0,1,0)</f>
        <v>#N/A</v>
      </c>
      <c r="M87" s="3">
        <f t="shared" si="7"/>
        <v>0</v>
      </c>
      <c r="O87" s="10" t="str">
        <f t="shared" si="2"/>
        <v>plano_politico-c2rm:responsible_for-plano_estrategico</v>
      </c>
      <c r="P87" s="10"/>
      <c r="Q87" s="10"/>
      <c r="R87" s="10"/>
      <c r="S87" s="10"/>
      <c r="T87" s="10" t="e">
        <f>IF(INDEX(GRAFO!$M$2:'GRAFO'!$M$46,MATCH(O87,GRAFO!$M$2:'GRAFO'!$M$46,0),1)&lt;&gt;0,1,0)</f>
        <v>#N/A</v>
      </c>
      <c r="U87" s="10">
        <f t="shared" si="8"/>
        <v>0</v>
      </c>
    </row>
    <row r="88" spans="1:21">
      <c r="D88" s="10" t="str">
        <f t="shared" si="3"/>
        <v>md</v>
      </c>
      <c r="E88" s="10" t="str">
        <f t="shared" si="4"/>
        <v>c2rm:responsible_for</v>
      </c>
      <c r="F88" s="10" t="str">
        <f t="shared" si="5"/>
        <v>estrategia</v>
      </c>
      <c r="G88" s="3" t="str">
        <f t="shared" si="6"/>
        <v>NOK</v>
      </c>
      <c r="I88" s="10" t="str">
        <f t="shared" si="1"/>
        <v>md-estrategia</v>
      </c>
      <c r="J88" s="10"/>
      <c r="K88" s="10"/>
      <c r="L88" s="3" t="e">
        <f>IF(INDEX(GRAFO!$L$2:'GRAFO'!$L$46,MATCH(I88,GRAFO!$L$2:'GRAFO'!$L$46,0),1)&lt;&gt;0,1,0)</f>
        <v>#N/A</v>
      </c>
      <c r="M88" s="3">
        <f t="shared" si="7"/>
        <v>0</v>
      </c>
      <c r="O88" s="10" t="str">
        <f t="shared" si="2"/>
        <v>md-c2rm:responsible_for-estrategia</v>
      </c>
      <c r="P88" s="10"/>
      <c r="Q88" s="10"/>
      <c r="R88" s="10"/>
      <c r="S88" s="10"/>
      <c r="T88" s="10" t="e">
        <f>IF(INDEX(GRAFO!$M$2:'GRAFO'!$M$46,MATCH(O88,GRAFO!$M$2:'GRAFO'!$M$46,0),1)&lt;&gt;0,1,0)</f>
        <v>#N/A</v>
      </c>
      <c r="U88" s="10">
        <f t="shared" si="8"/>
        <v>0</v>
      </c>
    </row>
    <row r="89" spans="1:21">
      <c r="D89" s="10" t="str">
        <f t="shared" si="3"/>
        <v>plano_estrategico</v>
      </c>
      <c r="E89" s="10" t="str">
        <f t="shared" si="4"/>
        <v>rdfs:seeAlso</v>
      </c>
      <c r="F89" s="10" t="str">
        <f t="shared" si="5"/>
        <v>md</v>
      </c>
      <c r="G89" s="3" t="str">
        <f t="shared" si="6"/>
        <v>NOK</v>
      </c>
      <c r="I89" s="10" t="str">
        <f t="shared" si="1"/>
        <v>plano_estrategico-md</v>
      </c>
      <c r="J89" s="10"/>
      <c r="K89" s="10"/>
      <c r="L89" s="3" t="e">
        <f>IF(INDEX(GRAFO!$L$2:'GRAFO'!$L$46,MATCH(I89,GRAFO!$L$2:'GRAFO'!$L$46,0),1)&lt;&gt;0,1,0)</f>
        <v>#N/A</v>
      </c>
      <c r="M89" s="3">
        <f t="shared" si="7"/>
        <v>0</v>
      </c>
      <c r="O89" s="10" t="str">
        <f t="shared" si="2"/>
        <v>plano_estrategico-rdfs:seeAlso-md</v>
      </c>
      <c r="P89" s="10"/>
      <c r="Q89" s="10"/>
      <c r="R89" s="10"/>
      <c r="S89" s="10"/>
      <c r="T89" s="10" t="e">
        <f>IF(INDEX(GRAFO!$M$2:'GRAFO'!$M$46,MATCH(O89,GRAFO!$M$2:'GRAFO'!$M$46,0),1)&lt;&gt;0,1,0)</f>
        <v>#N/A</v>
      </c>
      <c r="U89" s="10">
        <f t="shared" si="8"/>
        <v>0</v>
      </c>
    </row>
    <row r="90" spans="1:21">
      <c r="D90" s="10" t="str">
        <f t="shared" si="3"/>
        <v>plano_estrategico</v>
      </c>
      <c r="E90" s="10" t="str">
        <f t="shared" si="4"/>
        <v>rdfs:seeAlso</v>
      </c>
      <c r="F90" s="10" t="str">
        <f t="shared" si="5"/>
        <v>estrategia</v>
      </c>
      <c r="G90" s="3" t="str">
        <f t="shared" si="6"/>
        <v>NOK</v>
      </c>
      <c r="I90" s="10" t="str">
        <f t="shared" si="1"/>
        <v>plano_estrategico-estrategia</v>
      </c>
      <c r="J90" s="10"/>
      <c r="K90" s="10"/>
      <c r="L90" s="3" t="e">
        <f>IF(INDEX(GRAFO!$L$2:'GRAFO'!$L$46,MATCH(I90,GRAFO!$L$2:'GRAFO'!$L$46,0),1)&lt;&gt;0,1,0)</f>
        <v>#N/A</v>
      </c>
      <c r="M90" s="3">
        <f t="shared" si="7"/>
        <v>0</v>
      </c>
      <c r="O90" s="10" t="str">
        <f t="shared" si="2"/>
        <v>plano_estrategico-rdfs:seeAlso-estrategia</v>
      </c>
      <c r="P90" s="10"/>
      <c r="Q90" s="10"/>
      <c r="R90" s="10"/>
      <c r="S90" s="10"/>
      <c r="T90" s="10" t="e">
        <f>IF(INDEX(GRAFO!$M$2:'GRAFO'!$M$46,MATCH(O90,GRAFO!$M$2:'GRAFO'!$M$46,0),1)&lt;&gt;0,1,0)</f>
        <v>#N/A</v>
      </c>
      <c r="U90" s="10">
        <f t="shared" si="8"/>
        <v>0</v>
      </c>
    </row>
    <row r="91" spans="1:21">
      <c r="D91" s="10" t="str">
        <f t="shared" si="3"/>
        <v>plano_estrategico</v>
      </c>
      <c r="E91" s="10" t="str">
        <f t="shared" si="4"/>
        <v>c2rm:responsible_for</v>
      </c>
      <c r="F91" s="10" t="str">
        <f t="shared" si="5"/>
        <v>plano_campanha</v>
      </c>
      <c r="G91" s="3" t="str">
        <f t="shared" si="6"/>
        <v>NOK</v>
      </c>
      <c r="I91" s="10" t="str">
        <f t="shared" si="1"/>
        <v>plano_estrategico-plano_campanha</v>
      </c>
      <c r="J91" s="10"/>
      <c r="K91" s="10"/>
      <c r="L91" s="3" t="e">
        <f>IF(INDEX(GRAFO!$L$2:'GRAFO'!$L$46,MATCH(I91,GRAFO!$L$2:'GRAFO'!$L$46,0),1)&lt;&gt;0,1,0)</f>
        <v>#N/A</v>
      </c>
      <c r="M91" s="3">
        <f t="shared" si="7"/>
        <v>0</v>
      </c>
      <c r="O91" s="10" t="str">
        <f t="shared" si="2"/>
        <v>plano_estrategico-c2rm:responsible_for-plano_campanha</v>
      </c>
      <c r="P91" s="10"/>
      <c r="Q91" s="10"/>
      <c r="R91" s="10"/>
      <c r="S91" s="10"/>
      <c r="T91" s="10" t="e">
        <f>IF(INDEX(GRAFO!$M$2:'GRAFO'!$M$46,MATCH(O91,GRAFO!$M$2:'GRAFO'!$M$46,0),1)&lt;&gt;0,1,0)</f>
        <v>#N/A</v>
      </c>
      <c r="U91" s="10">
        <f t="shared" si="8"/>
        <v>0</v>
      </c>
    </row>
    <row r="92" spans="1:21">
      <c r="D92" s="10" t="str">
        <f t="shared" si="3"/>
        <v>plano_campanha</v>
      </c>
      <c r="E92" s="10" t="str">
        <f t="shared" si="4"/>
        <v>c2rm:responsible_for</v>
      </c>
      <c r="F92" s="10" t="str">
        <f t="shared" si="5"/>
        <v>plano_tatico</v>
      </c>
      <c r="G92" s="3" t="str">
        <f t="shared" si="6"/>
        <v>NOK</v>
      </c>
      <c r="I92" s="10" t="str">
        <f t="shared" si="1"/>
        <v>plano_campanha-plano_tatico</v>
      </c>
      <c r="J92" s="10"/>
      <c r="K92" s="10"/>
      <c r="L92" s="3" t="e">
        <f>IF(INDEX(GRAFO!$L$2:'GRAFO'!$L$46,MATCH(I92,GRAFO!$L$2:'GRAFO'!$L$46,0),1)&lt;&gt;0,1,0)</f>
        <v>#N/A</v>
      </c>
      <c r="M92" s="3">
        <f t="shared" si="7"/>
        <v>0</v>
      </c>
      <c r="O92" s="10" t="str">
        <f t="shared" si="2"/>
        <v>plano_campanha-c2rm:responsible_for-plano_tatico</v>
      </c>
      <c r="P92" s="10"/>
      <c r="Q92" s="10"/>
      <c r="R92" s="10"/>
      <c r="S92" s="10"/>
      <c r="T92" s="10" t="e">
        <f>IF(INDEX(GRAFO!$M$2:'GRAFO'!$M$46,MATCH(O92,GRAFO!$M$2:'GRAFO'!$M$46,0),1)&lt;&gt;0,1,0)</f>
        <v>#N/A</v>
      </c>
      <c r="U92" s="10">
        <f t="shared" si="8"/>
        <v>0</v>
      </c>
    </row>
    <row r="93" spans="1:21">
      <c r="D93" s="10" t="str">
        <f t="shared" si="3"/>
        <v>cmd_fcj</v>
      </c>
      <c r="E93" s="10" t="str">
        <f t="shared" si="4"/>
        <v>c2rm:responsible_for</v>
      </c>
      <c r="F93" s="10" t="str">
        <f t="shared" si="5"/>
        <v>c_log</v>
      </c>
      <c r="G93" s="3" t="str">
        <f t="shared" si="6"/>
        <v>NOK</v>
      </c>
      <c r="I93" s="10" t="str">
        <f t="shared" si="1"/>
        <v>cmd_fcj-c_log</v>
      </c>
      <c r="J93" s="10"/>
      <c r="K93" s="10"/>
      <c r="L93" s="3" t="e">
        <f>IF(INDEX(GRAFO!$L$2:'GRAFO'!$L$46,MATCH(I93,GRAFO!$L$2:'GRAFO'!$L$46,0),1)&lt;&gt;0,1,0)</f>
        <v>#N/A</v>
      </c>
      <c r="M93" s="3">
        <f t="shared" si="7"/>
        <v>0</v>
      </c>
      <c r="O93" s="10" t="str">
        <f t="shared" si="2"/>
        <v>cmd_fcj-c2rm:responsible_for-c_log</v>
      </c>
      <c r="P93" s="10"/>
      <c r="Q93" s="10"/>
      <c r="R93" s="10"/>
      <c r="S93" s="10"/>
      <c r="T93" s="10" t="e">
        <f>IF(INDEX(GRAFO!$M$2:'GRAFO'!$M$46,MATCH(O93,GRAFO!$M$2:'GRAFO'!$M$46,0),1)&lt;&gt;0,1,0)</f>
        <v>#N/A</v>
      </c>
      <c r="U93" s="10">
        <f t="shared" si="8"/>
        <v>0</v>
      </c>
    </row>
    <row r="94" spans="1:21">
      <c r="D94" s="10" t="str">
        <f t="shared" si="3"/>
        <v>cmd_fcj</v>
      </c>
      <c r="E94" s="10" t="str">
        <f t="shared" si="4"/>
        <v>c2rm:responsible_for</v>
      </c>
      <c r="F94" s="10" t="str">
        <f t="shared" si="5"/>
        <v>operacao_conjunta</v>
      </c>
      <c r="G94" s="3" t="str">
        <f t="shared" si="6"/>
        <v>OK</v>
      </c>
      <c r="I94" s="10" t="str">
        <f t="shared" si="1"/>
        <v>cmd_fcj-operacao_conjunta</v>
      </c>
      <c r="J94" s="10"/>
      <c r="K94" s="10"/>
      <c r="L94" s="3" t="e">
        <f>IF(INDEX(GRAFO!$L$2:'GRAFO'!$L$46,MATCH(I94,GRAFO!$L$2:'GRAFO'!$L$46,0),1)&lt;&gt;0,1,0)</f>
        <v>#N/A</v>
      </c>
      <c r="M94" s="3">
        <f t="shared" si="7"/>
        <v>0</v>
      </c>
      <c r="O94" s="10" t="str">
        <f t="shared" si="2"/>
        <v>cmd_fcj-c2rm:responsible_for-operacao_conjunta</v>
      </c>
      <c r="P94" s="10"/>
      <c r="Q94" s="10"/>
      <c r="R94" s="10"/>
      <c r="S94" s="10"/>
      <c r="T94" s="10" t="e">
        <f>IF(INDEX(GRAFO!$M$2:'GRAFO'!$M$46,MATCH(O94,GRAFO!$M$2:'GRAFO'!$M$46,0),1)&lt;&gt;0,1,0)</f>
        <v>#N/A</v>
      </c>
      <c r="U94" s="10">
        <f t="shared" si="8"/>
        <v>0</v>
      </c>
    </row>
    <row r="95" spans="1:21">
      <c r="D95" s="10" t="str">
        <f t="shared" si="3"/>
        <v>plano_campanha</v>
      </c>
      <c r="E95" s="10" t="str">
        <f t="shared" si="4"/>
        <v>rdfs:seeAlso</v>
      </c>
      <c r="F95" s="10" t="str">
        <f t="shared" si="5"/>
        <v>cmd_fcj</v>
      </c>
      <c r="G95" s="3" t="str">
        <f t="shared" si="6"/>
        <v>NOK</v>
      </c>
      <c r="I95" s="10" t="str">
        <f t="shared" si="1"/>
        <v>plano_campanha-cmd_fcj</v>
      </c>
      <c r="J95" s="10"/>
      <c r="K95" s="10"/>
      <c r="L95" s="3" t="e">
        <f>IF(INDEX(GRAFO!$L$2:'GRAFO'!$L$46,MATCH(I95,GRAFO!$L$2:'GRAFO'!$L$46,0),1)&lt;&gt;0,1,0)</f>
        <v>#N/A</v>
      </c>
      <c r="M95" s="3">
        <f t="shared" si="7"/>
        <v>0</v>
      </c>
      <c r="O95" s="10" t="str">
        <f t="shared" si="2"/>
        <v>plano_campanha-rdfs:seeAlso-cmd_fcj</v>
      </c>
      <c r="P95" s="10"/>
      <c r="Q95" s="10"/>
      <c r="R95" s="10"/>
      <c r="S95" s="10"/>
      <c r="T95" s="10" t="e">
        <f>IF(INDEX(GRAFO!$M$2:'GRAFO'!$M$46,MATCH(O95,GRAFO!$M$2:'GRAFO'!$M$46,0),1)&lt;&gt;0,1,0)</f>
        <v>#N/A</v>
      </c>
      <c r="U95" s="10">
        <f t="shared" si="8"/>
        <v>0</v>
      </c>
    </row>
    <row r="96" spans="1:21">
      <c r="D96" s="10" t="str">
        <f t="shared" si="3"/>
        <v>plano_campanha</v>
      </c>
      <c r="E96" s="10" t="str">
        <f t="shared" si="4"/>
        <v>rdfs:seeAlso</v>
      </c>
      <c r="F96" s="10" t="str">
        <f t="shared" si="5"/>
        <v>operacao_conjunta</v>
      </c>
      <c r="G96" s="3" t="str">
        <f t="shared" si="6"/>
        <v>OK</v>
      </c>
      <c r="I96" s="10" t="str">
        <f t="shared" si="1"/>
        <v>plano_campanha-operacao_conjunta</v>
      </c>
      <c r="J96" s="10"/>
      <c r="K96" s="10"/>
      <c r="L96" s="3" t="e">
        <f>IF(INDEX(GRAFO!$L$2:'GRAFO'!$L$46,MATCH(I96,GRAFO!$L$2:'GRAFO'!$L$46,0),1)&lt;&gt;0,1,0)</f>
        <v>#N/A</v>
      </c>
      <c r="M96" s="3">
        <f t="shared" si="7"/>
        <v>0</v>
      </c>
      <c r="O96" s="10" t="str">
        <f t="shared" si="2"/>
        <v>plano_campanha-rdfs:seeAlso-operacao_conjunta</v>
      </c>
      <c r="P96" s="10"/>
      <c r="Q96" s="10"/>
      <c r="R96" s="10"/>
      <c r="S96" s="10"/>
      <c r="T96" s="10" t="e">
        <f>IF(INDEX(GRAFO!$M$2:'GRAFO'!$M$46,MATCH(O96,GRAFO!$M$2:'GRAFO'!$M$46,0),1)&lt;&gt;0,1,0)</f>
        <v>#N/A</v>
      </c>
      <c r="U96" s="10">
        <f t="shared" si="8"/>
        <v>0</v>
      </c>
    </row>
    <row r="97" spans="4:21">
      <c r="D97" s="10" t="str">
        <f t="shared" si="3"/>
        <v>plano_campanha</v>
      </c>
      <c r="E97" s="10" t="str">
        <f t="shared" si="4"/>
        <v>rdfs:seeAlso</v>
      </c>
      <c r="F97" s="10" t="str">
        <f t="shared" si="5"/>
        <v>ar</v>
      </c>
      <c r="G97" s="3" t="str">
        <f t="shared" si="6"/>
        <v>NOK</v>
      </c>
      <c r="I97" s="10" t="str">
        <f t="shared" si="1"/>
        <v>plano_campanha-ar</v>
      </c>
      <c r="J97" s="10"/>
      <c r="K97" s="10"/>
      <c r="L97" s="3" t="e">
        <f>IF(INDEX(GRAFO!$L$2:'GRAFO'!$L$46,MATCH(I97,GRAFO!$L$2:'GRAFO'!$L$46,0),1)&lt;&gt;0,1,0)</f>
        <v>#N/A</v>
      </c>
      <c r="M97" s="3">
        <f t="shared" si="7"/>
        <v>0</v>
      </c>
      <c r="O97" s="10" t="str">
        <f t="shared" si="2"/>
        <v>plano_campanha-rdfs:seeAlso-ar</v>
      </c>
      <c r="P97" s="10"/>
      <c r="Q97" s="10"/>
      <c r="R97" s="10"/>
      <c r="S97" s="10"/>
      <c r="T97" s="10" t="e">
        <f>IF(INDEX(GRAFO!$M$2:'GRAFO'!$M$46,MATCH(O97,GRAFO!$M$2:'GRAFO'!$M$46,0),1)&lt;&gt;0,1,0)</f>
        <v>#N/A</v>
      </c>
      <c r="U97" s="10">
        <f t="shared" si="8"/>
        <v>0</v>
      </c>
    </row>
    <row r="98" spans="4:21">
      <c r="D98" s="10" t="str">
        <f t="shared" si="3"/>
        <v>plano_campanha</v>
      </c>
      <c r="E98" s="10" t="str">
        <f t="shared" si="4"/>
        <v>rdfs:seeAlso</v>
      </c>
      <c r="F98" s="10" t="str">
        <f t="shared" si="5"/>
        <v>meio_adjudicado</v>
      </c>
      <c r="G98" s="3" t="str">
        <f t="shared" si="6"/>
        <v>NOK</v>
      </c>
      <c r="I98" s="10" t="str">
        <f t="shared" si="1"/>
        <v>plano_campanha-meio_adjudicado</v>
      </c>
      <c r="J98" s="10"/>
      <c r="K98" s="10"/>
      <c r="L98" s="3" t="e">
        <f>IF(INDEX(GRAFO!$L$2:'GRAFO'!$L$46,MATCH(I98,GRAFO!$L$2:'GRAFO'!$L$46,0),1)&lt;&gt;0,1,0)</f>
        <v>#N/A</v>
      </c>
      <c r="M98" s="3">
        <f t="shared" si="7"/>
        <v>0</v>
      </c>
      <c r="O98" s="10" t="str">
        <f t="shared" si="2"/>
        <v>plano_campanha-rdfs:seeAlso-meio_adjudicado</v>
      </c>
      <c r="P98" s="10"/>
      <c r="Q98" s="10"/>
      <c r="R98" s="10"/>
      <c r="S98" s="10"/>
      <c r="T98" s="10" t="e">
        <f>IF(INDEX(GRAFO!$M$2:'GRAFO'!$M$46,MATCH(O98,GRAFO!$M$2:'GRAFO'!$M$46,0),1)&lt;&gt;0,1,0)</f>
        <v>#N/A</v>
      </c>
      <c r="U98" s="10">
        <f t="shared" si="8"/>
        <v>0</v>
      </c>
    </row>
    <row r="99" spans="4:21">
      <c r="D99" s="10" t="str">
        <f t="shared" si="3"/>
        <v>cmd_fcte</v>
      </c>
      <c r="E99" s="10" t="str">
        <f t="shared" si="4"/>
        <v>c2rm:responsible_for</v>
      </c>
      <c r="F99" s="10" t="str">
        <f t="shared" si="5"/>
        <v>op_tatica</v>
      </c>
      <c r="G99" s="3" t="str">
        <f t="shared" si="6"/>
        <v>NOK</v>
      </c>
      <c r="I99" s="10" t="str">
        <f t="shared" si="1"/>
        <v>cmd_fcte-op_tatica</v>
      </c>
      <c r="J99" s="10"/>
      <c r="K99" s="10"/>
      <c r="L99" s="3" t="e">
        <f>IF(INDEX(GRAFO!$L$2:'GRAFO'!$L$46,MATCH(I99,GRAFO!$L$2:'GRAFO'!$L$46,0),1)&lt;&gt;0,1,0)</f>
        <v>#N/A</v>
      </c>
      <c r="M99" s="3">
        <f t="shared" si="7"/>
        <v>0</v>
      </c>
      <c r="O99" s="10" t="str">
        <f t="shared" si="2"/>
        <v>cmd_fcte-c2rm:responsible_for-op_tatica</v>
      </c>
      <c r="P99" s="10"/>
      <c r="Q99" s="10"/>
      <c r="R99" s="10"/>
      <c r="S99" s="10"/>
      <c r="T99" s="10" t="e">
        <f>IF(INDEX(GRAFO!$M$2:'GRAFO'!$M$46,MATCH(O99,GRAFO!$M$2:'GRAFO'!$M$46,0),1)&lt;&gt;0,1,0)</f>
        <v>#N/A</v>
      </c>
      <c r="U99" s="10">
        <f t="shared" si="8"/>
        <v>0</v>
      </c>
    </row>
    <row r="100" spans="4:21">
      <c r="D100" s="10" t="str">
        <f t="shared" si="3"/>
        <v>plano_tatico</v>
      </c>
      <c r="E100" s="10" t="str">
        <f t="shared" si="4"/>
        <v>rdfs:seeAlso</v>
      </c>
      <c r="F100" s="10" t="str">
        <f t="shared" si="5"/>
        <v>cmd_fcte</v>
      </c>
      <c r="G100" s="3" t="str">
        <f t="shared" si="6"/>
        <v>NOK</v>
      </c>
      <c r="I100" s="10" t="str">
        <f t="shared" si="1"/>
        <v>plano_tatico-cmd_fcte</v>
      </c>
      <c r="J100" s="10"/>
      <c r="K100" s="10"/>
      <c r="L100" s="3" t="e">
        <f>IF(INDEX(GRAFO!$L$2:'GRAFO'!$L$46,MATCH(I100,GRAFO!$L$2:'GRAFO'!$L$46,0),1)&lt;&gt;0,1,0)</f>
        <v>#N/A</v>
      </c>
      <c r="M100" s="3">
        <f t="shared" si="7"/>
        <v>0</v>
      </c>
      <c r="O100" s="10" t="str">
        <f t="shared" si="2"/>
        <v>plano_tatico-rdfs:seeAlso-cmd_fcte</v>
      </c>
      <c r="P100" s="10"/>
      <c r="Q100" s="10"/>
      <c r="R100" s="10"/>
      <c r="S100" s="10"/>
      <c r="T100" s="10" t="e">
        <f>IF(INDEX(GRAFO!$M$2:'GRAFO'!$M$46,MATCH(O100,GRAFO!$M$2:'GRAFO'!$M$46,0),1)&lt;&gt;0,1,0)</f>
        <v>#N/A</v>
      </c>
      <c r="U100" s="10">
        <f t="shared" si="8"/>
        <v>0</v>
      </c>
    </row>
    <row r="101" spans="4:21">
      <c r="D101" s="10" t="str">
        <f t="shared" si="3"/>
        <v>plano_tatico</v>
      </c>
      <c r="E101" s="10" t="str">
        <f t="shared" si="4"/>
        <v>rdfs:seeAlso</v>
      </c>
      <c r="F101" s="10" t="str">
        <f t="shared" si="5"/>
        <v>op_tatica</v>
      </c>
      <c r="G101" s="3" t="str">
        <f t="shared" si="6"/>
        <v>NOK</v>
      </c>
      <c r="I101" s="10" t="str">
        <f t="shared" si="1"/>
        <v>plano_tatico-op_tatica</v>
      </c>
      <c r="J101" s="10"/>
      <c r="K101" s="10"/>
      <c r="L101" s="3" t="e">
        <f>IF(INDEX(GRAFO!$L$2:'GRAFO'!$L$46,MATCH(I101,GRAFO!$L$2:'GRAFO'!$L$46,0),1)&lt;&gt;0,1,0)</f>
        <v>#N/A</v>
      </c>
      <c r="M101" s="3">
        <f t="shared" si="7"/>
        <v>0</v>
      </c>
      <c r="O101" s="10" t="str">
        <f t="shared" si="2"/>
        <v>plano_tatico-rdfs:seeAlso-op_tatica</v>
      </c>
      <c r="P101" s="10"/>
      <c r="Q101" s="10"/>
      <c r="R101" s="10"/>
      <c r="S101" s="10"/>
      <c r="T101" s="10" t="e">
        <f>IF(INDEX(GRAFO!$M$2:'GRAFO'!$M$46,MATCH(O101,GRAFO!$M$2:'GRAFO'!$M$46,0),1)&lt;&gt;0,1,0)</f>
        <v>#N/A</v>
      </c>
      <c r="U101" s="10">
        <f t="shared" si="8"/>
        <v>0</v>
      </c>
    </row>
    <row r="102" spans="4:21">
      <c r="D102" s="10"/>
      <c r="E102" s="10"/>
      <c r="F102" s="10"/>
      <c r="G102" s="3"/>
      <c r="I102" s="10"/>
      <c r="J102" s="10"/>
      <c r="K102" s="10"/>
      <c r="L102" s="3"/>
      <c r="M102" s="3"/>
      <c r="O102" s="10"/>
      <c r="P102" s="10"/>
      <c r="Q102" s="10"/>
      <c r="R102" s="10"/>
      <c r="S102" s="10"/>
      <c r="T102" s="10"/>
      <c r="U102" s="10"/>
    </row>
    <row r="103" spans="4:21">
      <c r="D103" s="10"/>
      <c r="E103" s="10"/>
      <c r="F103" s="10"/>
      <c r="G103" s="3"/>
    </row>
    <row r="104" spans="4:21">
      <c r="D104" s="10"/>
      <c r="E104" s="10"/>
      <c r="F104" s="10"/>
      <c r="G104" s="3"/>
    </row>
    <row r="105" spans="4:21">
      <c r="D105" s="10"/>
      <c r="E105" s="10"/>
      <c r="F105" s="10"/>
      <c r="G105" s="3"/>
    </row>
    <row r="106" spans="4:21">
      <c r="D106" s="10"/>
      <c r="E106" s="10"/>
      <c r="F106" s="10"/>
      <c r="G106" s="3"/>
    </row>
    <row r="107" spans="4:21">
      <c r="D107" s="10"/>
      <c r="E107" s="10"/>
      <c r="F107" s="10"/>
      <c r="G107" s="3"/>
    </row>
    <row r="108" spans="4:21">
      <c r="D108" s="10"/>
      <c r="E108" s="10"/>
      <c r="F108" s="10"/>
      <c r="G108" s="3"/>
    </row>
    <row r="109" spans="4:21">
      <c r="D109" s="10"/>
      <c r="E109" s="10"/>
      <c r="F109" s="10"/>
      <c r="G109" s="3"/>
    </row>
    <row r="110" spans="4:21">
      <c r="D110" s="10"/>
      <c r="E110" s="10"/>
      <c r="F110" s="10"/>
      <c r="G110" s="3"/>
    </row>
    <row r="111" spans="4:21">
      <c r="D111" s="10"/>
      <c r="E111" s="10"/>
      <c r="F111" s="10"/>
      <c r="G111" s="3"/>
    </row>
    <row r="112" spans="4:21">
      <c r="D112" s="10"/>
      <c r="E112" s="10"/>
      <c r="F112" s="10"/>
      <c r="G112" s="3"/>
    </row>
    <row r="113" spans="4:7">
      <c r="D113" s="10"/>
      <c r="E113" s="10"/>
      <c r="F113" s="10"/>
      <c r="G113" s="3"/>
    </row>
    <row r="114" spans="4:7">
      <c r="D114" s="10"/>
      <c r="E114" s="10"/>
      <c r="F114" s="10"/>
      <c r="G114" s="3"/>
    </row>
    <row r="115" spans="4:7">
      <c r="D115" s="10"/>
      <c r="E115" s="10"/>
      <c r="F115" s="10"/>
      <c r="G115" s="3"/>
    </row>
    <row r="116" spans="4:7">
      <c r="D116" s="10"/>
      <c r="E116" s="10"/>
      <c r="F116" s="10"/>
      <c r="G116" s="3"/>
    </row>
  </sheetData>
  <mergeCells count="10">
    <mergeCell ref="I57:K57"/>
    <mergeCell ref="L57:M57"/>
    <mergeCell ref="O57:S57"/>
    <mergeCell ref="T57:U57"/>
    <mergeCell ref="A1:B1"/>
    <mergeCell ref="D1:F1"/>
    <mergeCell ref="K4:K5"/>
    <mergeCell ref="D56:G56"/>
    <mergeCell ref="I56:M56"/>
    <mergeCell ref="O56:U56"/>
  </mergeCells>
  <dataValidations count="11">
    <dataValidation type="list" allowBlank="1" showInputMessage="1" showErrorMessage="1" sqref="D4:D11 F7:F9 D16 F17 D20:D22 F22 D24:D26">
      <formula1>$A$3:$A$35</formula1>
    </dataValidation>
    <dataValidation type="list" allowBlank="1" showInputMessage="1" showErrorMessage="1" sqref="F56:G56">
      <formula1>$A$3:$A$27</formula1>
    </dataValidation>
    <dataValidation type="list" allowBlank="1" showInputMessage="1" showErrorMessage="1" sqref="C3:C55 B4:B55">
      <formula1>$Y$3:$Y$57</formula1>
    </dataValidation>
    <dataValidation type="list" allowBlank="1" showInputMessage="1" showErrorMessage="1" sqref="H3:H62 G3:G55">
      <formula1>$A$3:$A$22</formula1>
    </dataValidation>
    <dataValidation type="list" allowBlank="1" showInputMessage="1" showErrorMessage="1" sqref="B58:B74">
      <formula1>$AE$2:$AE$12</formula1>
    </dataValidation>
    <dataValidation type="list" allowBlank="1" showInputMessage="1" showErrorMessage="1" sqref="F55 D55">
      <formula1>$A$3:$A$28</formula1>
    </dataValidation>
    <dataValidation type="list" allowBlank="1" showInputMessage="1" showErrorMessage="1" sqref="E55 E42:E43">
      <formula1>$A$58:$A$66</formula1>
    </dataValidation>
    <dataValidation type="list" allowBlank="1" showInputMessage="1" showErrorMessage="1" sqref="B3">
      <formula1>$Y$3:$Y$31</formula1>
    </dataValidation>
    <dataValidation type="list" allowBlank="1" showInputMessage="1" showErrorMessage="1" sqref="E3:E54">
      <formula1>$A$58:$A$71</formula1>
    </dataValidation>
    <dataValidation type="list" allowBlank="1" showInputMessage="1" showErrorMessage="1" sqref="D3 F3:F6 D27:D44 D12:D15 F10:F16 D17:D19 F18:F21 D23 F23:F27 F30 F32 F34 F36:F37 F39:F41 F45">
      <formula1>$A$3:$A$31</formula1>
    </dataValidation>
    <dataValidation type="list" allowBlank="1" showInputMessage="1" showErrorMessage="1" sqref="D45:D54 F28:F29 F31 F33 F35 F38 F42:F44 F46:F54">
      <formula1>$A$3:$A$33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E116"/>
  <sheetViews>
    <sheetView zoomScale="175" zoomScaleNormal="175" workbookViewId="0">
      <selection sqref="A1:XFD1048576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64" t="s">
        <v>184</v>
      </c>
      <c r="AD2" s="64" t="s">
        <v>195</v>
      </c>
      <c r="AE2" s="64" t="s">
        <v>35</v>
      </c>
    </row>
    <row r="3" spans="1:31" ht="16.75">
      <c r="A3" s="46" t="s">
        <v>319</v>
      </c>
      <c r="B3" s="10" t="s">
        <v>9</v>
      </c>
      <c r="D3" s="46" t="s">
        <v>8</v>
      </c>
      <c r="E3" s="46" t="s">
        <v>101</v>
      </c>
      <c r="F3" s="46" t="s">
        <v>319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s="16" t="s">
        <v>33</v>
      </c>
      <c r="AC3" s="64" t="s">
        <v>185</v>
      </c>
      <c r="AD3" s="64" t="s">
        <v>196</v>
      </c>
      <c r="AE3" s="64" t="s">
        <v>4</v>
      </c>
    </row>
    <row r="4" spans="1:31" ht="16.75">
      <c r="A4" s="46" t="s">
        <v>8</v>
      </c>
      <c r="B4" s="10" t="s">
        <v>8</v>
      </c>
      <c r="D4" s="46" t="s">
        <v>10</v>
      </c>
      <c r="E4" s="46" t="s">
        <v>101</v>
      </c>
      <c r="F4" s="46" t="s">
        <v>319</v>
      </c>
      <c r="K4" s="85" t="s">
        <v>80</v>
      </c>
      <c r="L4" s="8" t="s">
        <v>0</v>
      </c>
      <c r="M4" s="4">
        <f>GRAFO!J2</f>
        <v>29</v>
      </c>
      <c r="N4" s="11">
        <f>COUNTA(A3:A27)</f>
        <v>25</v>
      </c>
      <c r="O4" s="11">
        <f>COUNTIF(B3:B27,"&lt;&gt;"&amp;"")</f>
        <v>14</v>
      </c>
      <c r="P4" s="2">
        <f>N4-R4</f>
        <v>14</v>
      </c>
      <c r="Q4" s="2">
        <f>M4-O4</f>
        <v>15</v>
      </c>
      <c r="R4" s="2">
        <f>N4-O4</f>
        <v>11</v>
      </c>
      <c r="S4" s="2">
        <f>O4+P4</f>
        <v>28</v>
      </c>
      <c r="T4" s="2">
        <f>Q4+R4</f>
        <v>26</v>
      </c>
      <c r="U4" s="6">
        <f>O4/(O4+R4)</f>
        <v>0.56000000000000005</v>
      </c>
      <c r="V4" s="6">
        <f>O4/(O4+Q4)</f>
        <v>0.48275862068965519</v>
      </c>
      <c r="W4" s="6">
        <f>(O4+P4)/(O4+P4+Q4+R4)</f>
        <v>0.51851851851851849</v>
      </c>
      <c r="X4" s="62">
        <f>AVERAGE(U4:W4)</f>
        <v>0.52042571306939134</v>
      </c>
      <c r="Y4" s="16" t="s">
        <v>21</v>
      </c>
      <c r="AC4" s="64" t="s">
        <v>186</v>
      </c>
      <c r="AD4" s="64" t="s">
        <v>197</v>
      </c>
      <c r="AE4" s="64" t="s">
        <v>205</v>
      </c>
    </row>
    <row r="5" spans="1:31" ht="16.75">
      <c r="A5" s="46" t="s">
        <v>10</v>
      </c>
      <c r="B5" s="10" t="s">
        <v>10</v>
      </c>
      <c r="D5" s="46" t="s">
        <v>12</v>
      </c>
      <c r="E5" s="46" t="s">
        <v>101</v>
      </c>
      <c r="F5" s="46" t="s">
        <v>319</v>
      </c>
      <c r="K5" s="85"/>
      <c r="L5" s="8" t="s">
        <v>100</v>
      </c>
      <c r="M5" s="5">
        <f>GRAFO!J3</f>
        <v>41</v>
      </c>
      <c r="N5" s="12">
        <f>COUNTA(D58:D83)</f>
        <v>26</v>
      </c>
      <c r="O5" s="12">
        <f>COUNTIF(M58:M83,"=1")</f>
        <v>10</v>
      </c>
      <c r="P5" s="2">
        <f>N5-R5</f>
        <v>10</v>
      </c>
      <c r="Q5" s="2">
        <f>M5-O5</f>
        <v>31</v>
      </c>
      <c r="R5" s="2">
        <f>N5-O5</f>
        <v>16</v>
      </c>
      <c r="S5" s="2">
        <f>O5+P5</f>
        <v>20</v>
      </c>
      <c r="T5" s="2">
        <f>Q5+R5</f>
        <v>47</v>
      </c>
      <c r="U5" s="6">
        <f>O5/(O5+R5)</f>
        <v>0.38461538461538464</v>
      </c>
      <c r="V5" s="6">
        <f>O5/(O5+Q5)</f>
        <v>0.24390243902439024</v>
      </c>
      <c r="W5" s="6">
        <f>(O5+P5)/(O5+P5+Q5+R5)</f>
        <v>0.29850746268656714</v>
      </c>
      <c r="X5" s="62">
        <f t="shared" ref="X5:X6" si="0">AVERAGE(U5:W5)</f>
        <v>0.30900842877544732</v>
      </c>
      <c r="Y5" s="16" t="s">
        <v>17</v>
      </c>
      <c r="AC5" s="64" t="s">
        <v>187</v>
      </c>
      <c r="AD5" s="64" t="s">
        <v>198</v>
      </c>
      <c r="AE5" s="64" t="s">
        <v>3</v>
      </c>
    </row>
    <row r="6" spans="1:31" ht="16.75">
      <c r="A6" s="46" t="s">
        <v>12</v>
      </c>
      <c r="B6" s="10" t="s">
        <v>12</v>
      </c>
      <c r="D6" s="46" t="s">
        <v>11</v>
      </c>
      <c r="E6" s="46" t="s">
        <v>101</v>
      </c>
      <c r="F6" s="46" t="s">
        <v>319</v>
      </c>
      <c r="L6" s="8" t="s">
        <v>99</v>
      </c>
      <c r="M6" s="5">
        <v>41</v>
      </c>
      <c r="N6" s="12">
        <f>COUNTA(D58:D83)</f>
        <v>26</v>
      </c>
      <c r="O6" s="12">
        <f>COUNTIF(U58:U83,"=1")</f>
        <v>7</v>
      </c>
      <c r="P6" s="2">
        <f>N6-R6</f>
        <v>7</v>
      </c>
      <c r="Q6" s="2">
        <f>M6-O6</f>
        <v>34</v>
      </c>
      <c r="R6" s="2">
        <f>N6-O6</f>
        <v>19</v>
      </c>
      <c r="S6" s="2">
        <f>O6+P6</f>
        <v>14</v>
      </c>
      <c r="T6" s="2">
        <f>Q6+R6</f>
        <v>53</v>
      </c>
      <c r="U6" s="6">
        <f>O6/(O6+R6)</f>
        <v>0.26923076923076922</v>
      </c>
      <c r="V6" s="6">
        <f>O6/(O6+Q6)</f>
        <v>0.17073170731707318</v>
      </c>
      <c r="W6" s="6">
        <f>(O6+P6)/(O6+P6+Q6+R6)</f>
        <v>0.20895522388059701</v>
      </c>
      <c r="X6" s="62">
        <f t="shared" si="0"/>
        <v>0.21630590014281315</v>
      </c>
      <c r="Y6" s="16" t="s">
        <v>40</v>
      </c>
      <c r="AC6" s="64" t="s">
        <v>188</v>
      </c>
      <c r="AD6" s="64" t="s">
        <v>199</v>
      </c>
      <c r="AE6" s="64" t="s">
        <v>6</v>
      </c>
    </row>
    <row r="7" spans="1:31" ht="16.75">
      <c r="A7" s="46" t="s">
        <v>11</v>
      </c>
      <c r="B7" s="10" t="s">
        <v>11</v>
      </c>
      <c r="D7" s="46" t="s">
        <v>55</v>
      </c>
      <c r="E7" s="46" t="s">
        <v>101</v>
      </c>
      <c r="F7" s="46" t="s">
        <v>54</v>
      </c>
      <c r="X7" s="62">
        <f>AVERAGE(X4:X6)</f>
        <v>0.34858001399588395</v>
      </c>
      <c r="Y7" s="16" t="s">
        <v>13</v>
      </c>
      <c r="AC7" s="64" t="s">
        <v>189</v>
      </c>
      <c r="AD7" s="64" t="s">
        <v>200</v>
      </c>
      <c r="AE7" s="64" t="s">
        <v>206</v>
      </c>
    </row>
    <row r="8" spans="1:31" ht="16.75">
      <c r="A8" s="46" t="s">
        <v>360</v>
      </c>
      <c r="B8" s="10"/>
      <c r="D8" s="46" t="s">
        <v>56</v>
      </c>
      <c r="E8" s="46" t="s">
        <v>101</v>
      </c>
      <c r="F8" s="46" t="s">
        <v>54</v>
      </c>
      <c r="Y8" s="16" t="s">
        <v>39</v>
      </c>
      <c r="AC8" s="64" t="s">
        <v>190</v>
      </c>
      <c r="AD8" s="64" t="s">
        <v>148</v>
      </c>
      <c r="AE8" s="64" t="s">
        <v>36</v>
      </c>
    </row>
    <row r="9" spans="1:31" ht="16.75">
      <c r="A9" s="46" t="s">
        <v>53</v>
      </c>
      <c r="B9" s="10"/>
      <c r="D9" s="46" t="s">
        <v>57</v>
      </c>
      <c r="E9" s="46" t="s">
        <v>101</v>
      </c>
      <c r="F9" s="46" t="s">
        <v>54</v>
      </c>
      <c r="K9" t="s">
        <v>74</v>
      </c>
      <c r="L9" t="s">
        <v>75</v>
      </c>
      <c r="N9">
        <f>GRAFO!J2</f>
        <v>29</v>
      </c>
      <c r="Y9" s="16" t="s">
        <v>19</v>
      </c>
      <c r="AC9" s="64" t="s">
        <v>191</v>
      </c>
      <c r="AD9" s="64" t="s">
        <v>201</v>
      </c>
      <c r="AE9" s="64" t="s">
        <v>7</v>
      </c>
    </row>
    <row r="10" spans="1:31" ht="16.75">
      <c r="A10" s="46" t="s">
        <v>123</v>
      </c>
      <c r="B10" s="10"/>
      <c r="D10" s="46" t="s">
        <v>54</v>
      </c>
      <c r="E10" s="10" t="s">
        <v>105</v>
      </c>
      <c r="F10" s="10" t="s">
        <v>66</v>
      </c>
      <c r="K10" t="s">
        <v>80</v>
      </c>
      <c r="L10" t="s">
        <v>76</v>
      </c>
      <c r="N10">
        <f>N4</f>
        <v>25</v>
      </c>
      <c r="Y10" s="16" t="s">
        <v>37</v>
      </c>
      <c r="AC10" s="64" t="s">
        <v>192</v>
      </c>
      <c r="AD10" s="64" t="s">
        <v>202</v>
      </c>
      <c r="AE10" s="64" t="s">
        <v>207</v>
      </c>
    </row>
    <row r="11" spans="1:31" ht="16.75">
      <c r="A11" s="46" t="s">
        <v>66</v>
      </c>
      <c r="B11" s="10" t="s">
        <v>22</v>
      </c>
      <c r="D11" s="46" t="s">
        <v>66</v>
      </c>
      <c r="E11" s="46" t="s">
        <v>143</v>
      </c>
      <c r="F11" s="46" t="s">
        <v>319</v>
      </c>
      <c r="K11" t="s">
        <v>68</v>
      </c>
      <c r="L11" t="s">
        <v>77</v>
      </c>
      <c r="N11">
        <v>16</v>
      </c>
      <c r="Y11" s="16" t="s">
        <v>10</v>
      </c>
      <c r="AC11" s="64" t="s">
        <v>193</v>
      </c>
      <c r="AD11" s="64" t="s">
        <v>203</v>
      </c>
      <c r="AE11" s="64" t="s">
        <v>208</v>
      </c>
    </row>
    <row r="12" spans="1:31" ht="16.75">
      <c r="A12" s="46" t="s">
        <v>124</v>
      </c>
      <c r="B12" s="10"/>
      <c r="D12" s="46" t="s">
        <v>52</v>
      </c>
      <c r="E12" s="46" t="s">
        <v>354</v>
      </c>
      <c r="F12" s="46" t="s">
        <v>233</v>
      </c>
      <c r="K12" t="s">
        <v>70</v>
      </c>
      <c r="L12" t="s">
        <v>78</v>
      </c>
      <c r="M12" t="s">
        <v>86</v>
      </c>
      <c r="N12">
        <f>N9-N11</f>
        <v>13</v>
      </c>
      <c r="Y12" s="16" t="s">
        <v>14</v>
      </c>
      <c r="AC12" s="64" t="s">
        <v>194</v>
      </c>
      <c r="AD12" s="64" t="s">
        <v>204</v>
      </c>
      <c r="AE12" s="64" t="s">
        <v>5</v>
      </c>
    </row>
    <row r="13" spans="1:31" ht="16.75">
      <c r="A13" s="46" t="s">
        <v>165</v>
      </c>
      <c r="B13" s="10"/>
      <c r="D13" s="46" t="s">
        <v>233</v>
      </c>
      <c r="E13" s="46" t="s">
        <v>364</v>
      </c>
      <c r="F13" s="46" t="s">
        <v>8</v>
      </c>
      <c r="K13" t="s">
        <v>69</v>
      </c>
      <c r="L13" t="s">
        <v>79</v>
      </c>
      <c r="M13" t="s">
        <v>87</v>
      </c>
      <c r="Y13" s="16" t="s">
        <v>34</v>
      </c>
    </row>
    <row r="14" spans="1:31" ht="16.75">
      <c r="A14" s="46" t="s">
        <v>286</v>
      </c>
      <c r="B14" s="10" t="s">
        <v>13</v>
      </c>
      <c r="D14" s="46" t="s">
        <v>53</v>
      </c>
      <c r="E14" s="46" t="s">
        <v>364</v>
      </c>
      <c r="F14" s="46" t="s">
        <v>10</v>
      </c>
      <c r="K14" t="s">
        <v>83</v>
      </c>
      <c r="M14" t="s">
        <v>88</v>
      </c>
      <c r="Y14" s="16" t="s">
        <v>27</v>
      </c>
    </row>
    <row r="15" spans="1:31" ht="16.75">
      <c r="A15" s="46" t="s">
        <v>55</v>
      </c>
      <c r="B15" s="10" t="s">
        <v>32</v>
      </c>
      <c r="D15" s="46" t="s">
        <v>286</v>
      </c>
      <c r="E15" s="46" t="s">
        <v>364</v>
      </c>
      <c r="F15" s="46" t="s">
        <v>12</v>
      </c>
      <c r="K15" t="s">
        <v>89</v>
      </c>
      <c r="M15" t="s">
        <v>92</v>
      </c>
      <c r="Y15" s="16" t="s">
        <v>28</v>
      </c>
    </row>
    <row r="16" spans="1:31" ht="16.75">
      <c r="A16" s="46" t="s">
        <v>56</v>
      </c>
      <c r="B16" s="10" t="s">
        <v>34</v>
      </c>
      <c r="D16" s="46" t="s">
        <v>286</v>
      </c>
      <c r="E16" s="46" t="s">
        <v>136</v>
      </c>
      <c r="F16" s="46" t="s">
        <v>454</v>
      </c>
      <c r="K16" t="s">
        <v>90</v>
      </c>
      <c r="M16" t="s">
        <v>93</v>
      </c>
      <c r="Y16" s="16" t="s">
        <v>30</v>
      </c>
    </row>
    <row r="17" spans="1:25" ht="16.75">
      <c r="A17" s="46" t="s">
        <v>57</v>
      </c>
      <c r="B17" s="10" t="s">
        <v>33</v>
      </c>
      <c r="D17" s="46" t="s">
        <v>286</v>
      </c>
      <c r="E17" s="46" t="s">
        <v>458</v>
      </c>
      <c r="F17" s="46" t="s">
        <v>59</v>
      </c>
      <c r="K17" t="s">
        <v>91</v>
      </c>
      <c r="M17" t="s">
        <v>94</v>
      </c>
      <c r="Y17" s="16" t="s">
        <v>29</v>
      </c>
    </row>
    <row r="18" spans="1:25" ht="16.75">
      <c r="A18" s="46" t="s">
        <v>54</v>
      </c>
      <c r="B18" s="10" t="s">
        <v>31</v>
      </c>
      <c r="D18" s="46" t="s">
        <v>11</v>
      </c>
      <c r="E18" s="46" t="s">
        <v>109</v>
      </c>
      <c r="F18" s="46" t="s">
        <v>454</v>
      </c>
      <c r="K18" t="s">
        <v>84</v>
      </c>
      <c r="M18" t="s">
        <v>95</v>
      </c>
      <c r="Y18" s="16" t="s">
        <v>31</v>
      </c>
    </row>
    <row r="19" spans="1:25" ht="16.75">
      <c r="A19" s="46" t="s">
        <v>18</v>
      </c>
      <c r="B19" s="10" t="s">
        <v>18</v>
      </c>
      <c r="D19" s="46" t="s">
        <v>286</v>
      </c>
      <c r="E19" s="46" t="s">
        <v>459</v>
      </c>
      <c r="F19" s="46" t="s">
        <v>165</v>
      </c>
      <c r="K19" t="s">
        <v>85</v>
      </c>
      <c r="M19" t="s">
        <v>96</v>
      </c>
      <c r="Y19" s="16" t="s">
        <v>171</v>
      </c>
    </row>
    <row r="20" spans="1:25" ht="16.75">
      <c r="A20" s="46" t="s">
        <v>161</v>
      </c>
      <c r="B20" s="10"/>
      <c r="D20" s="46" t="s">
        <v>165</v>
      </c>
      <c r="E20" s="46" t="s">
        <v>327</v>
      </c>
      <c r="F20" s="46" t="s">
        <v>161</v>
      </c>
      <c r="K20" t="s">
        <v>97</v>
      </c>
      <c r="M20" t="s">
        <v>98</v>
      </c>
      <c r="Y20" s="16" t="s">
        <v>15</v>
      </c>
    </row>
    <row r="21" spans="1:25" ht="16.75">
      <c r="A21" s="46" t="s">
        <v>233</v>
      </c>
      <c r="B21" s="10" t="s">
        <v>21</v>
      </c>
      <c r="D21" s="46" t="s">
        <v>286</v>
      </c>
      <c r="E21" s="46" t="s">
        <v>107</v>
      </c>
      <c r="F21" s="46" t="s">
        <v>455</v>
      </c>
      <c r="Y21" s="16" t="s">
        <v>16</v>
      </c>
    </row>
    <row r="22" spans="1:25" ht="16.75">
      <c r="A22" s="46" t="s">
        <v>454</v>
      </c>
      <c r="B22" s="10"/>
      <c r="D22" s="46" t="s">
        <v>286</v>
      </c>
      <c r="E22" s="46" t="s">
        <v>142</v>
      </c>
      <c r="F22" s="46" t="s">
        <v>360</v>
      </c>
      <c r="Y22" s="16" t="s">
        <v>32</v>
      </c>
    </row>
    <row r="23" spans="1:25" ht="16.75">
      <c r="A23" s="46" t="s">
        <v>455</v>
      </c>
      <c r="B23" s="10"/>
      <c r="D23" s="46" t="s">
        <v>165</v>
      </c>
      <c r="E23" s="10" t="s">
        <v>328</v>
      </c>
      <c r="F23" s="10" t="s">
        <v>456</v>
      </c>
      <c r="Y23" s="16" t="s">
        <v>9</v>
      </c>
    </row>
    <row r="24" spans="1:25" ht="16.75">
      <c r="A24" s="46" t="s">
        <v>52</v>
      </c>
      <c r="B24" s="10" t="s">
        <v>20</v>
      </c>
      <c r="D24" s="10" t="s">
        <v>53</v>
      </c>
      <c r="E24" s="46" t="s">
        <v>142</v>
      </c>
      <c r="F24" s="10" t="s">
        <v>456</v>
      </c>
      <c r="Y24" s="16" t="s">
        <v>18</v>
      </c>
    </row>
    <row r="25" spans="1:25" ht="16.75">
      <c r="A25" s="46" t="s">
        <v>59</v>
      </c>
      <c r="B25" s="10"/>
      <c r="D25" s="10" t="s">
        <v>124</v>
      </c>
      <c r="E25" s="10" t="s">
        <v>101</v>
      </c>
      <c r="F25" s="10" t="s">
        <v>456</v>
      </c>
      <c r="Y25" s="16" t="s">
        <v>23</v>
      </c>
    </row>
    <row r="26" spans="1:25" ht="16.75">
      <c r="A26" s="46" t="s">
        <v>456</v>
      </c>
      <c r="B26" s="10"/>
      <c r="D26" s="10" t="s">
        <v>233</v>
      </c>
      <c r="E26" s="10" t="s">
        <v>277</v>
      </c>
      <c r="F26" s="10" t="s">
        <v>457</v>
      </c>
      <c r="Y26" s="16" t="s">
        <v>22</v>
      </c>
    </row>
    <row r="27" spans="1:25" ht="16.75">
      <c r="A27" s="46" t="s">
        <v>457</v>
      </c>
      <c r="B27" s="10"/>
      <c r="D27" s="10" t="s">
        <v>123</v>
      </c>
      <c r="E27" s="10" t="s">
        <v>101</v>
      </c>
      <c r="F27" s="10" t="s">
        <v>457</v>
      </c>
      <c r="Y27" s="16" t="s">
        <v>12</v>
      </c>
    </row>
    <row r="28" spans="1:25" ht="16.75">
      <c r="A28" s="60"/>
      <c r="B28" s="10"/>
      <c r="D28" s="10" t="s">
        <v>233</v>
      </c>
      <c r="E28" s="46" t="s">
        <v>142</v>
      </c>
      <c r="F28" s="10" t="s">
        <v>18</v>
      </c>
      <c r="Y28" s="16" t="s">
        <v>24</v>
      </c>
    </row>
    <row r="29" spans="1:25" ht="16.75">
      <c r="A29" s="60"/>
      <c r="B29" s="10"/>
      <c r="D29" s="10"/>
      <c r="E29" s="10"/>
      <c r="F29" s="10"/>
      <c r="Y29" s="16" t="s">
        <v>8</v>
      </c>
    </row>
    <row r="30" spans="1:25" ht="16.75">
      <c r="A30" s="60"/>
      <c r="B30" s="10"/>
      <c r="D30" s="10"/>
      <c r="E30" s="10"/>
      <c r="F30" s="10"/>
      <c r="Y30" s="16" t="s">
        <v>20</v>
      </c>
    </row>
    <row r="31" spans="1:25" ht="16.75">
      <c r="A31" s="60"/>
      <c r="B31" s="10"/>
      <c r="D31" s="10"/>
      <c r="E31" s="10"/>
      <c r="F31" s="10"/>
      <c r="Y31" s="16" t="s">
        <v>11</v>
      </c>
    </row>
    <row r="32" spans="1:25">
      <c r="A32" s="60"/>
      <c r="B32" s="10"/>
      <c r="D32" s="10"/>
      <c r="E32" s="10"/>
      <c r="F32" s="10"/>
    </row>
    <row r="33" spans="1:6">
      <c r="A33" s="60"/>
      <c r="B33" s="10"/>
      <c r="D33" s="10"/>
      <c r="E33" s="10"/>
      <c r="F33" s="10"/>
    </row>
    <row r="34" spans="1:6">
      <c r="A34" s="46"/>
      <c r="B34" s="10"/>
      <c r="D34" s="10"/>
      <c r="E34" s="10"/>
      <c r="F34" s="10"/>
    </row>
    <row r="35" spans="1:6">
      <c r="A35" s="46"/>
      <c r="B35" s="10"/>
      <c r="D35" s="10"/>
      <c r="E35" s="10"/>
      <c r="F35" s="10"/>
    </row>
    <row r="36" spans="1:6">
      <c r="A36" s="60"/>
      <c r="B36" s="10"/>
      <c r="D36" s="10"/>
      <c r="E36" s="10"/>
      <c r="F36" s="10"/>
    </row>
    <row r="37" spans="1:6">
      <c r="A37" s="60"/>
      <c r="B37" s="10"/>
      <c r="D37" s="10"/>
      <c r="E37" s="10"/>
      <c r="F37" s="10"/>
    </row>
    <row r="38" spans="1:6">
      <c r="A38" s="46"/>
      <c r="B38" s="10"/>
      <c r="D38" s="10"/>
      <c r="E38" s="10"/>
      <c r="F38" s="10"/>
    </row>
    <row r="39" spans="1:6">
      <c r="A39" s="46"/>
      <c r="B39" s="10"/>
      <c r="D39" s="10"/>
      <c r="E39" s="10"/>
      <c r="F39" s="10"/>
    </row>
    <row r="40" spans="1:6">
      <c r="A40" s="46"/>
      <c r="B40" s="10"/>
      <c r="D40" s="10"/>
      <c r="E40" s="10"/>
      <c r="F40" s="10"/>
    </row>
    <row r="41" spans="1:6">
      <c r="A41" s="46"/>
      <c r="B41" s="10"/>
      <c r="D41" s="10"/>
      <c r="E41" s="10"/>
      <c r="F41" s="10"/>
    </row>
    <row r="42" spans="1:6">
      <c r="A42" s="46"/>
      <c r="B42" s="10"/>
      <c r="D42" s="10"/>
      <c r="E42" s="10"/>
      <c r="F42" s="10"/>
    </row>
    <row r="43" spans="1:6">
      <c r="A43" s="46"/>
      <c r="B43" s="10"/>
      <c r="D43" s="10"/>
      <c r="E43" s="10"/>
      <c r="F43" s="10"/>
    </row>
    <row r="44" spans="1:6">
      <c r="A44" s="46"/>
      <c r="B44" s="10"/>
      <c r="D44" s="10"/>
      <c r="E44" s="10"/>
      <c r="F44" s="10"/>
    </row>
    <row r="45" spans="1:6">
      <c r="A45" s="46"/>
      <c r="B45" s="10"/>
      <c r="D45" s="10"/>
      <c r="E45" s="10"/>
      <c r="F45" s="10"/>
    </row>
    <row r="46" spans="1:6">
      <c r="A46" s="46"/>
      <c r="B46" s="10"/>
      <c r="D46" s="10"/>
      <c r="E46" s="10"/>
      <c r="F46" s="10"/>
    </row>
    <row r="47" spans="1:6">
      <c r="A47" s="46"/>
      <c r="B47" s="10"/>
      <c r="D47" s="10"/>
      <c r="E47" s="10"/>
      <c r="F47" s="10"/>
    </row>
    <row r="48" spans="1:6">
      <c r="A48" s="46"/>
      <c r="B48" s="10"/>
      <c r="D48" s="10"/>
      <c r="E48" s="10"/>
      <c r="F48" s="10"/>
    </row>
    <row r="49" spans="1:21">
      <c r="A49" s="46"/>
      <c r="B49" s="10"/>
      <c r="D49" s="10"/>
      <c r="E49" s="10"/>
      <c r="F49" s="10"/>
    </row>
    <row r="50" spans="1:21">
      <c r="A50" s="46"/>
      <c r="B50" s="10"/>
      <c r="D50" s="10"/>
      <c r="E50" s="10"/>
      <c r="F50" s="10"/>
    </row>
    <row r="51" spans="1:21">
      <c r="A51" s="46"/>
      <c r="B51" s="10"/>
      <c r="D51" s="10"/>
      <c r="E51" s="10"/>
      <c r="F51" s="10"/>
    </row>
    <row r="52" spans="1:21">
      <c r="A52" s="46"/>
      <c r="B52" s="10"/>
      <c r="D52" s="10"/>
      <c r="E52" s="10"/>
      <c r="F52" s="10"/>
    </row>
    <row r="53" spans="1:21">
      <c r="A53" s="46"/>
      <c r="B53" s="10"/>
      <c r="D53" s="10"/>
      <c r="E53" s="10"/>
      <c r="F53" s="10"/>
    </row>
    <row r="54" spans="1:21">
      <c r="A54" s="46"/>
      <c r="B54" s="10"/>
      <c r="D54" s="10"/>
      <c r="E54" s="10"/>
      <c r="F54" s="10"/>
    </row>
    <row r="55" spans="1:21">
      <c r="A55" s="46"/>
      <c r="B55" s="10"/>
    </row>
    <row r="56" spans="1:21">
      <c r="A56" s="65" t="s">
        <v>182</v>
      </c>
      <c r="B56" s="65"/>
      <c r="D56" s="104" t="s">
        <v>222</v>
      </c>
      <c r="E56" s="105"/>
      <c r="F56" s="105"/>
      <c r="G56" s="106"/>
      <c r="I56" s="98" t="s">
        <v>224</v>
      </c>
      <c r="J56" s="99"/>
      <c r="K56" s="99"/>
      <c r="L56" s="99"/>
      <c r="M56" s="100"/>
      <c r="O56" s="94" t="s">
        <v>229</v>
      </c>
      <c r="P56" s="94"/>
      <c r="Q56" s="94"/>
      <c r="R56" s="94"/>
      <c r="S56" s="94"/>
      <c r="T56" s="94"/>
      <c r="U56" s="94"/>
    </row>
    <row r="57" spans="1:21">
      <c r="A57" s="32" t="s">
        <v>251</v>
      </c>
      <c r="B57" s="33" t="s">
        <v>252</v>
      </c>
      <c r="D57" s="34" t="s">
        <v>220</v>
      </c>
      <c r="E57" s="34" t="s">
        <v>219</v>
      </c>
      <c r="F57" s="34" t="s">
        <v>221</v>
      </c>
      <c r="G57" s="34" t="s">
        <v>223</v>
      </c>
      <c r="I57" s="101" t="s">
        <v>225</v>
      </c>
      <c r="J57" s="102"/>
      <c r="K57" s="103"/>
      <c r="L57" s="101" t="s">
        <v>226</v>
      </c>
      <c r="M57" s="103"/>
      <c r="O57" s="95" t="s">
        <v>227</v>
      </c>
      <c r="P57" s="96"/>
      <c r="Q57" s="96"/>
      <c r="R57" s="96"/>
      <c r="S57" s="97"/>
      <c r="T57" s="95" t="s">
        <v>228</v>
      </c>
      <c r="U57" s="97"/>
    </row>
    <row r="58" spans="1:21">
      <c r="A58" s="46" t="s">
        <v>101</v>
      </c>
      <c r="B58" s="10" t="s">
        <v>3</v>
      </c>
      <c r="D58" s="10" t="str">
        <f>IF(INDEX($A$3:$B$27,MATCH(D3,$A$3:$A$27,0),2)&lt;&gt;0,INDEX($A$3:$B$27,MATCH(D3,$A$3:$A$27,0),2),D3)</f>
        <v>politico</v>
      </c>
      <c r="E58" s="10" t="str">
        <f>IF(INDEX($A$58:$B$72,MATCH(E3,$A$58:$A$72,0),2)&lt;&gt;0,INDEX($A$58:$B$72,MATCH(E3,$A$58:$A$72,0),2),E3)</f>
        <v>rdfs:subClassOf</v>
      </c>
      <c r="F58" s="10" t="str">
        <f>IF(INDEX($A$3:$B$27,MATCH(F3,$A$3:$A$27,0),2)&lt;&gt;0,INDEX($A$3:$B$27,MATCH(F3,$A$3:$A$27,0),2),F3)</f>
        <v>nivel</v>
      </c>
      <c r="G58" s="3" t="str">
        <f>IF(INDEX($A$3:$B$27,MATCH(F3,$A$3:$A$27,0),2)&lt;&gt;0,"OK","NOK")</f>
        <v>OK</v>
      </c>
      <c r="I58" s="10" t="str">
        <f t="shared" ref="I58:I83" si="1">D58 &amp;"-"&amp;F58</f>
        <v>politico-nivel</v>
      </c>
      <c r="J58" s="10"/>
      <c r="K58" s="10"/>
      <c r="L58" s="3">
        <f>IF(INDEX(GRAFO!$L$2:'GRAFO'!$L$46,MATCH(I58,GRAFO!$L$2:'GRAFO'!$L$46,0),1)&lt;&gt;0,1,0)</f>
        <v>1</v>
      </c>
      <c r="M58" s="3">
        <f>IFERROR(L58,0)</f>
        <v>1</v>
      </c>
      <c r="O58" s="10" t="str">
        <f t="shared" ref="O58:O83" si="2">D58 &amp; "-" &amp; E58 &amp; "-" &amp; F58</f>
        <v>politico-rdfs:subClassOf-nivel</v>
      </c>
      <c r="P58" s="10"/>
      <c r="Q58" s="10"/>
      <c r="R58" s="10"/>
      <c r="S58" s="10"/>
      <c r="T58" s="10">
        <f>IF(INDEX(GRAFO!$M$2:'GRAFO'!$M$46,MATCH(O58,GRAFO!$M$2:'GRAFO'!$M$46,0),1)&lt;&gt;0,1,0)</f>
        <v>1</v>
      </c>
      <c r="U58" s="10">
        <f>IFERROR(T58,0)</f>
        <v>1</v>
      </c>
    </row>
    <row r="59" spans="1:21">
      <c r="A59" s="46" t="s">
        <v>458</v>
      </c>
      <c r="B59" s="10" t="s">
        <v>7</v>
      </c>
      <c r="D59" s="10" t="str">
        <f t="shared" ref="D59:D83" si="3">IF(INDEX($A$3:$B$27,MATCH(D4,$A$3:$A$27,0),2)&lt;&gt;0,INDEX($A$3:$B$27,MATCH(D4,$A$3:$A$27,0),2),D4)</f>
        <v>estrategico</v>
      </c>
      <c r="E59" s="10" t="str">
        <f t="shared" ref="E59:E83" si="4">IF(INDEX($A$58:$B$72,MATCH(E4,$A$58:$A$72,0),2)&lt;&gt;0,INDEX($A$58:$B$72,MATCH(E4,$A$58:$A$72,0),2),E4)</f>
        <v>rdfs:subClassOf</v>
      </c>
      <c r="F59" s="10" t="str">
        <f t="shared" ref="F59:F83" si="5">IF(INDEX($A$3:$B$27,MATCH(F4,$A$3:$A$27,0),2)&lt;&gt;0,INDEX($A$3:$B$27,MATCH(F4,$A$3:$A$27,0),2),F4)</f>
        <v>nivel</v>
      </c>
      <c r="G59" s="3" t="str">
        <f t="shared" ref="G59:G83" si="6">IF(INDEX($A$3:$B$27,MATCH(F4,$A$3:$A$27,0),2)&lt;&gt;0,"OK","NOK")</f>
        <v>OK</v>
      </c>
      <c r="I59" s="10" t="str">
        <f t="shared" si="1"/>
        <v>estrategico-nivel</v>
      </c>
      <c r="J59" s="10"/>
      <c r="K59" s="10"/>
      <c r="L59" s="3">
        <f>IF(INDEX(GRAFO!$L$2:'GRAFO'!$L$46,MATCH(I59,GRAFO!$L$2:'GRAFO'!$L$46,0),1)&lt;&gt;0,1,0)</f>
        <v>1</v>
      </c>
      <c r="M59" s="3">
        <f t="shared" ref="M59:M83" si="7">IFERROR(L59,0)</f>
        <v>1</v>
      </c>
      <c r="O59" s="10" t="str">
        <f t="shared" si="2"/>
        <v>estrategico-rdfs:subClassOf-nivel</v>
      </c>
      <c r="P59" s="10"/>
      <c r="Q59" s="10"/>
      <c r="R59" s="10"/>
      <c r="S59" s="10"/>
      <c r="T59" s="10">
        <f>IF(INDEX(GRAFO!$M$2:'GRAFO'!$M$46,MATCH(O59,GRAFO!$M$2:'GRAFO'!$M$46,0),1)&lt;&gt;0,1,0)</f>
        <v>1</v>
      </c>
      <c r="U59" s="10">
        <f t="shared" ref="U59:U83" si="8">IFERROR(T59,0)</f>
        <v>1</v>
      </c>
    </row>
    <row r="60" spans="1:21">
      <c r="A60" s="46" t="s">
        <v>136</v>
      </c>
      <c r="B60" s="10" t="s">
        <v>7</v>
      </c>
      <c r="D60" s="10" t="str">
        <f t="shared" si="3"/>
        <v>operacional</v>
      </c>
      <c r="E60" s="10" t="str">
        <f t="shared" si="4"/>
        <v>rdfs:subClassOf</v>
      </c>
      <c r="F60" s="10" t="str">
        <f t="shared" si="5"/>
        <v>nivel</v>
      </c>
      <c r="G60" s="3" t="str">
        <f t="shared" si="6"/>
        <v>OK</v>
      </c>
      <c r="I60" s="10" t="str">
        <f t="shared" si="1"/>
        <v>operacional-nivel</v>
      </c>
      <c r="J60" s="10"/>
      <c r="K60" s="10"/>
      <c r="L60" s="3">
        <f>IF(INDEX(GRAFO!$L$2:'GRAFO'!$L$46,MATCH(I60,GRAFO!$L$2:'GRAFO'!$L$46,0),1)&lt;&gt;0,1,0)</f>
        <v>1</v>
      </c>
      <c r="M60" s="3">
        <f t="shared" si="7"/>
        <v>1</v>
      </c>
      <c r="O60" s="10" t="str">
        <f t="shared" si="2"/>
        <v>operacional-rdfs:subClassOf-nivel</v>
      </c>
      <c r="P60" s="10"/>
      <c r="Q60" s="10"/>
      <c r="R60" s="10"/>
      <c r="S60" s="10"/>
      <c r="T60" s="10">
        <f>IF(INDEX(GRAFO!$M$2:'GRAFO'!$M$46,MATCH(O60,GRAFO!$M$2:'GRAFO'!$M$46,0),1)&lt;&gt;0,1,0)</f>
        <v>1</v>
      </c>
      <c r="U60" s="10">
        <f t="shared" si="8"/>
        <v>1</v>
      </c>
    </row>
    <row r="61" spans="1:21">
      <c r="A61" s="46" t="s">
        <v>142</v>
      </c>
      <c r="B61" s="10" t="s">
        <v>7</v>
      </c>
      <c r="D61" s="10" t="str">
        <f t="shared" si="3"/>
        <v>tatico</v>
      </c>
      <c r="E61" s="10" t="str">
        <f t="shared" si="4"/>
        <v>rdfs:subClassOf</v>
      </c>
      <c r="F61" s="10" t="str">
        <f t="shared" si="5"/>
        <v>nivel</v>
      </c>
      <c r="G61" s="3" t="str">
        <f t="shared" si="6"/>
        <v>OK</v>
      </c>
      <c r="I61" s="10" t="str">
        <f t="shared" si="1"/>
        <v>tatico-nivel</v>
      </c>
      <c r="J61" s="10"/>
      <c r="K61" s="10"/>
      <c r="L61" s="3">
        <f>IF(INDEX(GRAFO!$L$2:'GRAFO'!$L$46,MATCH(I61,GRAFO!$L$2:'GRAFO'!$L$46,0),1)&lt;&gt;0,1,0)</f>
        <v>1</v>
      </c>
      <c r="M61" s="3">
        <f t="shared" si="7"/>
        <v>1</v>
      </c>
      <c r="O61" s="10" t="str">
        <f t="shared" si="2"/>
        <v>tatico-rdfs:subClassOf-nivel</v>
      </c>
      <c r="P61" s="10"/>
      <c r="Q61" s="10"/>
      <c r="R61" s="10"/>
      <c r="S61" s="10"/>
      <c r="T61" s="10">
        <f>IF(INDEX(GRAFO!$M$2:'GRAFO'!$M$46,MATCH(O61,GRAFO!$M$2:'GRAFO'!$M$46,0),1)&lt;&gt;0,1,0)</f>
        <v>1</v>
      </c>
      <c r="U61" s="10">
        <f t="shared" si="8"/>
        <v>1</v>
      </c>
    </row>
    <row r="62" spans="1:21">
      <c r="A62" s="46" t="s">
        <v>277</v>
      </c>
      <c r="B62" s="10" t="s">
        <v>7</v>
      </c>
      <c r="D62" s="10" t="str">
        <f t="shared" si="3"/>
        <v>marinha</v>
      </c>
      <c r="E62" s="10" t="str">
        <f t="shared" si="4"/>
        <v>rdfs:subClassOf</v>
      </c>
      <c r="F62" s="10" t="str">
        <f t="shared" si="5"/>
        <v>forcas_armadas</v>
      </c>
      <c r="G62" s="3" t="str">
        <f t="shared" si="6"/>
        <v>OK</v>
      </c>
      <c r="I62" s="10" t="str">
        <f t="shared" si="1"/>
        <v>marinha-forcas_armadas</v>
      </c>
      <c r="J62" s="10"/>
      <c r="K62" s="10"/>
      <c r="L62" s="3">
        <f>IF(INDEX(GRAFO!$L$2:'GRAFO'!$L$46,MATCH(I62,GRAFO!$L$2:'GRAFO'!$L$46,0),1)&lt;&gt;0,1,0)</f>
        <v>1</v>
      </c>
      <c r="M62" s="3">
        <f t="shared" si="7"/>
        <v>1</v>
      </c>
      <c r="O62" s="10" t="str">
        <f t="shared" si="2"/>
        <v>marinha-rdfs:subClassOf-forcas_armadas</v>
      </c>
      <c r="P62" s="10"/>
      <c r="Q62" s="10"/>
      <c r="R62" s="10"/>
      <c r="S62" s="10"/>
      <c r="T62" s="10">
        <f>IF(INDEX(GRAFO!$M$2:'GRAFO'!$M$46,MATCH(O62,GRAFO!$M$2:'GRAFO'!$M$46,0),1)&lt;&gt;0,1,0)</f>
        <v>1</v>
      </c>
      <c r="U62" s="10">
        <f t="shared" si="8"/>
        <v>1</v>
      </c>
    </row>
    <row r="63" spans="1:21">
      <c r="A63" s="46" t="s">
        <v>328</v>
      </c>
      <c r="B63" s="10" t="s">
        <v>4</v>
      </c>
      <c r="D63" s="10" t="str">
        <f t="shared" si="3"/>
        <v>exercito</v>
      </c>
      <c r="E63" s="10" t="str">
        <f t="shared" si="4"/>
        <v>rdfs:subClassOf</v>
      </c>
      <c r="F63" s="10" t="str">
        <f t="shared" si="5"/>
        <v>forcas_armadas</v>
      </c>
      <c r="G63" s="3" t="str">
        <f t="shared" si="6"/>
        <v>OK</v>
      </c>
      <c r="H63">
        <f>COUNTIFS(GRAFO!C2:C42,"=D34",GRAFO!E2:E42,"=F34")</f>
        <v>0</v>
      </c>
      <c r="I63" s="10" t="str">
        <f t="shared" si="1"/>
        <v>exercito-forcas_armadas</v>
      </c>
      <c r="J63" s="10"/>
      <c r="K63" s="10"/>
      <c r="L63" s="3">
        <f>IF(INDEX(GRAFO!$L$2:'GRAFO'!$L$46,MATCH(I63,GRAFO!$L$2:'GRAFO'!$L$46,0),1)&lt;&gt;0,1,0)</f>
        <v>1</v>
      </c>
      <c r="M63" s="3">
        <f t="shared" si="7"/>
        <v>1</v>
      </c>
      <c r="O63" s="10" t="str">
        <f t="shared" si="2"/>
        <v>exercito-rdfs:subClassOf-forcas_armadas</v>
      </c>
      <c r="P63" s="10"/>
      <c r="Q63" s="10"/>
      <c r="R63" s="10"/>
      <c r="S63" s="10"/>
      <c r="T63" s="10">
        <f>IF(INDEX(GRAFO!$M$2:'GRAFO'!$M$46,MATCH(O63,GRAFO!$M$2:'GRAFO'!$M$46,0),1)&lt;&gt;0,1,0)</f>
        <v>1</v>
      </c>
      <c r="U63" s="10">
        <f t="shared" si="8"/>
        <v>1</v>
      </c>
    </row>
    <row r="64" spans="1:21">
      <c r="A64" s="46" t="s">
        <v>105</v>
      </c>
      <c r="B64" s="10" t="s">
        <v>7</v>
      </c>
      <c r="D64" s="10" t="str">
        <f t="shared" si="3"/>
        <v>aeronautica</v>
      </c>
      <c r="E64" s="10" t="str">
        <f t="shared" si="4"/>
        <v>rdfs:subClassOf</v>
      </c>
      <c r="F64" s="10" t="str">
        <f t="shared" si="5"/>
        <v>forcas_armadas</v>
      </c>
      <c r="G64" s="3" t="str">
        <f t="shared" si="6"/>
        <v>OK</v>
      </c>
      <c r="I64" s="10" t="str">
        <f t="shared" si="1"/>
        <v>aeronautica-forcas_armadas</v>
      </c>
      <c r="J64" s="10"/>
      <c r="K64" s="10"/>
      <c r="L64" s="3">
        <f>IF(INDEX(GRAFO!$L$2:'GRAFO'!$L$46,MATCH(I64,GRAFO!$L$2:'GRAFO'!$L$46,0),1)&lt;&gt;0,1,0)</f>
        <v>1</v>
      </c>
      <c r="M64" s="3">
        <f t="shared" si="7"/>
        <v>1</v>
      </c>
      <c r="O64" s="10" t="str">
        <f t="shared" si="2"/>
        <v>aeronautica-rdfs:subClassOf-forcas_armadas</v>
      </c>
      <c r="P64" s="10"/>
      <c r="Q64" s="10"/>
      <c r="R64" s="10"/>
      <c r="S64" s="10"/>
      <c r="T64" s="10">
        <f>IF(INDEX(GRAFO!$M$2:'GRAFO'!$M$46,MATCH(O64,GRAFO!$M$2:'GRAFO'!$M$46,0),1)&lt;&gt;0,1,0)</f>
        <v>1</v>
      </c>
      <c r="U64" s="10">
        <f t="shared" si="8"/>
        <v>1</v>
      </c>
    </row>
    <row r="65" spans="1:21">
      <c r="A65" s="46" t="s">
        <v>327</v>
      </c>
      <c r="B65" s="10" t="s">
        <v>4</v>
      </c>
      <c r="C65" s="24"/>
      <c r="D65" s="10" t="str">
        <f t="shared" si="3"/>
        <v>forcas_armadas</v>
      </c>
      <c r="E65" s="10" t="str">
        <f t="shared" si="4"/>
        <v>c2rm:responsible_for</v>
      </c>
      <c r="F65" s="10" t="str">
        <f t="shared" si="5"/>
        <v>operacao_conjunta</v>
      </c>
      <c r="G65" s="3" t="str">
        <f t="shared" si="6"/>
        <v>OK</v>
      </c>
      <c r="I65" s="10" t="str">
        <f t="shared" si="1"/>
        <v>forcas_armadas-operacao_conjunta</v>
      </c>
      <c r="J65" s="10"/>
      <c r="K65" s="10"/>
      <c r="L65" s="3">
        <f>IF(INDEX(GRAFO!$L$2:'GRAFO'!$L$46,MATCH(I65,GRAFO!$L$2:'GRAFO'!$L$46,0),1)&lt;&gt;0,1,0)</f>
        <v>1</v>
      </c>
      <c r="M65" s="3">
        <f t="shared" si="7"/>
        <v>1</v>
      </c>
      <c r="O65" s="10" t="str">
        <f t="shared" si="2"/>
        <v>forcas_armadas-c2rm:responsible_for-operacao_conjunta</v>
      </c>
      <c r="P65" s="10"/>
      <c r="Q65" s="10"/>
      <c r="R65" s="10"/>
      <c r="S65" s="10"/>
      <c r="T65" s="10" t="e">
        <f>IF(INDEX(GRAFO!$M$2:'GRAFO'!$M$46,MATCH(O65,GRAFO!$M$2:'GRAFO'!$M$46,0),1)&lt;&gt;0,1,0)</f>
        <v>#N/A</v>
      </c>
      <c r="U65" s="10">
        <f t="shared" si="8"/>
        <v>0</v>
      </c>
    </row>
    <row r="66" spans="1:21">
      <c r="A66" s="46" t="s">
        <v>143</v>
      </c>
      <c r="B66" s="10" t="s">
        <v>4</v>
      </c>
      <c r="C66" s="64" t="str">
        <f t="shared" ref="C66:C81" si="9">IF(INDEX($A$3:$B$18,MATCH(D3,$A$3:$A$17,0),2)&lt;&gt;0,"OK","NOK")</f>
        <v>OK</v>
      </c>
      <c r="D66" s="10" t="str">
        <f t="shared" si="3"/>
        <v>operacao_conjunta</v>
      </c>
      <c r="E66" s="10" t="str">
        <f t="shared" si="4"/>
        <v>rdfs:seeAlso</v>
      </c>
      <c r="F66" s="10" t="str">
        <f t="shared" si="5"/>
        <v>nivel</v>
      </c>
      <c r="G66" s="3" t="str">
        <f t="shared" si="6"/>
        <v>OK</v>
      </c>
      <c r="I66" s="10" t="str">
        <f t="shared" si="1"/>
        <v>operacao_conjunta-nivel</v>
      </c>
      <c r="J66" s="10"/>
      <c r="K66" s="10"/>
      <c r="L66" s="3" t="e">
        <f>IF(INDEX(GRAFO!$L$2:'GRAFO'!$L$46,MATCH(I66,GRAFO!$L$2:'GRAFO'!$L$46,0),1)&lt;&gt;0,1,0)</f>
        <v>#N/A</v>
      </c>
      <c r="M66" s="3">
        <f t="shared" si="7"/>
        <v>0</v>
      </c>
      <c r="O66" s="10" t="str">
        <f t="shared" si="2"/>
        <v>operacao_conjunta-rdfs:seeAlso-nivel</v>
      </c>
      <c r="P66" s="10"/>
      <c r="Q66" s="10"/>
      <c r="R66" s="10"/>
      <c r="S66" s="10"/>
      <c r="T66" s="10" t="e">
        <f>IF(INDEX(GRAFO!$M$2:'GRAFO'!$M$46,MATCH(O66,GRAFO!$M$2:'GRAFO'!$M$46,0),1)&lt;&gt;0,1,0)</f>
        <v>#N/A</v>
      </c>
      <c r="U66" s="10">
        <f t="shared" si="8"/>
        <v>0</v>
      </c>
    </row>
    <row r="67" spans="1:21">
      <c r="A67" s="46" t="s">
        <v>459</v>
      </c>
      <c r="B67" s="10" t="s">
        <v>7</v>
      </c>
      <c r="C67" s="64" t="str">
        <f t="shared" si="9"/>
        <v>OK</v>
      </c>
      <c r="D67" s="10" t="str">
        <f t="shared" si="3"/>
        <v>presidente_da_republica</v>
      </c>
      <c r="E67" s="10" t="str">
        <f t="shared" si="4"/>
        <v>owl:equivalentClass</v>
      </c>
      <c r="F67" s="10" t="str">
        <f t="shared" si="5"/>
        <v>comandante_supremo</v>
      </c>
      <c r="G67" s="3" t="str">
        <f t="shared" si="6"/>
        <v>OK</v>
      </c>
      <c r="I67" s="10" t="str">
        <f t="shared" si="1"/>
        <v>presidente_da_republica-comandante_supremo</v>
      </c>
      <c r="J67" s="10"/>
      <c r="K67" s="10"/>
      <c r="L67" s="3" t="e">
        <f>IF(INDEX(GRAFO!$L$2:'GRAFO'!$L$46,MATCH(I67,GRAFO!$L$2:'GRAFO'!$L$46,0),1)&lt;&gt;0,1,0)</f>
        <v>#N/A</v>
      </c>
      <c r="M67" s="3">
        <f t="shared" si="7"/>
        <v>0</v>
      </c>
      <c r="O67" s="10" t="str">
        <f t="shared" si="2"/>
        <v>presidente_da_republica-owl:equivalentClass-comandante_supremo</v>
      </c>
      <c r="P67" s="10"/>
      <c r="Q67" s="10"/>
      <c r="R67" s="10"/>
      <c r="S67" s="10"/>
      <c r="T67" s="10" t="e">
        <f>IF(INDEX(GRAFO!$M$2:'GRAFO'!$M$46,MATCH(O67,GRAFO!$M$2:'GRAFO'!$M$46,0),1)&lt;&gt;0,1,0)</f>
        <v>#N/A</v>
      </c>
      <c r="U67" s="10">
        <f t="shared" si="8"/>
        <v>0</v>
      </c>
    </row>
    <row r="68" spans="1:21">
      <c r="A68" s="46" t="s">
        <v>107</v>
      </c>
      <c r="B68" s="10" t="s">
        <v>7</v>
      </c>
      <c r="C68" s="64" t="str">
        <f t="shared" si="9"/>
        <v>OK</v>
      </c>
      <c r="D68" s="10" t="str">
        <f t="shared" si="3"/>
        <v>comandante_supremo</v>
      </c>
      <c r="E68" s="10" t="str">
        <f t="shared" si="4"/>
        <v>rdfs:seeAlso</v>
      </c>
      <c r="F68" s="10" t="str">
        <f t="shared" si="5"/>
        <v>politico</v>
      </c>
      <c r="G68" s="3" t="str">
        <f t="shared" si="6"/>
        <v>OK</v>
      </c>
      <c r="I68" s="10" t="str">
        <f t="shared" si="1"/>
        <v>comandante_supremo-politico</v>
      </c>
      <c r="J68" s="10"/>
      <c r="K68" s="10"/>
      <c r="L68" s="3">
        <f>IF(INDEX(GRAFO!$L$2:'GRAFO'!$L$46,MATCH(I68,GRAFO!$L$2:'GRAFO'!$L$46,0),1)&lt;&gt;0,1,0)</f>
        <v>1</v>
      </c>
      <c r="M68" s="3">
        <f t="shared" si="7"/>
        <v>1</v>
      </c>
      <c r="O68" s="10" t="str">
        <f t="shared" si="2"/>
        <v>comandante_supremo-rdfs:seeAlso-politico</v>
      </c>
      <c r="P68" s="10"/>
      <c r="Q68" s="10"/>
      <c r="R68" s="10"/>
      <c r="S68" s="10"/>
      <c r="T68" s="10" t="e">
        <f>IF(INDEX(GRAFO!$M$2:'GRAFO'!$M$46,MATCH(O68,GRAFO!$M$2:'GRAFO'!$M$46,0),1)&lt;&gt;0,1,0)</f>
        <v>#N/A</v>
      </c>
      <c r="U68" s="10">
        <f t="shared" si="8"/>
        <v>0</v>
      </c>
    </row>
    <row r="69" spans="1:21">
      <c r="A69" s="46" t="s">
        <v>364</v>
      </c>
      <c r="B69" s="10" t="s">
        <v>4</v>
      </c>
      <c r="C69" s="64" t="str">
        <f t="shared" si="9"/>
        <v>OK</v>
      </c>
      <c r="D69" s="10" t="str">
        <f t="shared" si="3"/>
        <v>md</v>
      </c>
      <c r="E69" s="10" t="str">
        <f t="shared" si="4"/>
        <v>rdfs:seeAlso</v>
      </c>
      <c r="F69" s="10" t="str">
        <f t="shared" si="5"/>
        <v>estrategico</v>
      </c>
      <c r="G69" s="3" t="str">
        <f t="shared" si="6"/>
        <v>OK</v>
      </c>
      <c r="I69" s="10" t="str">
        <f t="shared" si="1"/>
        <v>md-estrategico</v>
      </c>
      <c r="J69" s="10"/>
      <c r="K69" s="10"/>
      <c r="L69" s="3" t="e">
        <f>IF(INDEX(GRAFO!$L$2:'GRAFO'!$L$46,MATCH(I69,GRAFO!$L$2:'GRAFO'!$L$46,0),1)&lt;&gt;0,1,0)</f>
        <v>#N/A</v>
      </c>
      <c r="M69" s="3">
        <f t="shared" si="7"/>
        <v>0</v>
      </c>
      <c r="O69" s="10" t="str">
        <f t="shared" si="2"/>
        <v>md-rdfs:seeAlso-estrategico</v>
      </c>
      <c r="P69" s="10"/>
      <c r="Q69" s="10"/>
      <c r="R69" s="10"/>
      <c r="S69" s="10"/>
      <c r="T69" s="10" t="e">
        <f>IF(INDEX(GRAFO!$M$2:'GRAFO'!$M$46,MATCH(O69,GRAFO!$M$2:'GRAFO'!$M$46,0),1)&lt;&gt;0,1,0)</f>
        <v>#N/A</v>
      </c>
      <c r="U69" s="10">
        <f t="shared" si="8"/>
        <v>0</v>
      </c>
    </row>
    <row r="70" spans="1:21">
      <c r="A70" s="46" t="s">
        <v>109</v>
      </c>
      <c r="B70" s="10" t="s">
        <v>4</v>
      </c>
      <c r="C70" s="64" t="str">
        <f t="shared" si="9"/>
        <v>OK</v>
      </c>
      <c r="D70" s="10" t="str">
        <f t="shared" si="3"/>
        <v>comandos_operacionais</v>
      </c>
      <c r="E70" s="10" t="str">
        <f t="shared" si="4"/>
        <v>rdfs:seeAlso</v>
      </c>
      <c r="F70" s="10" t="str">
        <f t="shared" si="5"/>
        <v>operacional</v>
      </c>
      <c r="G70" s="3" t="str">
        <f t="shared" si="6"/>
        <v>OK</v>
      </c>
      <c r="I70" s="10" t="str">
        <f t="shared" si="1"/>
        <v>comandos_operacionais-operacional</v>
      </c>
      <c r="J70" s="10"/>
      <c r="K70" s="10"/>
      <c r="L70" s="3">
        <f>IF(INDEX(GRAFO!$L$2:'GRAFO'!$L$46,MATCH(I70,GRAFO!$L$2:'GRAFO'!$L$46,0),1)&lt;&gt;0,1,0)</f>
        <v>1</v>
      </c>
      <c r="M70" s="3">
        <f t="shared" si="7"/>
        <v>1</v>
      </c>
      <c r="O70" s="10" t="str">
        <f t="shared" si="2"/>
        <v>comandos_operacionais-rdfs:seeAlso-operacional</v>
      </c>
      <c r="P70" s="10"/>
      <c r="Q70" s="10"/>
      <c r="R70" s="10"/>
      <c r="S70" s="10"/>
      <c r="T70" s="10" t="e">
        <f>IF(INDEX(GRAFO!$M$2:'GRAFO'!$M$46,MATCH(O70,GRAFO!$M$2:'GRAFO'!$M$46,0),1)&lt;&gt;0,1,0)</f>
        <v>#N/A</v>
      </c>
      <c r="U70" s="10">
        <f t="shared" si="8"/>
        <v>0</v>
      </c>
    </row>
    <row r="71" spans="1:21">
      <c r="A71" s="46" t="s">
        <v>354</v>
      </c>
      <c r="B71" s="10" t="s">
        <v>35</v>
      </c>
      <c r="C71" s="64" t="str">
        <f t="shared" si="9"/>
        <v>OK</v>
      </c>
      <c r="D71" s="10" t="str">
        <f t="shared" si="3"/>
        <v>comandos_operacionais</v>
      </c>
      <c r="E71" s="10" t="str">
        <f t="shared" si="4"/>
        <v>c2rm:responsible_for</v>
      </c>
      <c r="F71" s="10" t="str">
        <f t="shared" si="5"/>
        <v>ai_ar</v>
      </c>
      <c r="G71" s="3" t="str">
        <f t="shared" si="6"/>
        <v>NOK</v>
      </c>
      <c r="I71" s="10" t="str">
        <f t="shared" si="1"/>
        <v>comandos_operacionais-ai_ar</v>
      </c>
      <c r="J71" s="10"/>
      <c r="K71" s="10"/>
      <c r="L71" s="3" t="e">
        <f>IF(INDEX(GRAFO!$L$2:'GRAFO'!$L$46,MATCH(I71,GRAFO!$L$2:'GRAFO'!$L$46,0),1)&lt;&gt;0,1,0)</f>
        <v>#N/A</v>
      </c>
      <c r="M71" s="3">
        <f t="shared" si="7"/>
        <v>0</v>
      </c>
      <c r="O71" s="10" t="str">
        <f t="shared" si="2"/>
        <v>comandos_operacionais-c2rm:responsible_for-ai_ar</v>
      </c>
      <c r="P71" s="10"/>
      <c r="Q71" s="10"/>
      <c r="R71" s="10"/>
      <c r="S71" s="10"/>
      <c r="T71" s="10" t="e">
        <f>IF(INDEX(GRAFO!$M$2:'GRAFO'!$M$46,MATCH(O71,GRAFO!$M$2:'GRAFO'!$M$46,0),1)&lt;&gt;0,1,0)</f>
        <v>#N/A</v>
      </c>
      <c r="U71" s="10">
        <f t="shared" si="8"/>
        <v>0</v>
      </c>
    </row>
    <row r="72" spans="1:21">
      <c r="A72" s="46" t="s">
        <v>109</v>
      </c>
      <c r="B72" s="10" t="s">
        <v>4</v>
      </c>
      <c r="C72" s="64" t="str">
        <f t="shared" si="9"/>
        <v>OK</v>
      </c>
      <c r="D72" s="10" t="str">
        <f t="shared" si="3"/>
        <v>comandos_operacionais</v>
      </c>
      <c r="E72" s="10" t="str">
        <f t="shared" si="4"/>
        <v>c2rm:responsible_for</v>
      </c>
      <c r="F72" s="10" t="str">
        <f t="shared" si="5"/>
        <v>c_log</v>
      </c>
      <c r="G72" s="3" t="str">
        <f t="shared" si="6"/>
        <v>NOK</v>
      </c>
      <c r="I72" s="10" t="str">
        <f t="shared" si="1"/>
        <v>comandos_operacionais-c_log</v>
      </c>
      <c r="J72" s="10"/>
      <c r="K72" s="10"/>
      <c r="L72" s="3" t="e">
        <f>IF(INDEX(GRAFO!$L$2:'GRAFO'!$L$46,MATCH(I72,GRAFO!$L$2:'GRAFO'!$L$46,0),1)&lt;&gt;0,1,0)</f>
        <v>#N/A</v>
      </c>
      <c r="M72" s="3">
        <f t="shared" si="7"/>
        <v>0</v>
      </c>
      <c r="O72" s="10" t="str">
        <f t="shared" si="2"/>
        <v>comandos_operacionais-c2rm:responsible_for-c_log</v>
      </c>
      <c r="P72" s="10"/>
      <c r="Q72" s="10"/>
      <c r="R72" s="10"/>
      <c r="S72" s="10"/>
      <c r="T72" s="10" t="e">
        <f>IF(INDEX(GRAFO!$M$2:'GRAFO'!$M$46,MATCH(O72,GRAFO!$M$2:'GRAFO'!$M$46,0),1)&lt;&gt;0,1,0)</f>
        <v>#N/A</v>
      </c>
      <c r="U72" s="10">
        <f t="shared" si="8"/>
        <v>0</v>
      </c>
    </row>
    <row r="73" spans="1:21">
      <c r="A73" s="46"/>
      <c r="B73" s="10"/>
      <c r="C73" s="64" t="e">
        <f t="shared" si="9"/>
        <v>#N/A</v>
      </c>
      <c r="D73" s="10" t="str">
        <f t="shared" si="3"/>
        <v>tatico</v>
      </c>
      <c r="E73" s="10" t="str">
        <f t="shared" si="4"/>
        <v>rdfs:seeAlso</v>
      </c>
      <c r="F73" s="10" t="str">
        <f t="shared" si="5"/>
        <v>ai_ar</v>
      </c>
      <c r="G73" s="3" t="str">
        <f t="shared" si="6"/>
        <v>NOK</v>
      </c>
      <c r="I73" s="10" t="str">
        <f t="shared" si="1"/>
        <v>tatico-ai_ar</v>
      </c>
      <c r="J73" s="10"/>
      <c r="K73" s="10"/>
      <c r="L73" s="3" t="e">
        <f>IF(INDEX(GRAFO!$L$2:'GRAFO'!$L$46,MATCH(I73,GRAFO!$L$2:'GRAFO'!$L$46,0),1)&lt;&gt;0,1,0)</f>
        <v>#N/A</v>
      </c>
      <c r="M73" s="3">
        <f t="shared" si="7"/>
        <v>0</v>
      </c>
      <c r="O73" s="10" t="str">
        <f t="shared" si="2"/>
        <v>tatico-rdfs:seeAlso-ai_ar</v>
      </c>
      <c r="P73" s="10"/>
      <c r="Q73" s="10"/>
      <c r="R73" s="10"/>
      <c r="S73" s="10"/>
      <c r="T73" s="10" t="e">
        <f>IF(INDEX(GRAFO!$M$2:'GRAFO'!$M$46,MATCH(O73,GRAFO!$M$2:'GRAFO'!$M$46,0),1)&lt;&gt;0,1,0)</f>
        <v>#N/A</v>
      </c>
      <c r="U73" s="10">
        <f t="shared" si="8"/>
        <v>0</v>
      </c>
    </row>
    <row r="74" spans="1:21">
      <c r="A74" s="10"/>
      <c r="B74" s="10"/>
      <c r="C74" s="64" t="str">
        <f t="shared" si="9"/>
        <v>OK</v>
      </c>
      <c r="D74" s="10" t="str">
        <f t="shared" si="3"/>
        <v>comandos_operacionais</v>
      </c>
      <c r="E74" s="10" t="str">
        <f t="shared" si="4"/>
        <v>c2rm:responsible_for</v>
      </c>
      <c r="F74" s="10" t="str">
        <f t="shared" si="5"/>
        <v>planos_operacionais</v>
      </c>
      <c r="G74" s="3" t="str">
        <f t="shared" si="6"/>
        <v>NOK</v>
      </c>
      <c r="I74" s="10" t="str">
        <f t="shared" si="1"/>
        <v>comandos_operacionais-planos_operacionais</v>
      </c>
      <c r="J74" s="10"/>
      <c r="K74" s="10"/>
      <c r="L74" s="3" t="e">
        <f>IF(INDEX(GRAFO!$L$2:'GRAFO'!$L$46,MATCH(I74,GRAFO!$L$2:'GRAFO'!$L$46,0),1)&lt;&gt;0,1,0)</f>
        <v>#N/A</v>
      </c>
      <c r="M74" s="3">
        <f t="shared" si="7"/>
        <v>0</v>
      </c>
      <c r="O74" s="10" t="str">
        <f t="shared" si="2"/>
        <v>comandos_operacionais-c2rm:responsible_for-planos_operacionais</v>
      </c>
      <c r="P74" s="10"/>
      <c r="Q74" s="10"/>
      <c r="R74" s="10"/>
      <c r="S74" s="10"/>
      <c r="T74" s="10" t="e">
        <f>IF(INDEX(GRAFO!$M$2:'GRAFO'!$M$46,MATCH(O74,GRAFO!$M$2:'GRAFO'!$M$46,0),1)&lt;&gt;0,1,0)</f>
        <v>#N/A</v>
      </c>
      <c r="U74" s="10">
        <f t="shared" si="8"/>
        <v>0</v>
      </c>
    </row>
    <row r="75" spans="1:21">
      <c r="A75" s="56"/>
      <c r="C75" s="64" t="e">
        <f t="shared" si="9"/>
        <v>#N/A</v>
      </c>
      <c r="D75" s="10" t="str">
        <f t="shared" si="3"/>
        <v>planos_operacionais</v>
      </c>
      <c r="E75" s="10" t="str">
        <f t="shared" si="4"/>
        <v>rdfs:seeAlso</v>
      </c>
      <c r="F75" s="10" t="str">
        <f t="shared" si="5"/>
        <v>planos_taticos</v>
      </c>
      <c r="G75" s="3" t="str">
        <f t="shared" si="6"/>
        <v>NOK</v>
      </c>
      <c r="I75" s="10" t="str">
        <f t="shared" si="1"/>
        <v>planos_operacionais-planos_taticos</v>
      </c>
      <c r="J75" s="10"/>
      <c r="K75" s="10"/>
      <c r="L75" s="3" t="e">
        <f>IF(INDEX(GRAFO!$L$2:'GRAFO'!$L$46,MATCH(I75,GRAFO!$L$2:'GRAFO'!$L$46,0),1)&lt;&gt;0,1,0)</f>
        <v>#N/A</v>
      </c>
      <c r="M75" s="3">
        <f t="shared" si="7"/>
        <v>0</v>
      </c>
      <c r="O75" s="10" t="str">
        <f t="shared" si="2"/>
        <v>planos_operacionais-rdfs:seeAlso-planos_taticos</v>
      </c>
      <c r="P75" s="10"/>
      <c r="Q75" s="10"/>
      <c r="R75" s="10"/>
      <c r="S75" s="10"/>
      <c r="T75" s="10" t="e">
        <f>IF(INDEX(GRAFO!$M$2:'GRAFO'!$M$46,MATCH(O75,GRAFO!$M$2:'GRAFO'!$M$46,0),1)&lt;&gt;0,1,0)</f>
        <v>#N/A</v>
      </c>
      <c r="U75" s="10">
        <f t="shared" si="8"/>
        <v>0</v>
      </c>
    </row>
    <row r="76" spans="1:21">
      <c r="A76" s="56"/>
      <c r="C76" s="64" t="e">
        <f t="shared" si="9"/>
        <v>#N/A</v>
      </c>
      <c r="D76" s="10" t="str">
        <f t="shared" si="3"/>
        <v>comandos_operacionais</v>
      </c>
      <c r="E76" s="10" t="str">
        <f t="shared" si="4"/>
        <v>c2rm:responsible_for</v>
      </c>
      <c r="F76" s="10" t="str">
        <f t="shared" si="5"/>
        <v>planej_militar_campanha</v>
      </c>
      <c r="G76" s="3" t="str">
        <f t="shared" si="6"/>
        <v>NOK</v>
      </c>
      <c r="I76" s="10" t="str">
        <f t="shared" si="1"/>
        <v>comandos_operacionais-planej_militar_campanha</v>
      </c>
      <c r="J76" s="10"/>
      <c r="K76" s="10"/>
      <c r="L76" s="3" t="e">
        <f>IF(INDEX(GRAFO!$L$2:'GRAFO'!$L$46,MATCH(I76,GRAFO!$L$2:'GRAFO'!$L$46,0),1)&lt;&gt;0,1,0)</f>
        <v>#N/A</v>
      </c>
      <c r="M76" s="3">
        <f t="shared" si="7"/>
        <v>0</v>
      </c>
      <c r="O76" s="10" t="str">
        <f t="shared" si="2"/>
        <v>comandos_operacionais-c2rm:responsible_for-planej_militar_campanha</v>
      </c>
      <c r="P76" s="10"/>
      <c r="Q76" s="10"/>
      <c r="R76" s="10"/>
      <c r="S76" s="10"/>
      <c r="T76" s="10" t="e">
        <f>IF(INDEX(GRAFO!$M$2:'GRAFO'!$M$46,MATCH(O76,GRAFO!$M$2:'GRAFO'!$M$46,0),1)&lt;&gt;0,1,0)</f>
        <v>#N/A</v>
      </c>
      <c r="U76" s="10">
        <f t="shared" si="8"/>
        <v>0</v>
      </c>
    </row>
    <row r="77" spans="1:21">
      <c r="A77" s="56"/>
      <c r="C77" s="64" t="str">
        <f t="shared" si="9"/>
        <v>NOK</v>
      </c>
      <c r="D77" s="10" t="str">
        <f t="shared" si="3"/>
        <v>comandos_operacionais</v>
      </c>
      <c r="E77" s="10" t="str">
        <f t="shared" si="4"/>
        <v>c2rm:responsible_for</v>
      </c>
      <c r="F77" s="10" t="str">
        <f t="shared" si="5"/>
        <v>objetivos_operacionais</v>
      </c>
      <c r="G77" s="3" t="str">
        <f t="shared" si="6"/>
        <v>NOK</v>
      </c>
      <c r="I77" s="10" t="str">
        <f t="shared" si="1"/>
        <v>comandos_operacionais-objetivos_operacionais</v>
      </c>
      <c r="J77" s="10"/>
      <c r="K77" s="10"/>
      <c r="L77" s="3" t="e">
        <f>IF(INDEX(GRAFO!$L$2:'GRAFO'!$L$46,MATCH(I77,GRAFO!$L$2:'GRAFO'!$L$46,0),1)&lt;&gt;0,1,0)</f>
        <v>#N/A</v>
      </c>
      <c r="M77" s="3">
        <f t="shared" si="7"/>
        <v>0</v>
      </c>
      <c r="O77" s="10" t="str">
        <f t="shared" si="2"/>
        <v>comandos_operacionais-c2rm:responsible_for-objetivos_operacionais</v>
      </c>
      <c r="P77" s="10"/>
      <c r="Q77" s="10"/>
      <c r="R77" s="10"/>
      <c r="S77" s="10"/>
      <c r="T77" s="10" t="e">
        <f>IF(INDEX(GRAFO!$M$2:'GRAFO'!$M$46,MATCH(O77,GRAFO!$M$2:'GRAFO'!$M$46,0),1)&lt;&gt;0,1,0)</f>
        <v>#N/A</v>
      </c>
      <c r="U77" s="10">
        <f t="shared" si="8"/>
        <v>0</v>
      </c>
    </row>
    <row r="78" spans="1:21">
      <c r="A78" s="56"/>
      <c r="C78" s="64" t="str">
        <f t="shared" si="9"/>
        <v>OK</v>
      </c>
      <c r="D78" s="10" t="str">
        <f t="shared" si="3"/>
        <v>planos_operacionais</v>
      </c>
      <c r="E78" s="10" t="str">
        <f t="shared" si="4"/>
        <v>rdfs:seeAlso</v>
      </c>
      <c r="F78" s="10" t="str">
        <f t="shared" si="5"/>
        <v>diretrizes_planos</v>
      </c>
      <c r="G78" s="3" t="str">
        <f t="shared" si="6"/>
        <v>NOK</v>
      </c>
      <c r="I78" s="10" t="str">
        <f t="shared" si="1"/>
        <v>planos_operacionais-diretrizes_planos</v>
      </c>
      <c r="J78" s="10"/>
      <c r="K78" s="10"/>
      <c r="L78" s="3" t="e">
        <f>IF(INDEX(GRAFO!$L$2:'GRAFO'!$L$46,MATCH(I78,GRAFO!$L$2:'GRAFO'!$L$46,0),1)&lt;&gt;0,1,0)</f>
        <v>#N/A</v>
      </c>
      <c r="M78" s="3">
        <f t="shared" si="7"/>
        <v>0</v>
      </c>
      <c r="O78" s="10" t="str">
        <f t="shared" si="2"/>
        <v>planos_operacionais-rdfs:seeAlso-diretrizes_planos</v>
      </c>
      <c r="P78" s="10"/>
      <c r="Q78" s="10"/>
      <c r="R78" s="10"/>
      <c r="S78" s="10"/>
      <c r="T78" s="10" t="e">
        <f>IF(INDEX(GRAFO!$M$2:'GRAFO'!$M$46,MATCH(O78,GRAFO!$M$2:'GRAFO'!$M$46,0),1)&lt;&gt;0,1,0)</f>
        <v>#N/A</v>
      </c>
      <c r="U78" s="10">
        <f t="shared" si="8"/>
        <v>0</v>
      </c>
    </row>
    <row r="79" spans="1:21">
      <c r="A79" s="56"/>
      <c r="C79" s="64" t="str">
        <f t="shared" si="9"/>
        <v>OK</v>
      </c>
      <c r="D79" s="10" t="str">
        <f t="shared" si="3"/>
        <v>md</v>
      </c>
      <c r="E79" s="10" t="str">
        <f t="shared" si="4"/>
        <v>c2rm:responsible_for</v>
      </c>
      <c r="F79" s="10" t="str">
        <f t="shared" si="5"/>
        <v>diretrizes_planos</v>
      </c>
      <c r="G79" s="3" t="str">
        <f t="shared" si="6"/>
        <v>NOK</v>
      </c>
      <c r="I79" s="10" t="str">
        <f t="shared" si="1"/>
        <v>md-diretrizes_planos</v>
      </c>
      <c r="J79" s="10"/>
      <c r="K79" s="10"/>
      <c r="L79" s="3" t="e">
        <f>IF(INDEX(GRAFO!$L$2:'GRAFO'!$L$46,MATCH(I79,GRAFO!$L$2:'GRAFO'!$L$46,0),1)&lt;&gt;0,1,0)</f>
        <v>#N/A</v>
      </c>
      <c r="M79" s="3">
        <f t="shared" si="7"/>
        <v>0</v>
      </c>
      <c r="O79" s="10" t="str">
        <f t="shared" si="2"/>
        <v>md-c2rm:responsible_for-diretrizes_planos</v>
      </c>
      <c r="P79" s="10"/>
      <c r="Q79" s="10"/>
      <c r="R79" s="10"/>
      <c r="S79" s="10"/>
      <c r="T79" s="10" t="e">
        <f>IF(INDEX(GRAFO!$M$2:'GRAFO'!$M$46,MATCH(O79,GRAFO!$M$2:'GRAFO'!$M$46,0),1)&lt;&gt;0,1,0)</f>
        <v>#N/A</v>
      </c>
      <c r="U79" s="10">
        <f t="shared" si="8"/>
        <v>0</v>
      </c>
    </row>
    <row r="80" spans="1:21">
      <c r="A80" s="56"/>
      <c r="C80" s="64" t="str">
        <f t="shared" si="9"/>
        <v>OK</v>
      </c>
      <c r="D80" s="10" t="str">
        <f t="shared" si="3"/>
        <v>dmed</v>
      </c>
      <c r="E80" s="10" t="str">
        <f t="shared" si="4"/>
        <v>rdfs:subClassOf</v>
      </c>
      <c r="F80" s="10" t="str">
        <f t="shared" si="5"/>
        <v>diretrizes_planos</v>
      </c>
      <c r="G80" s="3" t="str">
        <f t="shared" si="6"/>
        <v>NOK</v>
      </c>
      <c r="I80" s="10" t="str">
        <f t="shared" si="1"/>
        <v>dmed-diretrizes_planos</v>
      </c>
      <c r="J80" s="10"/>
      <c r="K80" s="10"/>
      <c r="L80" s="3" t="e">
        <f>IF(INDEX(GRAFO!$L$2:'GRAFO'!$L$46,MATCH(I80,GRAFO!$L$2:'GRAFO'!$L$46,0),1)&lt;&gt;0,1,0)</f>
        <v>#N/A</v>
      </c>
      <c r="M80" s="3">
        <f t="shared" si="7"/>
        <v>0</v>
      </c>
      <c r="O80" s="10" t="str">
        <f t="shared" si="2"/>
        <v>dmed-rdfs:subClassOf-diretrizes_planos</v>
      </c>
      <c r="P80" s="10"/>
      <c r="Q80" s="10"/>
      <c r="R80" s="10"/>
      <c r="S80" s="10"/>
      <c r="T80" s="10" t="e">
        <f>IF(INDEX(GRAFO!$M$2:'GRAFO'!$M$46,MATCH(O80,GRAFO!$M$2:'GRAFO'!$M$46,0),1)&lt;&gt;0,1,0)</f>
        <v>#N/A</v>
      </c>
      <c r="U80" s="10">
        <f t="shared" si="8"/>
        <v>0</v>
      </c>
    </row>
    <row r="81" spans="1:21">
      <c r="A81" s="56"/>
      <c r="C81" s="64" t="str">
        <f t="shared" si="9"/>
        <v>OK</v>
      </c>
      <c r="D81" s="10" t="str">
        <f t="shared" si="3"/>
        <v>comandante_supremo</v>
      </c>
      <c r="E81" s="10" t="str">
        <f t="shared" si="4"/>
        <v>c2rm:responsible_for</v>
      </c>
      <c r="F81" s="10" t="str">
        <f t="shared" si="5"/>
        <v>diretrizes_acoes_estrategicas</v>
      </c>
      <c r="G81" s="3" t="str">
        <f t="shared" si="6"/>
        <v>NOK</v>
      </c>
      <c r="I81" s="10" t="str">
        <f t="shared" si="1"/>
        <v>comandante_supremo-diretrizes_acoes_estrategicas</v>
      </c>
      <c r="J81" s="10"/>
      <c r="K81" s="10"/>
      <c r="L81" s="3" t="e">
        <f>IF(INDEX(GRAFO!$L$2:'GRAFO'!$L$46,MATCH(I81,GRAFO!$L$2:'GRAFO'!$L$46,0),1)&lt;&gt;0,1,0)</f>
        <v>#N/A</v>
      </c>
      <c r="M81" s="3">
        <f t="shared" si="7"/>
        <v>0</v>
      </c>
      <c r="O81" s="10" t="str">
        <f t="shared" si="2"/>
        <v>comandante_supremo-c2rm:responsible_for-diretrizes_acoes_estrategicas</v>
      </c>
      <c r="P81" s="10"/>
      <c r="Q81" s="10"/>
      <c r="R81" s="10"/>
      <c r="S81" s="10"/>
      <c r="T81" s="10" t="e">
        <f>IF(INDEX(GRAFO!$M$2:'GRAFO'!$M$46,MATCH(O81,GRAFO!$M$2:'GRAFO'!$M$46,0),1)&lt;&gt;0,1,0)</f>
        <v>#N/A</v>
      </c>
      <c r="U81" s="10">
        <f t="shared" si="8"/>
        <v>0</v>
      </c>
    </row>
    <row r="82" spans="1:21">
      <c r="A82" s="56"/>
      <c r="D82" s="10" t="str">
        <f t="shared" si="3"/>
        <v>dped</v>
      </c>
      <c r="E82" s="10" t="str">
        <f t="shared" si="4"/>
        <v>rdfs:subClassOf</v>
      </c>
      <c r="F82" s="10" t="str">
        <f t="shared" si="5"/>
        <v>diretrizes_acoes_estrategicas</v>
      </c>
      <c r="G82" s="3" t="str">
        <f t="shared" si="6"/>
        <v>NOK</v>
      </c>
      <c r="I82" s="10" t="str">
        <f t="shared" si="1"/>
        <v>dped-diretrizes_acoes_estrategicas</v>
      </c>
      <c r="J82" s="10"/>
      <c r="K82" s="10"/>
      <c r="L82" s="3" t="e">
        <f>IF(INDEX(GRAFO!$L$2:'GRAFO'!$L$46,MATCH(I82,GRAFO!$L$2:'GRAFO'!$L$46,0),1)&lt;&gt;0,1,0)</f>
        <v>#N/A</v>
      </c>
      <c r="M82" s="3">
        <f t="shared" si="7"/>
        <v>0</v>
      </c>
      <c r="O82" s="10" t="str">
        <f t="shared" si="2"/>
        <v>dped-rdfs:subClassOf-diretrizes_acoes_estrategicas</v>
      </c>
      <c r="P82" s="10"/>
      <c r="Q82" s="10"/>
      <c r="R82" s="10"/>
      <c r="S82" s="10"/>
      <c r="T82" s="10" t="e">
        <f>IF(INDEX(GRAFO!$M$2:'GRAFO'!$M$46,MATCH(O82,GRAFO!$M$2:'GRAFO'!$M$46,0),1)&lt;&gt;0,1,0)</f>
        <v>#N/A</v>
      </c>
      <c r="U82" s="10">
        <f t="shared" si="8"/>
        <v>0</v>
      </c>
    </row>
    <row r="83" spans="1:21">
      <c r="D83" s="10" t="str">
        <f t="shared" si="3"/>
        <v>comandante_supremo</v>
      </c>
      <c r="E83" s="10" t="str">
        <f t="shared" si="4"/>
        <v>c2rm:responsible_for</v>
      </c>
      <c r="F83" s="10" t="str">
        <f t="shared" si="5"/>
        <v>objetivos_politicos</v>
      </c>
      <c r="G83" s="3" t="str">
        <f t="shared" si="6"/>
        <v>OK</v>
      </c>
      <c r="I83" s="10" t="str">
        <f t="shared" si="1"/>
        <v>comandante_supremo-objetivos_politicos</v>
      </c>
      <c r="J83" s="10"/>
      <c r="K83" s="10"/>
      <c r="L83" s="3" t="e">
        <f>IF(INDEX(GRAFO!$L$2:'GRAFO'!$L$46,MATCH(I83,GRAFO!$L$2:'GRAFO'!$L$46,0),1)&lt;&gt;0,1,0)</f>
        <v>#N/A</v>
      </c>
      <c r="M83" s="3">
        <f t="shared" si="7"/>
        <v>0</v>
      </c>
      <c r="O83" s="10" t="str">
        <f t="shared" si="2"/>
        <v>comandante_supremo-c2rm:responsible_for-objetivos_politicos</v>
      </c>
      <c r="P83" s="10"/>
      <c r="Q83" s="10"/>
      <c r="R83" s="10"/>
      <c r="S83" s="10"/>
      <c r="T83" s="10" t="e">
        <f>IF(INDEX(GRAFO!$M$2:'GRAFO'!$M$46,MATCH(O83,GRAFO!$M$2:'GRAFO'!$M$46,0),1)&lt;&gt;0,1,0)</f>
        <v>#N/A</v>
      </c>
      <c r="U83" s="10">
        <f t="shared" si="8"/>
        <v>0</v>
      </c>
    </row>
    <row r="84" spans="1:21">
      <c r="D84" s="10"/>
      <c r="E84" s="10"/>
      <c r="F84" s="10"/>
      <c r="G84" s="3"/>
      <c r="I84" s="10"/>
      <c r="J84" s="10"/>
      <c r="K84" s="10"/>
      <c r="L84" s="3"/>
      <c r="M84" s="3"/>
      <c r="O84" s="10"/>
      <c r="P84" s="10"/>
      <c r="Q84" s="10"/>
      <c r="R84" s="10"/>
      <c r="S84" s="10"/>
      <c r="T84" s="10"/>
      <c r="U84" s="10"/>
    </row>
    <row r="85" spans="1:21">
      <c r="D85" s="10"/>
      <c r="E85" s="10"/>
      <c r="F85" s="10"/>
      <c r="G85" s="3"/>
      <c r="I85" s="10"/>
      <c r="J85" s="10"/>
      <c r="K85" s="10"/>
      <c r="L85" s="3"/>
      <c r="M85" s="3"/>
      <c r="O85" s="10"/>
      <c r="P85" s="10"/>
      <c r="Q85" s="10"/>
      <c r="R85" s="10"/>
      <c r="S85" s="10"/>
      <c r="T85" s="10"/>
      <c r="U85" s="10"/>
    </row>
    <row r="86" spans="1:21">
      <c r="D86" s="10"/>
      <c r="E86" s="10"/>
      <c r="F86" s="10"/>
      <c r="G86" s="3"/>
      <c r="I86" s="10"/>
      <c r="J86" s="10"/>
      <c r="K86" s="10"/>
      <c r="L86" s="3"/>
      <c r="M86" s="3"/>
      <c r="O86" s="10"/>
      <c r="P86" s="10"/>
      <c r="Q86" s="10"/>
      <c r="R86" s="10"/>
      <c r="S86" s="10"/>
      <c r="T86" s="10"/>
      <c r="U86" s="10"/>
    </row>
    <row r="87" spans="1:21">
      <c r="D87" s="10"/>
      <c r="E87" s="10"/>
      <c r="F87" s="10"/>
      <c r="G87" s="3"/>
      <c r="I87" s="10"/>
      <c r="J87" s="10"/>
      <c r="K87" s="10"/>
      <c r="L87" s="3"/>
      <c r="M87" s="3"/>
      <c r="O87" s="10"/>
      <c r="P87" s="10"/>
      <c r="Q87" s="10"/>
      <c r="R87" s="10"/>
      <c r="S87" s="10"/>
      <c r="T87" s="10"/>
      <c r="U87" s="10"/>
    </row>
    <row r="88" spans="1:21">
      <c r="D88" s="10"/>
      <c r="E88" s="10"/>
      <c r="F88" s="10"/>
      <c r="G88" s="3"/>
      <c r="I88" s="10"/>
      <c r="J88" s="10"/>
      <c r="K88" s="10"/>
      <c r="L88" s="3"/>
      <c r="M88" s="3"/>
      <c r="O88" s="10"/>
      <c r="P88" s="10"/>
      <c r="Q88" s="10"/>
      <c r="R88" s="10"/>
      <c r="S88" s="10"/>
      <c r="T88" s="10"/>
      <c r="U88" s="10"/>
    </row>
    <row r="89" spans="1:21">
      <c r="D89" s="10"/>
      <c r="E89" s="10"/>
      <c r="F89" s="10"/>
      <c r="G89" s="3"/>
      <c r="I89" s="10"/>
      <c r="J89" s="10"/>
      <c r="K89" s="10"/>
      <c r="L89" s="3"/>
      <c r="M89" s="3"/>
      <c r="O89" s="10"/>
      <c r="P89" s="10"/>
      <c r="Q89" s="10"/>
      <c r="R89" s="10"/>
      <c r="S89" s="10"/>
      <c r="T89" s="10"/>
      <c r="U89" s="10"/>
    </row>
    <row r="90" spans="1:21">
      <c r="D90" s="10"/>
      <c r="E90" s="10"/>
      <c r="F90" s="10"/>
      <c r="G90" s="3"/>
      <c r="I90" s="10"/>
      <c r="J90" s="10"/>
      <c r="K90" s="10"/>
      <c r="L90" s="3"/>
      <c r="M90" s="3"/>
      <c r="O90" s="10"/>
      <c r="P90" s="10"/>
      <c r="Q90" s="10"/>
      <c r="R90" s="10"/>
      <c r="S90" s="10"/>
      <c r="T90" s="10"/>
      <c r="U90" s="10"/>
    </row>
    <row r="91" spans="1:21">
      <c r="D91" s="10"/>
      <c r="E91" s="10"/>
      <c r="F91" s="10"/>
      <c r="G91" s="3"/>
      <c r="I91" s="10"/>
      <c r="J91" s="10"/>
      <c r="K91" s="10"/>
      <c r="L91" s="3"/>
      <c r="M91" s="3"/>
      <c r="O91" s="10"/>
      <c r="P91" s="10"/>
      <c r="Q91" s="10"/>
      <c r="R91" s="10"/>
      <c r="S91" s="10"/>
      <c r="T91" s="10"/>
      <c r="U91" s="10"/>
    </row>
    <row r="92" spans="1:21">
      <c r="D92" s="10"/>
      <c r="E92" s="10"/>
      <c r="F92" s="10"/>
      <c r="G92" s="3"/>
      <c r="I92" s="10"/>
      <c r="J92" s="10"/>
      <c r="K92" s="10"/>
      <c r="L92" s="3"/>
      <c r="M92" s="3"/>
      <c r="O92" s="10"/>
      <c r="P92" s="10"/>
      <c r="Q92" s="10"/>
      <c r="R92" s="10"/>
      <c r="S92" s="10"/>
      <c r="T92" s="10"/>
      <c r="U92" s="10"/>
    </row>
    <row r="93" spans="1:21">
      <c r="D93" s="10"/>
      <c r="E93" s="10"/>
      <c r="F93" s="10"/>
      <c r="G93" s="3"/>
      <c r="I93" s="10"/>
      <c r="J93" s="10"/>
      <c r="K93" s="10"/>
      <c r="L93" s="3"/>
      <c r="M93" s="3"/>
      <c r="O93" s="10"/>
      <c r="P93" s="10"/>
      <c r="Q93" s="10"/>
      <c r="R93" s="10"/>
      <c r="S93" s="10"/>
      <c r="T93" s="10"/>
      <c r="U93" s="10"/>
    </row>
    <row r="94" spans="1:21">
      <c r="D94" s="10"/>
      <c r="E94" s="10"/>
      <c r="F94" s="10"/>
      <c r="G94" s="3"/>
      <c r="I94" s="10"/>
      <c r="J94" s="10"/>
      <c r="K94" s="10"/>
      <c r="L94" s="3"/>
      <c r="M94" s="3"/>
      <c r="O94" s="10"/>
      <c r="P94" s="10"/>
      <c r="Q94" s="10"/>
      <c r="R94" s="10"/>
      <c r="S94" s="10"/>
      <c r="T94" s="10"/>
      <c r="U94" s="10"/>
    </row>
    <row r="95" spans="1:21">
      <c r="D95" s="10"/>
      <c r="E95" s="10"/>
      <c r="F95" s="10"/>
      <c r="G95" s="3"/>
      <c r="I95" s="10"/>
      <c r="J95" s="10"/>
      <c r="K95" s="10"/>
      <c r="L95" s="3"/>
      <c r="M95" s="3"/>
      <c r="O95" s="10"/>
      <c r="P95" s="10"/>
      <c r="Q95" s="10"/>
      <c r="R95" s="10"/>
      <c r="S95" s="10"/>
      <c r="T95" s="10"/>
      <c r="U95" s="10"/>
    </row>
    <row r="96" spans="1:21">
      <c r="D96" s="10"/>
      <c r="E96" s="10"/>
      <c r="F96" s="10"/>
      <c r="G96" s="3"/>
      <c r="I96" s="10"/>
      <c r="J96" s="10"/>
      <c r="K96" s="10"/>
      <c r="L96" s="3"/>
      <c r="M96" s="3"/>
      <c r="O96" s="10"/>
      <c r="P96" s="10"/>
      <c r="Q96" s="10"/>
      <c r="R96" s="10"/>
      <c r="S96" s="10"/>
      <c r="T96" s="10"/>
      <c r="U96" s="10"/>
    </row>
    <row r="97" spans="4:21">
      <c r="D97" s="10"/>
      <c r="E97" s="10"/>
      <c r="F97" s="10"/>
      <c r="G97" s="3"/>
      <c r="I97" s="10"/>
      <c r="J97" s="10"/>
      <c r="K97" s="10"/>
      <c r="L97" s="3"/>
      <c r="M97" s="3"/>
      <c r="O97" s="10"/>
      <c r="P97" s="10"/>
      <c r="Q97" s="10"/>
      <c r="R97" s="10"/>
      <c r="S97" s="10"/>
      <c r="T97" s="10"/>
      <c r="U97" s="10"/>
    </row>
    <row r="98" spans="4:21">
      <c r="D98" s="10"/>
      <c r="E98" s="10"/>
      <c r="F98" s="10"/>
      <c r="G98" s="3"/>
      <c r="I98" s="10"/>
      <c r="J98" s="10"/>
      <c r="K98" s="10"/>
      <c r="L98" s="3"/>
      <c r="M98" s="3"/>
      <c r="O98" s="10"/>
      <c r="P98" s="10"/>
      <c r="Q98" s="10"/>
      <c r="R98" s="10"/>
      <c r="S98" s="10"/>
      <c r="T98" s="10"/>
      <c r="U98" s="10"/>
    </row>
    <row r="99" spans="4:21">
      <c r="D99" s="10"/>
      <c r="E99" s="10"/>
      <c r="F99" s="10"/>
      <c r="G99" s="3"/>
      <c r="I99" s="10"/>
      <c r="J99" s="10"/>
      <c r="K99" s="10"/>
      <c r="L99" s="3"/>
      <c r="M99" s="3"/>
      <c r="O99" s="10"/>
      <c r="P99" s="10"/>
      <c r="Q99" s="10"/>
      <c r="R99" s="10"/>
      <c r="S99" s="10"/>
      <c r="T99" s="10"/>
      <c r="U99" s="10"/>
    </row>
    <row r="100" spans="4:21">
      <c r="D100" s="10"/>
      <c r="E100" s="10"/>
      <c r="F100" s="10"/>
      <c r="G100" s="3"/>
      <c r="I100" s="10"/>
      <c r="J100" s="10"/>
      <c r="K100" s="10"/>
      <c r="L100" s="3"/>
      <c r="M100" s="3"/>
      <c r="O100" s="10"/>
      <c r="P100" s="10"/>
      <c r="Q100" s="10"/>
      <c r="R100" s="10"/>
      <c r="S100" s="10"/>
      <c r="T100" s="10"/>
      <c r="U100" s="10"/>
    </row>
    <row r="101" spans="4:21">
      <c r="D101" s="10"/>
      <c r="E101" s="10"/>
      <c r="F101" s="10"/>
      <c r="G101" s="3"/>
      <c r="I101" s="10"/>
      <c r="J101" s="10"/>
      <c r="K101" s="10"/>
      <c r="L101" s="3"/>
      <c r="M101" s="3"/>
      <c r="O101" s="10"/>
      <c r="P101" s="10"/>
      <c r="Q101" s="10"/>
      <c r="R101" s="10"/>
      <c r="S101" s="10"/>
      <c r="T101" s="10"/>
      <c r="U101" s="10"/>
    </row>
    <row r="102" spans="4:21">
      <c r="D102" s="10"/>
      <c r="E102" s="10"/>
      <c r="F102" s="10"/>
      <c r="G102" s="3"/>
      <c r="I102" s="10"/>
      <c r="J102" s="10"/>
      <c r="K102" s="10"/>
      <c r="L102" s="3"/>
      <c r="M102" s="3"/>
      <c r="O102" s="10"/>
      <c r="P102" s="10"/>
      <c r="Q102" s="10"/>
      <c r="R102" s="10"/>
      <c r="S102" s="10"/>
      <c r="T102" s="10"/>
      <c r="U102" s="10"/>
    </row>
    <row r="103" spans="4:21">
      <c r="D103" s="10"/>
      <c r="E103" s="10"/>
      <c r="F103" s="10"/>
      <c r="G103" s="3"/>
    </row>
    <row r="104" spans="4:21">
      <c r="D104" s="10"/>
      <c r="E104" s="10"/>
      <c r="F104" s="10"/>
      <c r="G104" s="3"/>
    </row>
    <row r="105" spans="4:21">
      <c r="D105" s="10"/>
      <c r="E105" s="10"/>
      <c r="F105" s="10"/>
      <c r="G105" s="3"/>
    </row>
    <row r="106" spans="4:21">
      <c r="D106" s="10"/>
      <c r="E106" s="10"/>
      <c r="F106" s="10"/>
      <c r="G106" s="3"/>
    </row>
    <row r="107" spans="4:21">
      <c r="D107" s="10"/>
      <c r="E107" s="10"/>
      <c r="F107" s="10"/>
      <c r="G107" s="3"/>
    </row>
    <row r="108" spans="4:21">
      <c r="D108" s="10"/>
      <c r="E108" s="10"/>
      <c r="F108" s="10"/>
      <c r="G108" s="3"/>
    </row>
    <row r="109" spans="4:21">
      <c r="D109" s="10"/>
      <c r="E109" s="10"/>
      <c r="F109" s="10"/>
      <c r="G109" s="3"/>
    </row>
    <row r="110" spans="4:21">
      <c r="D110" s="10"/>
      <c r="E110" s="10"/>
      <c r="F110" s="10"/>
      <c r="G110" s="3"/>
    </row>
    <row r="111" spans="4:21">
      <c r="D111" s="10"/>
      <c r="E111" s="10"/>
      <c r="F111" s="10"/>
      <c r="G111" s="3"/>
    </row>
    <row r="112" spans="4:21">
      <c r="D112" s="10"/>
      <c r="E112" s="10"/>
      <c r="F112" s="10"/>
      <c r="G112" s="3"/>
    </row>
    <row r="113" spans="4:7">
      <c r="D113" s="10"/>
      <c r="E113" s="10"/>
      <c r="F113" s="10"/>
      <c r="G113" s="3"/>
    </row>
    <row r="114" spans="4:7">
      <c r="D114" s="10"/>
      <c r="E114" s="10"/>
      <c r="F114" s="10"/>
      <c r="G114" s="3"/>
    </row>
    <row r="115" spans="4:7">
      <c r="D115" s="10"/>
      <c r="E115" s="10"/>
      <c r="F115" s="10"/>
      <c r="G115" s="3"/>
    </row>
    <row r="116" spans="4:7">
      <c r="D116" s="10"/>
      <c r="E116" s="10"/>
      <c r="F116" s="10"/>
      <c r="G116" s="3"/>
    </row>
  </sheetData>
  <mergeCells count="10">
    <mergeCell ref="I57:K57"/>
    <mergeCell ref="L57:M57"/>
    <mergeCell ref="O57:S57"/>
    <mergeCell ref="T57:U57"/>
    <mergeCell ref="A1:B1"/>
    <mergeCell ref="D1:F1"/>
    <mergeCell ref="K4:K5"/>
    <mergeCell ref="D56:G56"/>
    <mergeCell ref="I56:M56"/>
    <mergeCell ref="O56:U56"/>
  </mergeCells>
  <dataValidations count="10">
    <dataValidation type="list" allowBlank="1" showInputMessage="1" showErrorMessage="1" sqref="F3:F9 D4:D10 F11 F14:F16 D18 F18">
      <formula1>$A$3:$A$35</formula1>
    </dataValidation>
    <dataValidation type="list" allowBlank="1" showInputMessage="1" showErrorMessage="1" sqref="F56:G56 D3 F19:F54 F10 F12:F13 D11:D17 F17 D19:D54">
      <formula1>$A$3:$A$27</formula1>
    </dataValidation>
    <dataValidation type="list" allowBlank="1" showInputMessage="1" showErrorMessage="1" sqref="C3:C55 B4:B55">
      <formula1>$Y$3:$Y$57</formula1>
    </dataValidation>
    <dataValidation type="list" allowBlank="1" showInputMessage="1" showErrorMessage="1" sqref="H3:H62 G3:G55">
      <formula1>$A$3:$A$22</formula1>
    </dataValidation>
    <dataValidation type="list" allowBlank="1" showInputMessage="1" showErrorMessage="1" sqref="B58:B74">
      <formula1>$AE$2:$AE$12</formula1>
    </dataValidation>
    <dataValidation type="list" allowBlank="1" showInputMessage="1" showErrorMessage="1" sqref="F55 D55">
      <formula1>$A$3:$A$28</formula1>
    </dataValidation>
    <dataValidation type="list" allowBlank="1" showInputMessage="1" showErrorMessage="1" sqref="E55">
      <formula1>$A$58:$A$66</formula1>
    </dataValidation>
    <dataValidation type="list" allowBlank="1" showInputMessage="1" showErrorMessage="1" sqref="B3">
      <formula1>$Y$3:$Y$31</formula1>
    </dataValidation>
    <dataValidation type="list" allowBlank="1" showInputMessage="1" showErrorMessage="1" sqref="E3:E8 E10:E54">
      <formula1>$A$58:$A$71</formula1>
    </dataValidation>
    <dataValidation type="list" allowBlank="1" showInputMessage="1" showErrorMessage="1" sqref="E9">
      <formula1>$A$58:$A$72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E116"/>
  <sheetViews>
    <sheetView zoomScale="130" zoomScaleNormal="130" workbookViewId="0">
      <selection sqref="A1:XFD1048576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64" t="s">
        <v>184</v>
      </c>
      <c r="AD2" s="64" t="s">
        <v>195</v>
      </c>
      <c r="AE2" s="64" t="s">
        <v>35</v>
      </c>
    </row>
    <row r="3" spans="1:31" ht="16.75">
      <c r="A3" s="46" t="s">
        <v>460</v>
      </c>
      <c r="B3" s="10" t="s">
        <v>9</v>
      </c>
      <c r="D3" s="46" t="s">
        <v>8</v>
      </c>
      <c r="E3" s="46" t="s">
        <v>101</v>
      </c>
      <c r="F3" s="46" t="s">
        <v>460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s="16" t="s">
        <v>33</v>
      </c>
      <c r="AC3" s="64" t="s">
        <v>185</v>
      </c>
      <c r="AD3" s="64" t="s">
        <v>196</v>
      </c>
      <c r="AE3" s="64" t="s">
        <v>4</v>
      </c>
    </row>
    <row r="4" spans="1:31" ht="16.75">
      <c r="A4" s="46" t="s">
        <v>8</v>
      </c>
      <c r="B4" s="10" t="s">
        <v>8</v>
      </c>
      <c r="D4" s="46" t="s">
        <v>10</v>
      </c>
      <c r="E4" s="46" t="s">
        <v>101</v>
      </c>
      <c r="F4" s="46" t="s">
        <v>460</v>
      </c>
      <c r="K4" s="85" t="s">
        <v>80</v>
      </c>
      <c r="L4" s="8" t="s">
        <v>0</v>
      </c>
      <c r="M4" s="4">
        <f>GRAFO!J2</f>
        <v>29</v>
      </c>
      <c r="N4" s="11">
        <f>COUNTA(A3:A21)</f>
        <v>19</v>
      </c>
      <c r="O4" s="11">
        <f>COUNTIF(B3:B21,"&lt;&gt;"&amp;"")</f>
        <v>13</v>
      </c>
      <c r="P4" s="2">
        <f>N4-R4</f>
        <v>13</v>
      </c>
      <c r="Q4" s="2">
        <f>M4-O4</f>
        <v>16</v>
      </c>
      <c r="R4" s="2">
        <f>N4-O4</f>
        <v>6</v>
      </c>
      <c r="S4" s="2">
        <f>O4+P4</f>
        <v>26</v>
      </c>
      <c r="T4" s="2">
        <f>Q4+R4</f>
        <v>22</v>
      </c>
      <c r="U4" s="6">
        <f>O4/(O4+R4)</f>
        <v>0.68421052631578949</v>
      </c>
      <c r="V4" s="6">
        <f>O4/(O4+Q4)</f>
        <v>0.44827586206896552</v>
      </c>
      <c r="W4" s="6">
        <f>(O4+P4)/(O4+P4+Q4+R4)</f>
        <v>0.54166666666666663</v>
      </c>
      <c r="X4" s="62">
        <f>AVERAGE(U4:W4)</f>
        <v>0.55805101835047388</v>
      </c>
      <c r="Y4" s="16" t="s">
        <v>21</v>
      </c>
      <c r="AC4" s="64" t="s">
        <v>186</v>
      </c>
      <c r="AD4" s="64" t="s">
        <v>197</v>
      </c>
      <c r="AE4" s="64" t="s">
        <v>205</v>
      </c>
    </row>
    <row r="5" spans="1:31" ht="16.75">
      <c r="A5" s="46" t="s">
        <v>10</v>
      </c>
      <c r="B5" s="10" t="s">
        <v>10</v>
      </c>
      <c r="D5" s="46" t="s">
        <v>12</v>
      </c>
      <c r="E5" s="46" t="s">
        <v>101</v>
      </c>
      <c r="F5" s="46" t="s">
        <v>460</v>
      </c>
      <c r="K5" s="85"/>
      <c r="L5" s="8" t="s">
        <v>100</v>
      </c>
      <c r="M5" s="5">
        <f>GRAFO!J3</f>
        <v>41</v>
      </c>
      <c r="N5" s="12">
        <f>COUNTA(D58:D80)</f>
        <v>23</v>
      </c>
      <c r="O5" s="12">
        <f>COUNTIF(M58:M80,"=1")</f>
        <v>9</v>
      </c>
      <c r="P5" s="2">
        <f>N5-R5</f>
        <v>9</v>
      </c>
      <c r="Q5" s="2">
        <f>M5-O5</f>
        <v>32</v>
      </c>
      <c r="R5" s="2">
        <f>N5-O5</f>
        <v>14</v>
      </c>
      <c r="S5" s="2">
        <f>O5+P5</f>
        <v>18</v>
      </c>
      <c r="T5" s="2">
        <f>Q5+R5</f>
        <v>46</v>
      </c>
      <c r="U5" s="6">
        <f>O5/(O5+R5)</f>
        <v>0.39130434782608697</v>
      </c>
      <c r="V5" s="6">
        <f>O5/(O5+Q5)</f>
        <v>0.21951219512195122</v>
      </c>
      <c r="W5" s="6">
        <f>(O5+P5)/(O5+P5+Q5+R5)</f>
        <v>0.28125</v>
      </c>
      <c r="X5" s="62">
        <f t="shared" ref="X5:X6" si="0">AVERAGE(U5:W5)</f>
        <v>0.29735551431601276</v>
      </c>
      <c r="Y5" s="16" t="s">
        <v>17</v>
      </c>
      <c r="AC5" s="64" t="s">
        <v>187</v>
      </c>
      <c r="AD5" s="64" t="s">
        <v>198</v>
      </c>
      <c r="AE5" s="64" t="s">
        <v>3</v>
      </c>
    </row>
    <row r="6" spans="1:31" ht="16.75">
      <c r="A6" s="46" t="s">
        <v>12</v>
      </c>
      <c r="B6" s="10" t="s">
        <v>12</v>
      </c>
      <c r="D6" s="46" t="s">
        <v>11</v>
      </c>
      <c r="E6" s="46" t="s">
        <v>101</v>
      </c>
      <c r="F6" s="46" t="s">
        <v>460</v>
      </c>
      <c r="L6" s="8" t="s">
        <v>99</v>
      </c>
      <c r="M6" s="5">
        <v>41</v>
      </c>
      <c r="N6" s="12">
        <f>COUNTA(D58:D80)</f>
        <v>23</v>
      </c>
      <c r="O6" s="12">
        <f>COUNTIF(U58:U80,"=1")</f>
        <v>8</v>
      </c>
      <c r="P6" s="2">
        <f>N6-R6</f>
        <v>8</v>
      </c>
      <c r="Q6" s="2">
        <f>M6-O6</f>
        <v>33</v>
      </c>
      <c r="R6" s="2">
        <f>N6-O6</f>
        <v>15</v>
      </c>
      <c r="S6" s="2">
        <f>O6+P6</f>
        <v>16</v>
      </c>
      <c r="T6" s="2">
        <f>Q6+R6</f>
        <v>48</v>
      </c>
      <c r="U6" s="6">
        <f>O6/(O6+R6)</f>
        <v>0.34782608695652173</v>
      </c>
      <c r="V6" s="6">
        <f>O6/(O6+Q6)</f>
        <v>0.1951219512195122</v>
      </c>
      <c r="W6" s="6">
        <f>(O6+P6)/(O6+P6+Q6+R6)</f>
        <v>0.25</v>
      </c>
      <c r="X6" s="62">
        <f t="shared" si="0"/>
        <v>0.26431601272534461</v>
      </c>
      <c r="Y6" s="16" t="s">
        <v>40</v>
      </c>
      <c r="AC6" s="64" t="s">
        <v>188</v>
      </c>
      <c r="AD6" s="64" t="s">
        <v>199</v>
      </c>
      <c r="AE6" s="64" t="s">
        <v>6</v>
      </c>
    </row>
    <row r="7" spans="1:31" ht="16.75">
      <c r="A7" s="46" t="s">
        <v>11</v>
      </c>
      <c r="B7" s="10" t="s">
        <v>11</v>
      </c>
      <c r="D7" s="46" t="s">
        <v>55</v>
      </c>
      <c r="E7" s="46" t="s">
        <v>101</v>
      </c>
      <c r="F7" s="46" t="s">
        <v>54</v>
      </c>
      <c r="X7" s="62">
        <f>AVERAGE(X4:X6)</f>
        <v>0.37324084846394373</v>
      </c>
      <c r="Y7" s="16" t="s">
        <v>13</v>
      </c>
      <c r="AC7" s="64" t="s">
        <v>189</v>
      </c>
      <c r="AD7" s="64" t="s">
        <v>200</v>
      </c>
      <c r="AE7" s="64" t="s">
        <v>206</v>
      </c>
    </row>
    <row r="8" spans="1:31" ht="16.75">
      <c r="A8" s="46" t="s">
        <v>53</v>
      </c>
      <c r="B8" s="10"/>
      <c r="D8" s="46" t="s">
        <v>56</v>
      </c>
      <c r="E8" s="46" t="s">
        <v>101</v>
      </c>
      <c r="F8" s="46" t="s">
        <v>54</v>
      </c>
      <c r="Y8" s="16" t="s">
        <v>39</v>
      </c>
      <c r="AC8" s="64" t="s">
        <v>190</v>
      </c>
      <c r="AD8" s="64" t="s">
        <v>148</v>
      </c>
      <c r="AE8" s="64" t="s">
        <v>36</v>
      </c>
    </row>
    <row r="9" spans="1:31" ht="16.75">
      <c r="A9" s="46" t="s">
        <v>123</v>
      </c>
      <c r="B9" s="10"/>
      <c r="D9" s="46" t="s">
        <v>57</v>
      </c>
      <c r="E9" s="46" t="s">
        <v>101</v>
      </c>
      <c r="F9" s="46" t="s">
        <v>54</v>
      </c>
      <c r="K9" t="s">
        <v>74</v>
      </c>
      <c r="L9" t="s">
        <v>75</v>
      </c>
      <c r="N9">
        <f>GRAFO!J2</f>
        <v>29</v>
      </c>
      <c r="Y9" s="16" t="s">
        <v>19</v>
      </c>
      <c r="AC9" s="64" t="s">
        <v>191</v>
      </c>
      <c r="AD9" s="64" t="s">
        <v>201</v>
      </c>
      <c r="AE9" s="64" t="s">
        <v>7</v>
      </c>
    </row>
    <row r="10" spans="1:31" ht="16.75">
      <c r="A10" s="46" t="s">
        <v>66</v>
      </c>
      <c r="B10" s="10" t="s">
        <v>22</v>
      </c>
      <c r="D10" s="46" t="s">
        <v>58</v>
      </c>
      <c r="E10" s="46" t="s">
        <v>243</v>
      </c>
      <c r="F10" s="46" t="s">
        <v>59</v>
      </c>
      <c r="K10" t="s">
        <v>80</v>
      </c>
      <c r="L10" t="s">
        <v>76</v>
      </c>
      <c r="N10">
        <f>N4</f>
        <v>19</v>
      </c>
      <c r="Y10" s="16" t="s">
        <v>37</v>
      </c>
      <c r="AC10" s="64" t="s">
        <v>192</v>
      </c>
      <c r="AD10" s="64" t="s">
        <v>202</v>
      </c>
      <c r="AE10" s="64" t="s">
        <v>207</v>
      </c>
    </row>
    <row r="11" spans="1:31" ht="16.75">
      <c r="A11" s="46" t="s">
        <v>124</v>
      </c>
      <c r="B11" s="10"/>
      <c r="D11" s="46" t="s">
        <v>58</v>
      </c>
      <c r="E11" s="46" t="s">
        <v>242</v>
      </c>
      <c r="F11" s="46" t="s">
        <v>66</v>
      </c>
      <c r="K11" t="s">
        <v>68</v>
      </c>
      <c r="L11" t="s">
        <v>77</v>
      </c>
      <c r="N11">
        <v>16</v>
      </c>
      <c r="Y11" s="16" t="s">
        <v>10</v>
      </c>
      <c r="AC11" s="64" t="s">
        <v>193</v>
      </c>
      <c r="AD11" s="64" t="s">
        <v>203</v>
      </c>
      <c r="AE11" s="64" t="s">
        <v>208</v>
      </c>
    </row>
    <row r="12" spans="1:31" ht="16.75">
      <c r="A12" s="46" t="s">
        <v>58</v>
      </c>
      <c r="B12" s="10" t="s">
        <v>13</v>
      </c>
      <c r="D12" s="46" t="s">
        <v>460</v>
      </c>
      <c r="E12" s="46" t="s">
        <v>462</v>
      </c>
      <c r="F12" s="46" t="s">
        <v>66</v>
      </c>
      <c r="K12" t="s">
        <v>70</v>
      </c>
      <c r="L12" t="s">
        <v>78</v>
      </c>
      <c r="M12" t="s">
        <v>86</v>
      </c>
      <c r="N12">
        <f>N9-N11</f>
        <v>13</v>
      </c>
      <c r="Y12" s="16" t="s">
        <v>14</v>
      </c>
      <c r="AC12" s="64" t="s">
        <v>194</v>
      </c>
      <c r="AD12" s="64" t="s">
        <v>204</v>
      </c>
      <c r="AE12" s="64" t="s">
        <v>5</v>
      </c>
    </row>
    <row r="13" spans="1:31" ht="16.75">
      <c r="A13" s="46" t="s">
        <v>55</v>
      </c>
      <c r="B13" s="10" t="s">
        <v>32</v>
      </c>
      <c r="D13" s="46" t="s">
        <v>66</v>
      </c>
      <c r="E13" s="46" t="s">
        <v>143</v>
      </c>
      <c r="F13" s="46" t="s">
        <v>54</v>
      </c>
      <c r="K13" t="s">
        <v>69</v>
      </c>
      <c r="L13" t="s">
        <v>79</v>
      </c>
      <c r="M13" t="s">
        <v>87</v>
      </c>
      <c r="Y13" s="16" t="s">
        <v>34</v>
      </c>
    </row>
    <row r="14" spans="1:31" ht="16.75">
      <c r="A14" s="46" t="s">
        <v>56</v>
      </c>
      <c r="B14" s="10" t="s">
        <v>34</v>
      </c>
      <c r="D14" s="46" t="s">
        <v>54</v>
      </c>
      <c r="E14" s="46" t="s">
        <v>361</v>
      </c>
      <c r="F14" s="46" t="s">
        <v>59</v>
      </c>
      <c r="K14" t="s">
        <v>83</v>
      </c>
      <c r="M14" t="s">
        <v>88</v>
      </c>
      <c r="Y14" s="16" t="s">
        <v>27</v>
      </c>
    </row>
    <row r="15" spans="1:31" ht="16.75">
      <c r="A15" s="46" t="s">
        <v>57</v>
      </c>
      <c r="B15" s="10" t="s">
        <v>33</v>
      </c>
      <c r="D15" s="46" t="s">
        <v>233</v>
      </c>
      <c r="E15" s="46" t="s">
        <v>142</v>
      </c>
      <c r="F15" s="46" t="s">
        <v>123</v>
      </c>
      <c r="K15" t="s">
        <v>89</v>
      </c>
      <c r="M15" t="s">
        <v>92</v>
      </c>
      <c r="Y15" s="16" t="s">
        <v>28</v>
      </c>
    </row>
    <row r="16" spans="1:31" ht="16.75">
      <c r="A16" s="46" t="s">
        <v>54</v>
      </c>
      <c r="B16" s="10" t="s">
        <v>31</v>
      </c>
      <c r="D16" s="46" t="s">
        <v>53</v>
      </c>
      <c r="E16" s="46" t="s">
        <v>214</v>
      </c>
      <c r="F16" s="46" t="s">
        <v>124</v>
      </c>
      <c r="K16" t="s">
        <v>90</v>
      </c>
      <c r="M16" t="s">
        <v>93</v>
      </c>
      <c r="Y16" s="16" t="s">
        <v>30</v>
      </c>
    </row>
    <row r="17" spans="1:25" ht="16.75">
      <c r="A17" s="46" t="s">
        <v>233</v>
      </c>
      <c r="B17" s="10" t="s">
        <v>21</v>
      </c>
      <c r="D17" s="46" t="s">
        <v>12</v>
      </c>
      <c r="E17" s="46" t="s">
        <v>109</v>
      </c>
      <c r="F17" s="46" t="s">
        <v>62</v>
      </c>
      <c r="K17" t="s">
        <v>91</v>
      </c>
      <c r="M17" t="s">
        <v>94</v>
      </c>
      <c r="Y17" s="16" t="s">
        <v>29</v>
      </c>
    </row>
    <row r="18" spans="1:25" ht="16.75">
      <c r="A18" s="46" t="s">
        <v>62</v>
      </c>
      <c r="B18" s="10"/>
      <c r="D18" s="46" t="s">
        <v>8</v>
      </c>
      <c r="E18" s="46" t="s">
        <v>463</v>
      </c>
      <c r="F18" s="46" t="s">
        <v>233</v>
      </c>
      <c r="K18" t="s">
        <v>84</v>
      </c>
      <c r="M18" t="s">
        <v>95</v>
      </c>
      <c r="Y18" s="16" t="s">
        <v>31</v>
      </c>
    </row>
    <row r="19" spans="1:25" ht="16.75">
      <c r="A19" s="46" t="s">
        <v>59</v>
      </c>
      <c r="B19" s="10"/>
      <c r="D19" s="46" t="s">
        <v>10</v>
      </c>
      <c r="E19" s="46" t="s">
        <v>214</v>
      </c>
      <c r="F19" s="46" t="s">
        <v>53</v>
      </c>
      <c r="K19" t="s">
        <v>85</v>
      </c>
      <c r="M19" t="s">
        <v>96</v>
      </c>
      <c r="Y19" s="16" t="s">
        <v>171</v>
      </c>
    </row>
    <row r="20" spans="1:25" ht="16.75">
      <c r="A20" s="46" t="s">
        <v>461</v>
      </c>
      <c r="B20" s="10"/>
      <c r="D20" s="46" t="s">
        <v>10</v>
      </c>
      <c r="E20" s="46" t="s">
        <v>328</v>
      </c>
      <c r="F20" s="46" t="s">
        <v>12</v>
      </c>
      <c r="K20" t="s">
        <v>97</v>
      </c>
      <c r="M20" t="s">
        <v>98</v>
      </c>
      <c r="Y20" s="16" t="s">
        <v>15</v>
      </c>
    </row>
    <row r="21" spans="1:25" ht="16.75">
      <c r="A21" s="46" t="s">
        <v>64</v>
      </c>
      <c r="B21" s="10" t="s">
        <v>28</v>
      </c>
      <c r="D21" s="46" t="s">
        <v>12</v>
      </c>
      <c r="E21" s="46" t="s">
        <v>464</v>
      </c>
      <c r="F21" s="46" t="s">
        <v>11</v>
      </c>
      <c r="Y21" s="16" t="s">
        <v>16</v>
      </c>
    </row>
    <row r="22" spans="1:25" ht="16.75">
      <c r="A22" s="46"/>
      <c r="B22" s="10"/>
      <c r="D22" s="46" t="s">
        <v>64</v>
      </c>
      <c r="E22" s="46" t="s">
        <v>280</v>
      </c>
      <c r="F22" s="46" t="s">
        <v>11</v>
      </c>
      <c r="Y22" s="16" t="s">
        <v>32</v>
      </c>
    </row>
    <row r="23" spans="1:25" ht="16.75">
      <c r="A23" s="60"/>
      <c r="B23" s="10"/>
      <c r="D23" s="46" t="s">
        <v>64</v>
      </c>
      <c r="E23" s="46" t="s">
        <v>215</v>
      </c>
      <c r="F23" s="46" t="s">
        <v>66</v>
      </c>
      <c r="Y23" s="16" t="s">
        <v>9</v>
      </c>
    </row>
    <row r="24" spans="1:25" ht="16.75">
      <c r="A24" s="60"/>
      <c r="B24" s="10"/>
      <c r="D24" s="46" t="s">
        <v>64</v>
      </c>
      <c r="E24" s="46" t="s">
        <v>245</v>
      </c>
      <c r="F24" s="46" t="s">
        <v>54</v>
      </c>
      <c r="Y24" s="16" t="s">
        <v>18</v>
      </c>
    </row>
    <row r="25" spans="1:25" ht="16.75">
      <c r="A25" s="46"/>
      <c r="B25" s="10"/>
      <c r="D25" s="46" t="s">
        <v>64</v>
      </c>
      <c r="E25" s="46" t="s">
        <v>280</v>
      </c>
      <c r="F25" s="46" t="s">
        <v>461</v>
      </c>
      <c r="Y25" s="16" t="s">
        <v>23</v>
      </c>
    </row>
    <row r="26" spans="1:25" ht="16.75">
      <c r="A26" s="46"/>
      <c r="B26" s="10"/>
      <c r="D26" s="10"/>
      <c r="E26" s="10"/>
      <c r="F26" s="10"/>
      <c r="Y26" s="16" t="s">
        <v>22</v>
      </c>
    </row>
    <row r="27" spans="1:25" ht="16.75">
      <c r="A27" s="46"/>
      <c r="B27" s="10"/>
      <c r="D27" s="10"/>
      <c r="E27" s="10"/>
      <c r="F27" s="10"/>
      <c r="Y27" s="16" t="s">
        <v>12</v>
      </c>
    </row>
    <row r="28" spans="1:25" ht="16.75">
      <c r="A28" s="60"/>
      <c r="B28" s="10"/>
      <c r="D28" s="10"/>
      <c r="E28" s="46"/>
      <c r="F28" s="10"/>
      <c r="Y28" s="16" t="s">
        <v>24</v>
      </c>
    </row>
    <row r="29" spans="1:25" ht="16.75">
      <c r="A29" s="60"/>
      <c r="B29" s="10"/>
      <c r="D29" s="10"/>
      <c r="E29" s="10"/>
      <c r="F29" s="10"/>
      <c r="Y29" s="16" t="s">
        <v>8</v>
      </c>
    </row>
    <row r="30" spans="1:25" ht="16.75">
      <c r="A30" s="60"/>
      <c r="B30" s="10"/>
      <c r="D30" s="10"/>
      <c r="E30" s="10"/>
      <c r="F30" s="10"/>
      <c r="Y30" s="16" t="s">
        <v>20</v>
      </c>
    </row>
    <row r="31" spans="1:25" ht="16.75">
      <c r="A31" s="60"/>
      <c r="B31" s="10"/>
      <c r="D31" s="10"/>
      <c r="E31" s="10"/>
      <c r="F31" s="10"/>
      <c r="Y31" s="16" t="s">
        <v>11</v>
      </c>
    </row>
    <row r="32" spans="1:25">
      <c r="A32" s="60"/>
      <c r="B32" s="10"/>
      <c r="D32" s="10"/>
      <c r="E32" s="10"/>
      <c r="F32" s="10"/>
    </row>
    <row r="33" spans="1:6">
      <c r="A33" s="60"/>
      <c r="B33" s="10"/>
      <c r="D33" s="10"/>
      <c r="E33" s="10"/>
      <c r="F33" s="10"/>
    </row>
    <row r="34" spans="1:6">
      <c r="A34" s="46"/>
      <c r="B34" s="10"/>
      <c r="D34" s="10"/>
      <c r="E34" s="10"/>
      <c r="F34" s="10"/>
    </row>
    <row r="35" spans="1:6">
      <c r="A35" s="46"/>
      <c r="B35" s="10"/>
      <c r="D35" s="10"/>
      <c r="E35" s="10"/>
      <c r="F35" s="10"/>
    </row>
    <row r="36" spans="1:6">
      <c r="A36" s="60"/>
      <c r="B36" s="10"/>
      <c r="D36" s="10"/>
      <c r="E36" s="10"/>
      <c r="F36" s="10"/>
    </row>
    <row r="37" spans="1:6">
      <c r="A37" s="60"/>
      <c r="B37" s="10"/>
      <c r="D37" s="10"/>
      <c r="E37" s="10"/>
      <c r="F37" s="10"/>
    </row>
    <row r="38" spans="1:6">
      <c r="A38" s="46"/>
      <c r="B38" s="10"/>
      <c r="D38" s="10"/>
      <c r="E38" s="10"/>
      <c r="F38" s="10"/>
    </row>
    <row r="39" spans="1:6">
      <c r="A39" s="46"/>
      <c r="B39" s="10"/>
      <c r="D39" s="10"/>
      <c r="E39" s="10"/>
      <c r="F39" s="10"/>
    </row>
    <row r="40" spans="1:6">
      <c r="A40" s="46"/>
      <c r="B40" s="10"/>
      <c r="D40" s="10"/>
      <c r="E40" s="10"/>
      <c r="F40" s="10"/>
    </row>
    <row r="41" spans="1:6">
      <c r="A41" s="46"/>
      <c r="B41" s="10"/>
      <c r="D41" s="10"/>
      <c r="E41" s="10"/>
      <c r="F41" s="10"/>
    </row>
    <row r="42" spans="1:6">
      <c r="A42" s="46"/>
      <c r="B42" s="10"/>
      <c r="D42" s="10"/>
      <c r="E42" s="10"/>
      <c r="F42" s="10"/>
    </row>
    <row r="43" spans="1:6">
      <c r="A43" s="46"/>
      <c r="B43" s="10"/>
      <c r="D43" s="10"/>
      <c r="E43" s="10"/>
      <c r="F43" s="10"/>
    </row>
    <row r="44" spans="1:6">
      <c r="A44" s="46"/>
      <c r="B44" s="10"/>
      <c r="D44" s="10"/>
      <c r="E44" s="10"/>
      <c r="F44" s="10"/>
    </row>
    <row r="45" spans="1:6">
      <c r="A45" s="46"/>
      <c r="B45" s="10"/>
      <c r="D45" s="10"/>
      <c r="E45" s="10"/>
      <c r="F45" s="10"/>
    </row>
    <row r="46" spans="1:6">
      <c r="A46" s="46"/>
      <c r="B46" s="10"/>
      <c r="D46" s="10"/>
      <c r="E46" s="10"/>
      <c r="F46" s="10"/>
    </row>
    <row r="47" spans="1:6">
      <c r="A47" s="46"/>
      <c r="B47" s="10"/>
      <c r="D47" s="10"/>
      <c r="E47" s="10"/>
      <c r="F47" s="10"/>
    </row>
    <row r="48" spans="1:6">
      <c r="A48" s="46"/>
      <c r="B48" s="10"/>
      <c r="D48" s="10"/>
      <c r="E48" s="10"/>
      <c r="F48" s="10"/>
    </row>
    <row r="49" spans="1:21">
      <c r="A49" s="46"/>
      <c r="B49" s="10"/>
      <c r="D49" s="10"/>
      <c r="E49" s="10"/>
      <c r="F49" s="10"/>
    </row>
    <row r="50" spans="1:21">
      <c r="A50" s="46"/>
      <c r="B50" s="10"/>
      <c r="D50" s="10"/>
      <c r="E50" s="10"/>
      <c r="F50" s="10"/>
    </row>
    <row r="51" spans="1:21">
      <c r="A51" s="46"/>
      <c r="B51" s="10"/>
      <c r="D51" s="10"/>
      <c r="E51" s="10"/>
      <c r="F51" s="10"/>
    </row>
    <row r="52" spans="1:21">
      <c r="A52" s="46"/>
      <c r="B52" s="10"/>
      <c r="D52" s="10"/>
      <c r="E52" s="10"/>
      <c r="F52" s="10"/>
    </row>
    <row r="53" spans="1:21">
      <c r="A53" s="46"/>
      <c r="B53" s="10"/>
      <c r="D53" s="10"/>
      <c r="E53" s="10"/>
      <c r="F53" s="10"/>
    </row>
    <row r="54" spans="1:21">
      <c r="A54" s="46"/>
      <c r="B54" s="10"/>
      <c r="D54" s="10"/>
      <c r="E54" s="10"/>
      <c r="F54" s="10"/>
    </row>
    <row r="55" spans="1:21">
      <c r="A55" s="46"/>
      <c r="B55" s="10"/>
    </row>
    <row r="56" spans="1:21">
      <c r="A56" s="65" t="s">
        <v>182</v>
      </c>
      <c r="B56" s="65"/>
      <c r="D56" s="104" t="s">
        <v>222</v>
      </c>
      <c r="E56" s="105"/>
      <c r="F56" s="105"/>
      <c r="G56" s="106"/>
      <c r="I56" s="98" t="s">
        <v>224</v>
      </c>
      <c r="J56" s="99"/>
      <c r="K56" s="99"/>
      <c r="L56" s="99"/>
      <c r="M56" s="100"/>
      <c r="O56" s="94" t="s">
        <v>229</v>
      </c>
      <c r="P56" s="94"/>
      <c r="Q56" s="94"/>
      <c r="R56" s="94"/>
      <c r="S56" s="94"/>
      <c r="T56" s="94"/>
      <c r="U56" s="94"/>
    </row>
    <row r="57" spans="1:21">
      <c r="A57" s="32" t="s">
        <v>251</v>
      </c>
      <c r="B57" s="33" t="s">
        <v>252</v>
      </c>
      <c r="D57" s="34" t="s">
        <v>220</v>
      </c>
      <c r="E57" s="34" t="s">
        <v>219</v>
      </c>
      <c r="F57" s="34" t="s">
        <v>221</v>
      </c>
      <c r="G57" s="34" t="s">
        <v>223</v>
      </c>
      <c r="I57" s="101" t="s">
        <v>225</v>
      </c>
      <c r="J57" s="102"/>
      <c r="K57" s="103"/>
      <c r="L57" s="101" t="s">
        <v>226</v>
      </c>
      <c r="M57" s="103"/>
      <c r="O57" s="95" t="s">
        <v>227</v>
      </c>
      <c r="P57" s="96"/>
      <c r="Q57" s="96"/>
      <c r="R57" s="96"/>
      <c r="S57" s="97"/>
      <c r="T57" s="95" t="s">
        <v>228</v>
      </c>
      <c r="U57" s="97"/>
    </row>
    <row r="58" spans="1:21">
      <c r="A58" s="46" t="s">
        <v>101</v>
      </c>
      <c r="B58" s="10" t="s">
        <v>3</v>
      </c>
      <c r="D58" s="10" t="str">
        <f>IF(INDEX($A$3:$B$21,MATCH(D3,$A$3:$A$21,0),2)&lt;&gt;0,INDEX($A$3:$B$21,MATCH(D3,$A$3:$A$21,0),2),D3)</f>
        <v>politico</v>
      </c>
      <c r="E58" s="10" t="str">
        <f>IF(INDEX($A$58:$B$72,MATCH(E3,$A$58:$A$72,0),2)&lt;&gt;0,INDEX($A$58:$B$72,MATCH(E3,$A$58:$A$72,0),2),E3)</f>
        <v>rdfs:subClassOf</v>
      </c>
      <c r="F58" s="10" t="str">
        <f>IF(INDEX($A$3:$B$21,MATCH(F3,$A$3:$A$21,0),2)&lt;&gt;0,INDEX($A$3:$B$21,MATCH(F3,$A$3:$A$21,0),2),F3)</f>
        <v>nivel</v>
      </c>
      <c r="G58" s="3" t="str">
        <f>IF(INDEX($A$3:$B$21,MATCH(F3,$A$3:$A$21,0),2)&lt;&gt;0,"OK","NOK")</f>
        <v>OK</v>
      </c>
      <c r="I58" s="10" t="str">
        <f t="shared" ref="I58:I80" si="1">D58 &amp;"-"&amp;F58</f>
        <v>politico-nivel</v>
      </c>
      <c r="J58" s="10"/>
      <c r="K58" s="10"/>
      <c r="L58" s="3">
        <f>IF(INDEX(GRAFO!$L$2:'GRAFO'!$L$46,MATCH(I58,GRAFO!$L$2:'GRAFO'!$L$46,0),1)&lt;&gt;0,1,0)</f>
        <v>1</v>
      </c>
      <c r="M58" s="3">
        <f>IFERROR(L58,0)</f>
        <v>1</v>
      </c>
      <c r="O58" s="10" t="str">
        <f t="shared" ref="O58:O80" si="2">D58 &amp; "-" &amp; E58 &amp; "-" &amp; F58</f>
        <v>politico-rdfs:subClassOf-nivel</v>
      </c>
      <c r="P58" s="10"/>
      <c r="Q58" s="10"/>
      <c r="R58" s="10"/>
      <c r="S58" s="10"/>
      <c r="T58" s="10">
        <f>IF(INDEX(GRAFO!$M$2:'GRAFO'!$M$46,MATCH(O58,GRAFO!$M$2:'GRAFO'!$M$46,0),1)&lt;&gt;0,1,0)</f>
        <v>1</v>
      </c>
      <c r="U58" s="10">
        <f>IFERROR(T58,0)</f>
        <v>1</v>
      </c>
    </row>
    <row r="59" spans="1:21">
      <c r="A59" s="46" t="s">
        <v>243</v>
      </c>
      <c r="B59" s="10" t="s">
        <v>7</v>
      </c>
      <c r="D59" s="10" t="str">
        <f t="shared" ref="D59:D80" si="3">IF(INDEX($A$3:$B$21,MATCH(D4,$A$3:$A$21,0),2)&lt;&gt;0,INDEX($A$3:$B$21,MATCH(D4,$A$3:$A$21,0),2),D4)</f>
        <v>estrategico</v>
      </c>
      <c r="E59" s="10" t="str">
        <f t="shared" ref="E59:E80" si="4">IF(INDEX($A$58:$B$72,MATCH(E4,$A$58:$A$72,0),2)&lt;&gt;0,INDEX($A$58:$B$72,MATCH(E4,$A$58:$A$72,0),2),E4)</f>
        <v>rdfs:subClassOf</v>
      </c>
      <c r="F59" s="10" t="str">
        <f t="shared" ref="F59:F80" si="5">IF(INDEX($A$3:$B$21,MATCH(F4,$A$3:$A$21,0),2)&lt;&gt;0,INDEX($A$3:$B$21,MATCH(F4,$A$3:$A$21,0),2),F4)</f>
        <v>nivel</v>
      </c>
      <c r="G59" s="3" t="str">
        <f t="shared" ref="G59:G80" si="6">IF(INDEX($A$3:$B$21,MATCH(F4,$A$3:$A$21,0),2)&lt;&gt;0,"OK","NOK")</f>
        <v>OK</v>
      </c>
      <c r="I59" s="10" t="str">
        <f t="shared" si="1"/>
        <v>estrategico-nivel</v>
      </c>
      <c r="J59" s="10"/>
      <c r="K59" s="10"/>
      <c r="L59" s="3">
        <f>IF(INDEX(GRAFO!$L$2:'GRAFO'!$L$46,MATCH(I59,GRAFO!$L$2:'GRAFO'!$L$46,0),1)&lt;&gt;0,1,0)</f>
        <v>1</v>
      </c>
      <c r="M59" s="3">
        <f t="shared" ref="M59:M80" si="7">IFERROR(L59,0)</f>
        <v>1</v>
      </c>
      <c r="O59" s="10" t="str">
        <f t="shared" si="2"/>
        <v>estrategico-rdfs:subClassOf-nivel</v>
      </c>
      <c r="P59" s="10"/>
      <c r="Q59" s="10"/>
      <c r="R59" s="10"/>
      <c r="S59" s="10"/>
      <c r="T59" s="10">
        <f>IF(INDEX(GRAFO!$M$2:'GRAFO'!$M$46,MATCH(O59,GRAFO!$M$2:'GRAFO'!$M$46,0),1)&lt;&gt;0,1,0)</f>
        <v>1</v>
      </c>
      <c r="U59" s="10">
        <f t="shared" ref="U59:U80" si="8">IFERROR(T59,0)</f>
        <v>1</v>
      </c>
    </row>
    <row r="60" spans="1:21">
      <c r="A60" s="46" t="s">
        <v>242</v>
      </c>
      <c r="B60" s="10" t="s">
        <v>7</v>
      </c>
      <c r="D60" s="10" t="str">
        <f t="shared" si="3"/>
        <v>operacional</v>
      </c>
      <c r="E60" s="10" t="str">
        <f t="shared" si="4"/>
        <v>rdfs:subClassOf</v>
      </c>
      <c r="F60" s="10" t="str">
        <f t="shared" si="5"/>
        <v>nivel</v>
      </c>
      <c r="G60" s="3" t="str">
        <f t="shared" si="6"/>
        <v>OK</v>
      </c>
      <c r="I60" s="10" t="str">
        <f t="shared" si="1"/>
        <v>operacional-nivel</v>
      </c>
      <c r="J60" s="10"/>
      <c r="K60" s="10"/>
      <c r="L60" s="3">
        <f>IF(INDEX(GRAFO!$L$2:'GRAFO'!$L$46,MATCH(I60,GRAFO!$L$2:'GRAFO'!$L$46,0),1)&lt;&gt;0,1,0)</f>
        <v>1</v>
      </c>
      <c r="M60" s="3">
        <f t="shared" si="7"/>
        <v>1</v>
      </c>
      <c r="O60" s="10" t="str">
        <f t="shared" si="2"/>
        <v>operacional-rdfs:subClassOf-nivel</v>
      </c>
      <c r="P60" s="10"/>
      <c r="Q60" s="10"/>
      <c r="R60" s="10"/>
      <c r="S60" s="10"/>
      <c r="T60" s="10">
        <f>IF(INDEX(GRAFO!$M$2:'GRAFO'!$M$46,MATCH(O60,GRAFO!$M$2:'GRAFO'!$M$46,0),1)&lt;&gt;0,1,0)</f>
        <v>1</v>
      </c>
      <c r="U60" s="10">
        <f t="shared" si="8"/>
        <v>1</v>
      </c>
    </row>
    <row r="61" spans="1:21">
      <c r="A61" s="46" t="s">
        <v>462</v>
      </c>
      <c r="B61" s="10" t="s">
        <v>4</v>
      </c>
      <c r="D61" s="10" t="str">
        <f t="shared" si="3"/>
        <v>tatico</v>
      </c>
      <c r="E61" s="10" t="str">
        <f t="shared" si="4"/>
        <v>rdfs:subClassOf</v>
      </c>
      <c r="F61" s="10" t="str">
        <f t="shared" si="5"/>
        <v>nivel</v>
      </c>
      <c r="G61" s="3" t="str">
        <f t="shared" si="6"/>
        <v>OK</v>
      </c>
      <c r="I61" s="10" t="str">
        <f t="shared" si="1"/>
        <v>tatico-nivel</v>
      </c>
      <c r="J61" s="10"/>
      <c r="K61" s="10"/>
      <c r="L61" s="3">
        <f>IF(INDEX(GRAFO!$L$2:'GRAFO'!$L$46,MATCH(I61,GRAFO!$L$2:'GRAFO'!$L$46,0),1)&lt;&gt;0,1,0)</f>
        <v>1</v>
      </c>
      <c r="M61" s="3">
        <f t="shared" si="7"/>
        <v>1</v>
      </c>
      <c r="O61" s="10" t="str">
        <f t="shared" si="2"/>
        <v>tatico-rdfs:subClassOf-nivel</v>
      </c>
      <c r="P61" s="10"/>
      <c r="Q61" s="10"/>
      <c r="R61" s="10"/>
      <c r="S61" s="10"/>
      <c r="T61" s="10">
        <f>IF(INDEX(GRAFO!$M$2:'GRAFO'!$M$46,MATCH(O61,GRAFO!$M$2:'GRAFO'!$M$46,0),1)&lt;&gt;0,1,0)</f>
        <v>1</v>
      </c>
      <c r="U61" s="10">
        <f t="shared" si="8"/>
        <v>1</v>
      </c>
    </row>
    <row r="62" spans="1:21">
      <c r="A62" s="10" t="s">
        <v>463</v>
      </c>
      <c r="B62" s="10" t="s">
        <v>7</v>
      </c>
      <c r="D62" s="10" t="str">
        <f t="shared" si="3"/>
        <v>marinha</v>
      </c>
      <c r="E62" s="10" t="str">
        <f t="shared" si="4"/>
        <v>rdfs:subClassOf</v>
      </c>
      <c r="F62" s="10" t="str">
        <f t="shared" si="5"/>
        <v>forcas_armadas</v>
      </c>
      <c r="G62" s="3" t="str">
        <f t="shared" si="6"/>
        <v>OK</v>
      </c>
      <c r="I62" s="10" t="str">
        <f t="shared" si="1"/>
        <v>marinha-forcas_armadas</v>
      </c>
      <c r="J62" s="10"/>
      <c r="K62" s="10"/>
      <c r="L62" s="3">
        <f>IF(INDEX(GRAFO!$L$2:'GRAFO'!$L$46,MATCH(I62,GRAFO!$L$2:'GRAFO'!$L$46,0),1)&lt;&gt;0,1,0)</f>
        <v>1</v>
      </c>
      <c r="M62" s="3">
        <f t="shared" si="7"/>
        <v>1</v>
      </c>
      <c r="O62" s="10" t="str">
        <f t="shared" si="2"/>
        <v>marinha-rdfs:subClassOf-forcas_armadas</v>
      </c>
      <c r="P62" s="10"/>
      <c r="Q62" s="10"/>
      <c r="R62" s="10"/>
      <c r="S62" s="10"/>
      <c r="T62" s="10">
        <f>IF(INDEX(GRAFO!$M$2:'GRAFO'!$M$46,MATCH(O62,GRAFO!$M$2:'GRAFO'!$M$46,0),1)&lt;&gt;0,1,0)</f>
        <v>1</v>
      </c>
      <c r="U62" s="10">
        <f t="shared" si="8"/>
        <v>1</v>
      </c>
    </row>
    <row r="63" spans="1:21">
      <c r="A63" s="10" t="s">
        <v>214</v>
      </c>
      <c r="B63" s="10" t="s">
        <v>4</v>
      </c>
      <c r="D63" s="10" t="str">
        <f t="shared" si="3"/>
        <v>exercito</v>
      </c>
      <c r="E63" s="10" t="str">
        <f t="shared" si="4"/>
        <v>rdfs:subClassOf</v>
      </c>
      <c r="F63" s="10" t="str">
        <f t="shared" si="5"/>
        <v>forcas_armadas</v>
      </c>
      <c r="G63" s="3" t="str">
        <f t="shared" si="6"/>
        <v>OK</v>
      </c>
      <c r="H63">
        <f>COUNTIFS(GRAFO!C2:C42,"=D34",GRAFO!E2:E42,"=F34")</f>
        <v>0</v>
      </c>
      <c r="I63" s="10" t="str">
        <f t="shared" si="1"/>
        <v>exercito-forcas_armadas</v>
      </c>
      <c r="J63" s="10"/>
      <c r="K63" s="10"/>
      <c r="L63" s="3">
        <f>IF(INDEX(GRAFO!$L$2:'GRAFO'!$L$46,MATCH(I63,GRAFO!$L$2:'GRAFO'!$L$46,0),1)&lt;&gt;0,1,0)</f>
        <v>1</v>
      </c>
      <c r="M63" s="3">
        <f t="shared" si="7"/>
        <v>1</v>
      </c>
      <c r="O63" s="10" t="str">
        <f t="shared" si="2"/>
        <v>exercito-rdfs:subClassOf-forcas_armadas</v>
      </c>
      <c r="P63" s="10"/>
      <c r="Q63" s="10"/>
      <c r="R63" s="10"/>
      <c r="S63" s="10"/>
      <c r="T63" s="10">
        <f>IF(INDEX(GRAFO!$M$2:'GRAFO'!$M$46,MATCH(O63,GRAFO!$M$2:'GRAFO'!$M$46,0),1)&lt;&gt;0,1,0)</f>
        <v>1</v>
      </c>
      <c r="U63" s="10">
        <f t="shared" si="8"/>
        <v>1</v>
      </c>
    </row>
    <row r="64" spans="1:21">
      <c r="A64" s="10" t="s">
        <v>328</v>
      </c>
      <c r="B64" s="10" t="s">
        <v>7</v>
      </c>
      <c r="D64" s="10" t="str">
        <f t="shared" si="3"/>
        <v>aeronautica</v>
      </c>
      <c r="E64" s="10" t="str">
        <f t="shared" si="4"/>
        <v>rdfs:subClassOf</v>
      </c>
      <c r="F64" s="10" t="str">
        <f t="shared" si="5"/>
        <v>forcas_armadas</v>
      </c>
      <c r="G64" s="3" t="str">
        <f t="shared" si="6"/>
        <v>OK</v>
      </c>
      <c r="I64" s="10" t="str">
        <f t="shared" si="1"/>
        <v>aeronautica-forcas_armadas</v>
      </c>
      <c r="J64" s="10"/>
      <c r="K64" s="10"/>
      <c r="L64" s="3">
        <f>IF(INDEX(GRAFO!$L$2:'GRAFO'!$L$46,MATCH(I64,GRAFO!$L$2:'GRAFO'!$L$46,0),1)&lt;&gt;0,1,0)</f>
        <v>1</v>
      </c>
      <c r="M64" s="3">
        <f t="shared" si="7"/>
        <v>1</v>
      </c>
      <c r="O64" s="10" t="str">
        <f t="shared" si="2"/>
        <v>aeronautica-rdfs:subClassOf-forcas_armadas</v>
      </c>
      <c r="P64" s="10"/>
      <c r="Q64" s="10"/>
      <c r="R64" s="10"/>
      <c r="S64" s="10"/>
      <c r="T64" s="10">
        <f>IF(INDEX(GRAFO!$M$2:'GRAFO'!$M$46,MATCH(O64,GRAFO!$M$2:'GRAFO'!$M$46,0),1)&lt;&gt;0,1,0)</f>
        <v>1</v>
      </c>
      <c r="U64" s="10">
        <f t="shared" si="8"/>
        <v>1</v>
      </c>
    </row>
    <row r="65" spans="1:21">
      <c r="A65" s="10" t="s">
        <v>464</v>
      </c>
      <c r="B65" s="10" t="s">
        <v>4</v>
      </c>
      <c r="C65" s="24"/>
      <c r="D65" s="10" t="str">
        <f t="shared" si="3"/>
        <v>comandos_operacionais</v>
      </c>
      <c r="E65" s="10" t="str">
        <f t="shared" si="4"/>
        <v>c2rm:responsible_for</v>
      </c>
      <c r="F65" s="10" t="str">
        <f t="shared" si="5"/>
        <v>c_log</v>
      </c>
      <c r="G65" s="3" t="str">
        <f t="shared" si="6"/>
        <v>NOK</v>
      </c>
      <c r="I65" s="10" t="str">
        <f t="shared" si="1"/>
        <v>comandos_operacionais-c_log</v>
      </c>
      <c r="J65" s="10"/>
      <c r="K65" s="10"/>
      <c r="L65" s="3" t="e">
        <f>IF(INDEX(GRAFO!$L$2:'GRAFO'!$L$46,MATCH(I65,GRAFO!$L$2:'GRAFO'!$L$46,0),1)&lt;&gt;0,1,0)</f>
        <v>#N/A</v>
      </c>
      <c r="M65" s="3">
        <f t="shared" si="7"/>
        <v>0</v>
      </c>
      <c r="O65" s="10" t="str">
        <f t="shared" si="2"/>
        <v>comandos_operacionais-c2rm:responsible_for-c_log</v>
      </c>
      <c r="P65" s="10"/>
      <c r="Q65" s="10"/>
      <c r="R65" s="10"/>
      <c r="S65" s="10"/>
      <c r="T65" s="10" t="e">
        <f>IF(INDEX(GRAFO!$M$2:'GRAFO'!$M$46,MATCH(O65,GRAFO!$M$2:'GRAFO'!$M$46,0),1)&lt;&gt;0,1,0)</f>
        <v>#N/A</v>
      </c>
      <c r="U65" s="10">
        <f t="shared" si="8"/>
        <v>0</v>
      </c>
    </row>
    <row r="66" spans="1:21">
      <c r="A66" s="10" t="s">
        <v>215</v>
      </c>
      <c r="B66" s="10" t="s">
        <v>4</v>
      </c>
      <c r="C66" s="64" t="str">
        <f t="shared" ref="C66:C81" si="9">IF(INDEX($A$3:$B$18,MATCH(D3,$A$3:$A$17,0),2)&lt;&gt;0,"OK","NOK")</f>
        <v>OK</v>
      </c>
      <c r="D66" s="10" t="str">
        <f t="shared" si="3"/>
        <v>comandos_operacionais</v>
      </c>
      <c r="E66" s="10" t="str">
        <f t="shared" si="4"/>
        <v>c2rm:responsible_for</v>
      </c>
      <c r="F66" s="10" t="str">
        <f t="shared" si="5"/>
        <v>operacao_conjunta</v>
      </c>
      <c r="G66" s="3" t="str">
        <f t="shared" si="6"/>
        <v>OK</v>
      </c>
      <c r="I66" s="10" t="str">
        <f t="shared" si="1"/>
        <v>comandos_operacionais-operacao_conjunta</v>
      </c>
      <c r="J66" s="10"/>
      <c r="K66" s="10"/>
      <c r="L66" s="3" t="e">
        <f>IF(INDEX(GRAFO!$L$2:'GRAFO'!$L$46,MATCH(I66,GRAFO!$L$2:'GRAFO'!$L$46,0),1)&lt;&gt;0,1,0)</f>
        <v>#N/A</v>
      </c>
      <c r="M66" s="3">
        <f t="shared" si="7"/>
        <v>0</v>
      </c>
      <c r="O66" s="10" t="str">
        <f t="shared" si="2"/>
        <v>comandos_operacionais-c2rm:responsible_for-operacao_conjunta</v>
      </c>
      <c r="P66" s="10"/>
      <c r="Q66" s="10"/>
      <c r="R66" s="10"/>
      <c r="S66" s="10"/>
      <c r="T66" s="10" t="e">
        <f>IF(INDEX(GRAFO!$M$2:'GRAFO'!$M$46,MATCH(O66,GRAFO!$M$2:'GRAFO'!$M$46,0),1)&lt;&gt;0,1,0)</f>
        <v>#N/A</v>
      </c>
      <c r="U66" s="10">
        <f t="shared" si="8"/>
        <v>0</v>
      </c>
    </row>
    <row r="67" spans="1:21">
      <c r="A67" s="10" t="s">
        <v>280</v>
      </c>
      <c r="B67" s="10" t="s">
        <v>7</v>
      </c>
      <c r="C67" s="64" t="str">
        <f t="shared" si="9"/>
        <v>OK</v>
      </c>
      <c r="D67" s="10" t="str">
        <f t="shared" si="3"/>
        <v>nivel</v>
      </c>
      <c r="E67" s="10" t="str">
        <f t="shared" si="4"/>
        <v>rdfs:seeAlso</v>
      </c>
      <c r="F67" s="10" t="str">
        <f t="shared" si="5"/>
        <v>operacao_conjunta</v>
      </c>
      <c r="G67" s="3" t="str">
        <f t="shared" si="6"/>
        <v>OK</v>
      </c>
      <c r="I67" s="10" t="str">
        <f t="shared" si="1"/>
        <v>nivel-operacao_conjunta</v>
      </c>
      <c r="J67" s="10"/>
      <c r="K67" s="10"/>
      <c r="L67" s="3" t="e">
        <f>IF(INDEX(GRAFO!$L$2:'GRAFO'!$L$46,MATCH(I67,GRAFO!$L$2:'GRAFO'!$L$46,0),1)&lt;&gt;0,1,0)</f>
        <v>#N/A</v>
      </c>
      <c r="M67" s="3">
        <f t="shared" si="7"/>
        <v>0</v>
      </c>
      <c r="O67" s="10" t="str">
        <f t="shared" si="2"/>
        <v>nivel-rdfs:seeAlso-operacao_conjunta</v>
      </c>
      <c r="P67" s="10"/>
      <c r="Q67" s="10"/>
      <c r="R67" s="10"/>
      <c r="S67" s="10"/>
      <c r="T67" s="10" t="e">
        <f>IF(INDEX(GRAFO!$M$2:'GRAFO'!$M$46,MATCH(O67,GRAFO!$M$2:'GRAFO'!$M$46,0),1)&lt;&gt;0,1,0)</f>
        <v>#N/A</v>
      </c>
      <c r="U67" s="10">
        <f t="shared" si="8"/>
        <v>0</v>
      </c>
    </row>
    <row r="68" spans="1:21">
      <c r="A68" s="10" t="s">
        <v>109</v>
      </c>
      <c r="B68" s="10" t="s">
        <v>7</v>
      </c>
      <c r="C68" s="64" t="str">
        <f t="shared" si="9"/>
        <v>OK</v>
      </c>
      <c r="D68" s="10" t="str">
        <f t="shared" si="3"/>
        <v>operacao_conjunta</v>
      </c>
      <c r="E68" s="10" t="str">
        <f t="shared" si="4"/>
        <v>rdfs:seeAlso</v>
      </c>
      <c r="F68" s="10" t="str">
        <f t="shared" si="5"/>
        <v>forcas_armadas</v>
      </c>
      <c r="G68" s="3" t="str">
        <f t="shared" si="6"/>
        <v>OK</v>
      </c>
      <c r="I68" s="10" t="str">
        <f t="shared" si="1"/>
        <v>operacao_conjunta-forcas_armadas</v>
      </c>
      <c r="J68" s="10"/>
      <c r="K68" s="10"/>
      <c r="L68" s="3" t="e">
        <f>IF(INDEX(GRAFO!$L$2:'GRAFO'!$L$46,MATCH(I68,GRAFO!$L$2:'GRAFO'!$L$46,0),1)&lt;&gt;0,1,0)</f>
        <v>#N/A</v>
      </c>
      <c r="M68" s="3">
        <f t="shared" si="7"/>
        <v>0</v>
      </c>
      <c r="O68" s="10" t="str">
        <f t="shared" si="2"/>
        <v>operacao_conjunta-rdfs:seeAlso-forcas_armadas</v>
      </c>
      <c r="P68" s="10"/>
      <c r="Q68" s="10"/>
      <c r="R68" s="10"/>
      <c r="S68" s="10"/>
      <c r="T68" s="10" t="e">
        <f>IF(INDEX(GRAFO!$M$2:'GRAFO'!$M$46,MATCH(O68,GRAFO!$M$2:'GRAFO'!$M$46,0),1)&lt;&gt;0,1,0)</f>
        <v>#N/A</v>
      </c>
      <c r="U68" s="10">
        <f t="shared" si="8"/>
        <v>0</v>
      </c>
    </row>
    <row r="69" spans="1:21">
      <c r="A69" s="10" t="s">
        <v>245</v>
      </c>
      <c r="B69" s="10" t="s">
        <v>205</v>
      </c>
      <c r="C69" s="64" t="str">
        <f t="shared" si="9"/>
        <v>OK</v>
      </c>
      <c r="D69" s="10" t="str">
        <f t="shared" si="3"/>
        <v>forcas_armadas</v>
      </c>
      <c r="E69" s="10" t="str">
        <f t="shared" si="4"/>
        <v>rdfs:seeAlso</v>
      </c>
      <c r="F69" s="10" t="str">
        <f t="shared" si="5"/>
        <v>c_log</v>
      </c>
      <c r="G69" s="3" t="str">
        <f t="shared" si="6"/>
        <v>NOK</v>
      </c>
      <c r="I69" s="10" t="str">
        <f t="shared" si="1"/>
        <v>forcas_armadas-c_log</v>
      </c>
      <c r="J69" s="10"/>
      <c r="K69" s="10"/>
      <c r="L69" s="3" t="e">
        <f>IF(INDEX(GRAFO!$L$2:'GRAFO'!$L$46,MATCH(I69,GRAFO!$L$2:'GRAFO'!$L$46,0),1)&lt;&gt;0,1,0)</f>
        <v>#N/A</v>
      </c>
      <c r="M69" s="3">
        <f t="shared" si="7"/>
        <v>0</v>
      </c>
      <c r="O69" s="10" t="str">
        <f t="shared" si="2"/>
        <v>forcas_armadas-rdfs:seeAlso-c_log</v>
      </c>
      <c r="P69" s="10"/>
      <c r="Q69" s="10"/>
      <c r="R69" s="10"/>
      <c r="S69" s="10"/>
      <c r="T69" s="10" t="e">
        <f>IF(INDEX(GRAFO!$M$2:'GRAFO'!$M$46,MATCH(O69,GRAFO!$M$2:'GRAFO'!$M$46,0),1)&lt;&gt;0,1,0)</f>
        <v>#N/A</v>
      </c>
      <c r="U69" s="10">
        <f t="shared" si="8"/>
        <v>0</v>
      </c>
    </row>
    <row r="70" spans="1:21">
      <c r="A70" s="10" t="s">
        <v>143</v>
      </c>
      <c r="B70" s="10" t="s">
        <v>4</v>
      </c>
      <c r="C70" s="64" t="str">
        <f t="shared" si="9"/>
        <v>OK</v>
      </c>
      <c r="D70" s="10" t="str">
        <f t="shared" si="3"/>
        <v>comandante_supremo</v>
      </c>
      <c r="E70" s="10" t="str">
        <f t="shared" si="4"/>
        <v>c2rm:responsible_for</v>
      </c>
      <c r="F70" s="10" t="str">
        <f t="shared" si="5"/>
        <v>dped</v>
      </c>
      <c r="G70" s="3" t="str">
        <f t="shared" si="6"/>
        <v>NOK</v>
      </c>
      <c r="I70" s="10" t="str">
        <f t="shared" si="1"/>
        <v>comandante_supremo-dped</v>
      </c>
      <c r="J70" s="10"/>
      <c r="K70" s="10"/>
      <c r="L70" s="3" t="e">
        <f>IF(INDEX(GRAFO!$L$2:'GRAFO'!$L$46,MATCH(I70,GRAFO!$L$2:'GRAFO'!$L$46,0),1)&lt;&gt;0,1,0)</f>
        <v>#N/A</v>
      </c>
      <c r="M70" s="3">
        <f t="shared" si="7"/>
        <v>0</v>
      </c>
      <c r="O70" s="10" t="str">
        <f t="shared" si="2"/>
        <v>comandante_supremo-c2rm:responsible_for-dped</v>
      </c>
      <c r="P70" s="10"/>
      <c r="Q70" s="10"/>
      <c r="R70" s="10"/>
      <c r="S70" s="10"/>
      <c r="T70" s="10" t="e">
        <f>IF(INDEX(GRAFO!$M$2:'GRAFO'!$M$46,MATCH(O70,GRAFO!$M$2:'GRAFO'!$M$46,0),1)&lt;&gt;0,1,0)</f>
        <v>#N/A</v>
      </c>
      <c r="U70" s="10">
        <f t="shared" si="8"/>
        <v>0</v>
      </c>
    </row>
    <row r="71" spans="1:21">
      <c r="A71" s="10" t="s">
        <v>361</v>
      </c>
      <c r="B71" s="10" t="s">
        <v>4</v>
      </c>
      <c r="C71" s="64" t="str">
        <f t="shared" si="9"/>
        <v>OK</v>
      </c>
      <c r="D71" s="10" t="str">
        <f t="shared" si="3"/>
        <v>md</v>
      </c>
      <c r="E71" s="10" t="str">
        <f t="shared" si="4"/>
        <v>rdfs:seeAlso</v>
      </c>
      <c r="F71" s="10" t="str">
        <f t="shared" si="5"/>
        <v>dmed</v>
      </c>
      <c r="G71" s="3" t="str">
        <f t="shared" si="6"/>
        <v>NOK</v>
      </c>
      <c r="I71" s="10" t="str">
        <f t="shared" si="1"/>
        <v>md-dmed</v>
      </c>
      <c r="J71" s="10"/>
      <c r="K71" s="10"/>
      <c r="L71" s="3" t="e">
        <f>IF(INDEX(GRAFO!$L$2:'GRAFO'!$L$46,MATCH(I71,GRAFO!$L$2:'GRAFO'!$L$46,0),1)&lt;&gt;0,1,0)</f>
        <v>#N/A</v>
      </c>
      <c r="M71" s="3">
        <f t="shared" si="7"/>
        <v>0</v>
      </c>
      <c r="O71" s="10" t="str">
        <f t="shared" si="2"/>
        <v>md-rdfs:seeAlso-dmed</v>
      </c>
      <c r="P71" s="10"/>
      <c r="Q71" s="10"/>
      <c r="R71" s="10"/>
      <c r="S71" s="10"/>
      <c r="T71" s="10" t="e">
        <f>IF(INDEX(GRAFO!$M$2:'GRAFO'!$M$46,MATCH(O71,GRAFO!$M$2:'GRAFO'!$M$46,0),1)&lt;&gt;0,1,0)</f>
        <v>#N/A</v>
      </c>
      <c r="U71" s="10">
        <f t="shared" si="8"/>
        <v>0</v>
      </c>
    </row>
    <row r="72" spans="1:21">
      <c r="A72" s="10" t="s">
        <v>142</v>
      </c>
      <c r="B72" s="10" t="s">
        <v>7</v>
      </c>
      <c r="C72" s="64" t="str">
        <f t="shared" si="9"/>
        <v>OK</v>
      </c>
      <c r="D72" s="10" t="str">
        <f t="shared" si="3"/>
        <v>operacional</v>
      </c>
      <c r="E72" s="10" t="str">
        <f t="shared" si="4"/>
        <v>c2rm:responsible_for</v>
      </c>
      <c r="F72" s="10" t="str">
        <f t="shared" si="5"/>
        <v>ar</v>
      </c>
      <c r="G72" s="3" t="str">
        <f t="shared" si="6"/>
        <v>NOK</v>
      </c>
      <c r="I72" s="10" t="str">
        <f t="shared" si="1"/>
        <v>operacional-ar</v>
      </c>
      <c r="J72" s="10"/>
      <c r="K72" s="10"/>
      <c r="L72" s="3" t="e">
        <f>IF(INDEX(GRAFO!$L$2:'GRAFO'!$L$46,MATCH(I72,GRAFO!$L$2:'GRAFO'!$L$46,0),1)&lt;&gt;0,1,0)</f>
        <v>#N/A</v>
      </c>
      <c r="M72" s="3">
        <f t="shared" si="7"/>
        <v>0</v>
      </c>
      <c r="O72" s="10" t="str">
        <f t="shared" si="2"/>
        <v>operacional-c2rm:responsible_for-ar</v>
      </c>
      <c r="P72" s="10"/>
      <c r="Q72" s="10"/>
      <c r="R72" s="10"/>
      <c r="S72" s="10"/>
      <c r="T72" s="10" t="e">
        <f>IF(INDEX(GRAFO!$M$2:'GRAFO'!$M$46,MATCH(O72,GRAFO!$M$2:'GRAFO'!$M$46,0),1)&lt;&gt;0,1,0)</f>
        <v>#N/A</v>
      </c>
      <c r="U72" s="10">
        <f t="shared" si="8"/>
        <v>0</v>
      </c>
    </row>
    <row r="73" spans="1:21">
      <c r="A73" s="46"/>
      <c r="B73" s="10"/>
      <c r="C73" s="64" t="str">
        <f t="shared" si="9"/>
        <v>OK</v>
      </c>
      <c r="D73" s="10" t="str">
        <f t="shared" si="3"/>
        <v>politico</v>
      </c>
      <c r="E73" s="10" t="str">
        <f t="shared" si="4"/>
        <v>c2rm:responsible_for</v>
      </c>
      <c r="F73" s="10" t="str">
        <f t="shared" si="5"/>
        <v>comandante_supremo</v>
      </c>
      <c r="G73" s="3" t="str">
        <f t="shared" si="6"/>
        <v>OK</v>
      </c>
      <c r="I73" s="10" t="str">
        <f t="shared" si="1"/>
        <v>politico-comandante_supremo</v>
      </c>
      <c r="J73" s="10"/>
      <c r="K73" s="10"/>
      <c r="L73" s="3" t="e">
        <f>IF(INDEX(GRAFO!$L$2:'GRAFO'!$L$46,MATCH(I73,GRAFO!$L$2:'GRAFO'!$L$46,0),1)&lt;&gt;0,1,0)</f>
        <v>#N/A</v>
      </c>
      <c r="M73" s="3">
        <f t="shared" si="7"/>
        <v>0</v>
      </c>
      <c r="O73" s="10" t="str">
        <f t="shared" si="2"/>
        <v>politico-c2rm:responsible_for-comandante_supremo</v>
      </c>
      <c r="P73" s="10"/>
      <c r="Q73" s="10"/>
      <c r="R73" s="10"/>
      <c r="S73" s="10"/>
      <c r="T73" s="10" t="e">
        <f>IF(INDEX(GRAFO!$M$2:'GRAFO'!$M$46,MATCH(O73,GRAFO!$M$2:'GRAFO'!$M$46,0),1)&lt;&gt;0,1,0)</f>
        <v>#N/A</v>
      </c>
      <c r="U73" s="10">
        <f t="shared" si="8"/>
        <v>0</v>
      </c>
    </row>
    <row r="74" spans="1:21">
      <c r="A74" s="10"/>
      <c r="B74" s="10"/>
      <c r="C74" s="64" t="str">
        <f t="shared" si="9"/>
        <v>OK</v>
      </c>
      <c r="D74" s="10" t="str">
        <f t="shared" si="3"/>
        <v>estrategico</v>
      </c>
      <c r="E74" s="10" t="str">
        <f t="shared" si="4"/>
        <v>rdfs:seeAlso</v>
      </c>
      <c r="F74" s="10" t="str">
        <f t="shared" si="5"/>
        <v>md</v>
      </c>
      <c r="G74" s="3" t="str">
        <f t="shared" si="6"/>
        <v>NOK</v>
      </c>
      <c r="I74" s="10" t="str">
        <f t="shared" si="1"/>
        <v>estrategico-md</v>
      </c>
      <c r="J74" s="10"/>
      <c r="K74" s="10"/>
      <c r="L74" s="3" t="e">
        <f>IF(INDEX(GRAFO!$L$2:'GRAFO'!$L$46,MATCH(I74,GRAFO!$L$2:'GRAFO'!$L$46,0),1)&lt;&gt;0,1,0)</f>
        <v>#N/A</v>
      </c>
      <c r="M74" s="3">
        <f t="shared" si="7"/>
        <v>0</v>
      </c>
      <c r="O74" s="10" t="str">
        <f t="shared" si="2"/>
        <v>estrategico-rdfs:seeAlso-md</v>
      </c>
      <c r="P74" s="10"/>
      <c r="Q74" s="10"/>
      <c r="R74" s="10"/>
      <c r="S74" s="10"/>
      <c r="T74" s="10" t="e">
        <f>IF(INDEX(GRAFO!$M$2:'GRAFO'!$M$46,MATCH(O74,GRAFO!$M$2:'GRAFO'!$M$46,0),1)&lt;&gt;0,1,0)</f>
        <v>#N/A</v>
      </c>
      <c r="U74" s="10">
        <f t="shared" si="8"/>
        <v>0</v>
      </c>
    </row>
    <row r="75" spans="1:21">
      <c r="A75" s="56"/>
      <c r="C75" s="64" t="str">
        <f t="shared" si="9"/>
        <v>OK</v>
      </c>
      <c r="D75" s="10" t="str">
        <f t="shared" si="3"/>
        <v>estrategico</v>
      </c>
      <c r="E75" s="10" t="str">
        <f t="shared" si="4"/>
        <v>c2rm:responsible_for</v>
      </c>
      <c r="F75" s="10" t="str">
        <f t="shared" si="5"/>
        <v>operacional</v>
      </c>
      <c r="G75" s="3" t="str">
        <f t="shared" si="6"/>
        <v>OK</v>
      </c>
      <c r="I75" s="10" t="str">
        <f t="shared" si="1"/>
        <v>estrategico-operacional</v>
      </c>
      <c r="J75" s="10"/>
      <c r="K75" s="10"/>
      <c r="L75" s="3" t="e">
        <f>IF(INDEX(GRAFO!$L$2:'GRAFO'!$L$46,MATCH(I75,GRAFO!$L$2:'GRAFO'!$L$46,0),1)&lt;&gt;0,1,0)</f>
        <v>#N/A</v>
      </c>
      <c r="M75" s="3">
        <f t="shared" si="7"/>
        <v>0</v>
      </c>
      <c r="O75" s="10" t="str">
        <f t="shared" si="2"/>
        <v>estrategico-c2rm:responsible_for-operacional</v>
      </c>
      <c r="P75" s="10"/>
      <c r="Q75" s="10"/>
      <c r="R75" s="10"/>
      <c r="S75" s="10"/>
      <c r="T75" s="10" t="e">
        <f>IF(INDEX(GRAFO!$M$2:'GRAFO'!$M$46,MATCH(O75,GRAFO!$M$2:'GRAFO'!$M$46,0),1)&lt;&gt;0,1,0)</f>
        <v>#N/A</v>
      </c>
      <c r="U75" s="10">
        <f t="shared" si="8"/>
        <v>0</v>
      </c>
    </row>
    <row r="76" spans="1:21">
      <c r="A76" s="56"/>
      <c r="C76" s="64" t="str">
        <f t="shared" si="9"/>
        <v>OK</v>
      </c>
      <c r="D76" s="10" t="str">
        <f t="shared" si="3"/>
        <v>operacional</v>
      </c>
      <c r="E76" s="10" t="str">
        <f t="shared" si="4"/>
        <v>rdfs:seeAlso</v>
      </c>
      <c r="F76" s="10" t="str">
        <f t="shared" si="5"/>
        <v>tatico</v>
      </c>
      <c r="G76" s="3" t="str">
        <f t="shared" si="6"/>
        <v>OK</v>
      </c>
      <c r="I76" s="10" t="str">
        <f t="shared" si="1"/>
        <v>operacional-tatico</v>
      </c>
      <c r="J76" s="10"/>
      <c r="K76" s="10"/>
      <c r="L76" s="3" t="e">
        <f>IF(INDEX(GRAFO!$L$2:'GRAFO'!$L$46,MATCH(I76,GRAFO!$L$2:'GRAFO'!$L$46,0),1)&lt;&gt;0,1,0)</f>
        <v>#N/A</v>
      </c>
      <c r="M76" s="3">
        <f t="shared" si="7"/>
        <v>0</v>
      </c>
      <c r="O76" s="10" t="str">
        <f t="shared" si="2"/>
        <v>operacional-rdfs:seeAlso-tatico</v>
      </c>
      <c r="P76" s="10"/>
      <c r="Q76" s="10"/>
      <c r="R76" s="10"/>
      <c r="S76" s="10"/>
      <c r="T76" s="10" t="e">
        <f>IF(INDEX(GRAFO!$M$2:'GRAFO'!$M$46,MATCH(O76,GRAFO!$M$2:'GRAFO'!$M$46,0),1)&lt;&gt;0,1,0)</f>
        <v>#N/A</v>
      </c>
      <c r="U76" s="10">
        <f t="shared" si="8"/>
        <v>0</v>
      </c>
    </row>
    <row r="77" spans="1:21">
      <c r="A77" s="56"/>
      <c r="C77" s="64" t="str">
        <f t="shared" si="9"/>
        <v>OK</v>
      </c>
      <c r="D77" s="10" t="str">
        <f t="shared" si="3"/>
        <v>forca_componente</v>
      </c>
      <c r="E77" s="10" t="str">
        <f t="shared" si="4"/>
        <v>c2rm:responsible_for</v>
      </c>
      <c r="F77" s="10" t="str">
        <f t="shared" si="5"/>
        <v>tatico</v>
      </c>
      <c r="G77" s="3" t="str">
        <f t="shared" si="6"/>
        <v>OK</v>
      </c>
      <c r="I77" s="10" t="str">
        <f t="shared" si="1"/>
        <v>forca_componente-tatico</v>
      </c>
      <c r="J77" s="10"/>
      <c r="K77" s="10"/>
      <c r="L77" s="3">
        <f>IF(INDEX(GRAFO!$L$2:'GRAFO'!$L$46,MATCH(I77,GRAFO!$L$2:'GRAFO'!$L$46,0),1)&lt;&gt;0,1,0)</f>
        <v>1</v>
      </c>
      <c r="M77" s="3">
        <f t="shared" si="7"/>
        <v>1</v>
      </c>
      <c r="O77" s="10" t="str">
        <f t="shared" si="2"/>
        <v>forca_componente-c2rm:responsible_for-tatico</v>
      </c>
      <c r="P77" s="10"/>
      <c r="Q77" s="10"/>
      <c r="R77" s="10"/>
      <c r="S77" s="10"/>
      <c r="T77" s="10">
        <f>IF(INDEX(GRAFO!$M$2:'GRAFO'!$M$46,MATCH(O77,GRAFO!$M$2:'GRAFO'!$M$46,0),1)&lt;&gt;0,1,0)</f>
        <v>1</v>
      </c>
      <c r="U77" s="10">
        <f t="shared" si="8"/>
        <v>1</v>
      </c>
    </row>
    <row r="78" spans="1:21">
      <c r="A78" s="56"/>
      <c r="C78" s="64" t="str">
        <f t="shared" si="9"/>
        <v>OK</v>
      </c>
      <c r="D78" s="10" t="str">
        <f t="shared" si="3"/>
        <v>forca_componente</v>
      </c>
      <c r="E78" s="10" t="str">
        <f t="shared" si="4"/>
        <v>rdfs:seeAlso</v>
      </c>
      <c r="F78" s="10" t="str">
        <f t="shared" si="5"/>
        <v>operacao_conjunta</v>
      </c>
      <c r="G78" s="3" t="str">
        <f t="shared" si="6"/>
        <v>OK</v>
      </c>
      <c r="I78" s="10" t="str">
        <f t="shared" si="1"/>
        <v>forca_componente-operacao_conjunta</v>
      </c>
      <c r="J78" s="10"/>
      <c r="K78" s="10"/>
      <c r="L78" s="3">
        <f>IF(INDEX(GRAFO!$L$2:'GRAFO'!$L$46,MATCH(I78,GRAFO!$L$2:'GRAFO'!$L$46,0),1)&lt;&gt;0,1,0)</f>
        <v>1</v>
      </c>
      <c r="M78" s="3">
        <f t="shared" si="7"/>
        <v>1</v>
      </c>
      <c r="O78" s="10" t="str">
        <f t="shared" si="2"/>
        <v>forca_componente-rdfs:seeAlso-operacao_conjunta</v>
      </c>
      <c r="P78" s="10"/>
      <c r="Q78" s="10"/>
      <c r="R78" s="10"/>
      <c r="S78" s="10"/>
      <c r="T78" s="10" t="e">
        <f>IF(INDEX(GRAFO!$M$2:'GRAFO'!$M$46,MATCH(O78,GRAFO!$M$2:'GRAFO'!$M$46,0),1)&lt;&gt;0,1,0)</f>
        <v>#N/A</v>
      </c>
      <c r="U78" s="10">
        <f t="shared" si="8"/>
        <v>0</v>
      </c>
    </row>
    <row r="79" spans="1:21">
      <c r="A79" s="56"/>
      <c r="C79" s="64" t="str">
        <f t="shared" si="9"/>
        <v>NOK</v>
      </c>
      <c r="D79" s="10" t="str">
        <f t="shared" si="3"/>
        <v>forca_componente</v>
      </c>
      <c r="E79" s="10" t="str">
        <f t="shared" si="4"/>
        <v>rdf:Bag</v>
      </c>
      <c r="F79" s="10" t="str">
        <f t="shared" si="5"/>
        <v>forcas_armadas</v>
      </c>
      <c r="G79" s="3" t="str">
        <f t="shared" si="6"/>
        <v>OK</v>
      </c>
      <c r="I79" s="10" t="str">
        <f t="shared" si="1"/>
        <v>forca_componente-forcas_armadas</v>
      </c>
      <c r="J79" s="10"/>
      <c r="K79" s="10"/>
      <c r="L79" s="3" t="e">
        <f>IF(INDEX(GRAFO!$L$2:'GRAFO'!$L$46,MATCH(I79,GRAFO!$L$2:'GRAFO'!$L$46,0),1)&lt;&gt;0,1,0)</f>
        <v>#N/A</v>
      </c>
      <c r="M79" s="3">
        <f t="shared" si="7"/>
        <v>0</v>
      </c>
      <c r="O79" s="10" t="str">
        <f t="shared" si="2"/>
        <v>forca_componente-rdf:Bag-forcas_armadas</v>
      </c>
      <c r="P79" s="10"/>
      <c r="Q79" s="10"/>
      <c r="R79" s="10"/>
      <c r="S79" s="10"/>
      <c r="T79" s="10" t="e">
        <f>IF(INDEX(GRAFO!$M$2:'GRAFO'!$M$46,MATCH(O79,GRAFO!$M$2:'GRAFO'!$M$46,0),1)&lt;&gt;0,1,0)</f>
        <v>#N/A</v>
      </c>
      <c r="U79" s="10">
        <f t="shared" si="8"/>
        <v>0</v>
      </c>
    </row>
    <row r="80" spans="1:21">
      <c r="A80" s="56"/>
      <c r="C80" s="64" t="str">
        <f t="shared" si="9"/>
        <v>OK</v>
      </c>
      <c r="D80" s="10" t="str">
        <f t="shared" si="3"/>
        <v>forca_componente</v>
      </c>
      <c r="E80" s="10" t="str">
        <f t="shared" si="4"/>
        <v>c2rm:responsible_for</v>
      </c>
      <c r="F80" s="10" t="str">
        <f t="shared" si="5"/>
        <v>ordem_operacoes</v>
      </c>
      <c r="G80" s="3" t="str">
        <f t="shared" si="6"/>
        <v>NOK</v>
      </c>
      <c r="I80" s="10" t="str">
        <f t="shared" si="1"/>
        <v>forca_componente-ordem_operacoes</v>
      </c>
      <c r="J80" s="10"/>
      <c r="K80" s="10"/>
      <c r="L80" s="3" t="e">
        <f>IF(INDEX(GRAFO!$L$2:'GRAFO'!$L$46,MATCH(I80,GRAFO!$L$2:'GRAFO'!$L$46,0),1)&lt;&gt;0,1,0)</f>
        <v>#N/A</v>
      </c>
      <c r="M80" s="3">
        <f t="shared" si="7"/>
        <v>0</v>
      </c>
      <c r="O80" s="10" t="str">
        <f t="shared" si="2"/>
        <v>forca_componente-c2rm:responsible_for-ordem_operacoes</v>
      </c>
      <c r="P80" s="10"/>
      <c r="Q80" s="10"/>
      <c r="R80" s="10"/>
      <c r="S80" s="10"/>
      <c r="T80" s="10" t="e">
        <f>IF(INDEX(GRAFO!$M$2:'GRAFO'!$M$46,MATCH(O80,GRAFO!$M$2:'GRAFO'!$M$46,0),1)&lt;&gt;0,1,0)</f>
        <v>#N/A</v>
      </c>
      <c r="U80" s="10">
        <f t="shared" si="8"/>
        <v>0</v>
      </c>
    </row>
    <row r="81" spans="1:21">
      <c r="A81" s="56"/>
      <c r="C81" s="64" t="str">
        <f t="shared" si="9"/>
        <v>OK</v>
      </c>
      <c r="D81" s="10"/>
      <c r="E81" s="10"/>
      <c r="F81" s="10"/>
      <c r="G81" s="3"/>
      <c r="I81" s="10"/>
      <c r="J81" s="10"/>
      <c r="K81" s="10"/>
      <c r="L81" s="3"/>
      <c r="M81" s="3"/>
      <c r="O81" s="10"/>
      <c r="P81" s="10"/>
      <c r="Q81" s="10"/>
      <c r="R81" s="10"/>
      <c r="S81" s="10"/>
      <c r="T81" s="10"/>
      <c r="U81" s="10"/>
    </row>
    <row r="82" spans="1:21">
      <c r="A82" s="56"/>
      <c r="D82" s="10"/>
      <c r="E82" s="10"/>
      <c r="F82" s="10"/>
      <c r="G82" s="3"/>
      <c r="I82" s="10"/>
      <c r="J82" s="10"/>
      <c r="K82" s="10"/>
      <c r="L82" s="3"/>
      <c r="M82" s="3"/>
      <c r="O82" s="10"/>
      <c r="P82" s="10"/>
      <c r="Q82" s="10"/>
      <c r="R82" s="10"/>
      <c r="S82" s="10"/>
      <c r="T82" s="10"/>
      <c r="U82" s="10"/>
    </row>
    <row r="83" spans="1:21">
      <c r="D83" s="10"/>
      <c r="E83" s="10"/>
      <c r="F83" s="10"/>
      <c r="G83" s="3"/>
      <c r="I83" s="10"/>
      <c r="J83" s="10"/>
      <c r="K83" s="10"/>
      <c r="L83" s="3"/>
      <c r="M83" s="3"/>
      <c r="O83" s="10"/>
      <c r="P83" s="10"/>
      <c r="Q83" s="10"/>
      <c r="R83" s="10"/>
      <c r="S83" s="10"/>
      <c r="T83" s="10"/>
      <c r="U83" s="10"/>
    </row>
    <row r="84" spans="1:21">
      <c r="D84" s="10"/>
      <c r="E84" s="10"/>
      <c r="F84" s="10"/>
      <c r="G84" s="3"/>
      <c r="I84" s="10"/>
      <c r="J84" s="10"/>
      <c r="K84" s="10"/>
      <c r="L84" s="3"/>
      <c r="M84" s="3"/>
      <c r="O84" s="10"/>
      <c r="P84" s="10"/>
      <c r="Q84" s="10"/>
      <c r="R84" s="10"/>
      <c r="S84" s="10"/>
      <c r="T84" s="10"/>
      <c r="U84" s="10"/>
    </row>
    <row r="85" spans="1:21">
      <c r="D85" s="10"/>
      <c r="E85" s="10"/>
      <c r="F85" s="10"/>
      <c r="G85" s="3"/>
      <c r="I85" s="10"/>
      <c r="J85" s="10"/>
      <c r="K85" s="10"/>
      <c r="L85" s="3"/>
      <c r="M85" s="3"/>
      <c r="O85" s="10"/>
      <c r="P85" s="10"/>
      <c r="Q85" s="10"/>
      <c r="R85" s="10"/>
      <c r="S85" s="10"/>
      <c r="T85" s="10"/>
      <c r="U85" s="10"/>
    </row>
    <row r="86" spans="1:21">
      <c r="D86" s="10"/>
      <c r="E86" s="10"/>
      <c r="F86" s="10"/>
      <c r="G86" s="3"/>
      <c r="I86" s="10"/>
      <c r="J86" s="10"/>
      <c r="K86" s="10"/>
      <c r="L86" s="3"/>
      <c r="M86" s="3"/>
      <c r="O86" s="10"/>
      <c r="P86" s="10"/>
      <c r="Q86" s="10"/>
      <c r="R86" s="10"/>
      <c r="S86" s="10"/>
      <c r="T86" s="10"/>
      <c r="U86" s="10"/>
    </row>
    <row r="87" spans="1:21">
      <c r="D87" s="10"/>
      <c r="E87" s="10"/>
      <c r="F87" s="10"/>
      <c r="G87" s="3"/>
      <c r="I87" s="10"/>
      <c r="J87" s="10"/>
      <c r="K87" s="10"/>
      <c r="L87" s="3"/>
      <c r="M87" s="3"/>
      <c r="O87" s="10"/>
      <c r="P87" s="10"/>
      <c r="Q87" s="10"/>
      <c r="R87" s="10"/>
      <c r="S87" s="10"/>
      <c r="T87" s="10"/>
      <c r="U87" s="10"/>
    </row>
    <row r="88" spans="1:21">
      <c r="D88" s="10"/>
      <c r="E88" s="10"/>
      <c r="F88" s="10"/>
      <c r="G88" s="3"/>
      <c r="I88" s="10"/>
      <c r="J88" s="10"/>
      <c r="K88" s="10"/>
      <c r="L88" s="3"/>
      <c r="M88" s="3"/>
      <c r="O88" s="10"/>
      <c r="P88" s="10"/>
      <c r="Q88" s="10"/>
      <c r="R88" s="10"/>
      <c r="S88" s="10"/>
      <c r="T88" s="10"/>
      <c r="U88" s="10"/>
    </row>
    <row r="89" spans="1:21">
      <c r="D89" s="10"/>
      <c r="E89" s="10"/>
      <c r="F89" s="10"/>
      <c r="G89" s="3"/>
      <c r="I89" s="10"/>
      <c r="J89" s="10"/>
      <c r="K89" s="10"/>
      <c r="L89" s="3"/>
      <c r="M89" s="3"/>
      <c r="O89" s="10"/>
      <c r="P89" s="10"/>
      <c r="Q89" s="10"/>
      <c r="R89" s="10"/>
      <c r="S89" s="10"/>
      <c r="T89" s="10"/>
      <c r="U89" s="10"/>
    </row>
    <row r="90" spans="1:21">
      <c r="D90" s="10"/>
      <c r="E90" s="10"/>
      <c r="F90" s="10"/>
      <c r="G90" s="3"/>
      <c r="I90" s="10"/>
      <c r="J90" s="10"/>
      <c r="K90" s="10"/>
      <c r="L90" s="3"/>
      <c r="M90" s="3"/>
      <c r="O90" s="10"/>
      <c r="P90" s="10"/>
      <c r="Q90" s="10"/>
      <c r="R90" s="10"/>
      <c r="S90" s="10"/>
      <c r="T90" s="10"/>
      <c r="U90" s="10"/>
    </row>
    <row r="91" spans="1:21">
      <c r="D91" s="10"/>
      <c r="E91" s="10"/>
      <c r="F91" s="10"/>
      <c r="G91" s="3"/>
      <c r="I91" s="10"/>
      <c r="J91" s="10"/>
      <c r="K91" s="10"/>
      <c r="L91" s="3"/>
      <c r="M91" s="3"/>
      <c r="O91" s="10"/>
      <c r="P91" s="10"/>
      <c r="Q91" s="10"/>
      <c r="R91" s="10"/>
      <c r="S91" s="10"/>
      <c r="T91" s="10"/>
      <c r="U91" s="10"/>
    </row>
    <row r="92" spans="1:21">
      <c r="D92" s="10"/>
      <c r="E92" s="10"/>
      <c r="F92" s="10"/>
      <c r="G92" s="3"/>
      <c r="I92" s="10"/>
      <c r="J92" s="10"/>
      <c r="K92" s="10"/>
      <c r="L92" s="3"/>
      <c r="M92" s="3"/>
      <c r="O92" s="10"/>
      <c r="P92" s="10"/>
      <c r="Q92" s="10"/>
      <c r="R92" s="10"/>
      <c r="S92" s="10"/>
      <c r="T92" s="10"/>
      <c r="U92" s="10"/>
    </row>
    <row r="93" spans="1:21">
      <c r="D93" s="10"/>
      <c r="E93" s="10"/>
      <c r="F93" s="10"/>
      <c r="G93" s="3"/>
      <c r="I93" s="10"/>
      <c r="J93" s="10"/>
      <c r="K93" s="10"/>
      <c r="L93" s="3"/>
      <c r="M93" s="3"/>
      <c r="O93" s="10"/>
      <c r="P93" s="10"/>
      <c r="Q93" s="10"/>
      <c r="R93" s="10"/>
      <c r="S93" s="10"/>
      <c r="T93" s="10"/>
      <c r="U93" s="10"/>
    </row>
    <row r="94" spans="1:21">
      <c r="D94" s="10"/>
      <c r="E94" s="10"/>
      <c r="F94" s="10"/>
      <c r="G94" s="3"/>
      <c r="I94" s="10"/>
      <c r="J94" s="10"/>
      <c r="K94" s="10"/>
      <c r="L94" s="3"/>
      <c r="M94" s="3"/>
      <c r="O94" s="10"/>
      <c r="P94" s="10"/>
      <c r="Q94" s="10"/>
      <c r="R94" s="10"/>
      <c r="S94" s="10"/>
      <c r="T94" s="10"/>
      <c r="U94" s="10"/>
    </row>
    <row r="95" spans="1:21">
      <c r="D95" s="10"/>
      <c r="E95" s="10"/>
      <c r="F95" s="10"/>
      <c r="G95" s="3"/>
      <c r="I95" s="10"/>
      <c r="J95" s="10"/>
      <c r="K95" s="10"/>
      <c r="L95" s="3"/>
      <c r="M95" s="3"/>
      <c r="O95" s="10"/>
      <c r="P95" s="10"/>
      <c r="Q95" s="10"/>
      <c r="R95" s="10"/>
      <c r="S95" s="10"/>
      <c r="T95" s="10"/>
      <c r="U95" s="10"/>
    </row>
    <row r="96" spans="1:21">
      <c r="D96" s="10"/>
      <c r="E96" s="10"/>
      <c r="F96" s="10"/>
      <c r="G96" s="3"/>
      <c r="I96" s="10"/>
      <c r="J96" s="10"/>
      <c r="K96" s="10"/>
      <c r="L96" s="3"/>
      <c r="M96" s="3"/>
      <c r="O96" s="10"/>
      <c r="P96" s="10"/>
      <c r="Q96" s="10"/>
      <c r="R96" s="10"/>
      <c r="S96" s="10"/>
      <c r="T96" s="10"/>
      <c r="U96" s="10"/>
    </row>
    <row r="97" spans="4:21">
      <c r="D97" s="10"/>
      <c r="E97" s="10"/>
      <c r="F97" s="10"/>
      <c r="G97" s="3"/>
      <c r="I97" s="10"/>
      <c r="J97" s="10"/>
      <c r="K97" s="10"/>
      <c r="L97" s="3"/>
      <c r="M97" s="3"/>
      <c r="O97" s="10"/>
      <c r="P97" s="10"/>
      <c r="Q97" s="10"/>
      <c r="R97" s="10"/>
      <c r="S97" s="10"/>
      <c r="T97" s="10"/>
      <c r="U97" s="10"/>
    </row>
    <row r="98" spans="4:21">
      <c r="D98" s="10"/>
      <c r="E98" s="10"/>
      <c r="F98" s="10"/>
      <c r="G98" s="3"/>
      <c r="I98" s="10"/>
      <c r="J98" s="10"/>
      <c r="K98" s="10"/>
      <c r="L98" s="3"/>
      <c r="M98" s="3"/>
      <c r="O98" s="10"/>
      <c r="P98" s="10"/>
      <c r="Q98" s="10"/>
      <c r="R98" s="10"/>
      <c r="S98" s="10"/>
      <c r="T98" s="10"/>
      <c r="U98" s="10"/>
    </row>
    <row r="99" spans="4:21">
      <c r="D99" s="10"/>
      <c r="E99" s="10"/>
      <c r="F99" s="10"/>
      <c r="G99" s="3"/>
      <c r="I99" s="10"/>
      <c r="J99" s="10"/>
      <c r="K99" s="10"/>
      <c r="L99" s="3"/>
      <c r="M99" s="3"/>
      <c r="O99" s="10"/>
      <c r="P99" s="10"/>
      <c r="Q99" s="10"/>
      <c r="R99" s="10"/>
      <c r="S99" s="10"/>
      <c r="T99" s="10"/>
      <c r="U99" s="10"/>
    </row>
    <row r="100" spans="4:21">
      <c r="D100" s="10"/>
      <c r="E100" s="10"/>
      <c r="F100" s="10"/>
      <c r="G100" s="3"/>
      <c r="I100" s="10"/>
      <c r="J100" s="10"/>
      <c r="K100" s="10"/>
      <c r="L100" s="3"/>
      <c r="M100" s="3"/>
      <c r="O100" s="10"/>
      <c r="P100" s="10"/>
      <c r="Q100" s="10"/>
      <c r="R100" s="10"/>
      <c r="S100" s="10"/>
      <c r="T100" s="10"/>
      <c r="U100" s="10"/>
    </row>
    <row r="101" spans="4:21">
      <c r="D101" s="10"/>
      <c r="E101" s="10"/>
      <c r="F101" s="10"/>
      <c r="G101" s="3"/>
      <c r="I101" s="10"/>
      <c r="J101" s="10"/>
      <c r="K101" s="10"/>
      <c r="L101" s="3"/>
      <c r="M101" s="3"/>
      <c r="O101" s="10"/>
      <c r="P101" s="10"/>
      <c r="Q101" s="10"/>
      <c r="R101" s="10"/>
      <c r="S101" s="10"/>
      <c r="T101" s="10"/>
      <c r="U101" s="10"/>
    </row>
    <row r="102" spans="4:21">
      <c r="D102" s="10"/>
      <c r="E102" s="10"/>
      <c r="F102" s="10"/>
      <c r="G102" s="3"/>
      <c r="I102" s="10"/>
      <c r="J102" s="10"/>
      <c r="K102" s="10"/>
      <c r="L102" s="3"/>
      <c r="M102" s="3"/>
      <c r="O102" s="10"/>
      <c r="P102" s="10"/>
      <c r="Q102" s="10"/>
      <c r="R102" s="10"/>
      <c r="S102" s="10"/>
      <c r="T102" s="10"/>
      <c r="U102" s="10"/>
    </row>
    <row r="103" spans="4:21">
      <c r="D103" s="10"/>
      <c r="E103" s="10"/>
      <c r="F103" s="10"/>
      <c r="G103" s="3"/>
    </row>
    <row r="104" spans="4:21">
      <c r="D104" s="10"/>
      <c r="E104" s="10"/>
      <c r="F104" s="10"/>
      <c r="G104" s="3"/>
    </row>
    <row r="105" spans="4:21">
      <c r="D105" s="10"/>
      <c r="E105" s="10"/>
      <c r="F105" s="10"/>
      <c r="G105" s="3"/>
    </row>
    <row r="106" spans="4:21">
      <c r="D106" s="10"/>
      <c r="E106" s="10"/>
      <c r="F106" s="10"/>
      <c r="G106" s="3"/>
    </row>
    <row r="107" spans="4:21">
      <c r="D107" s="10"/>
      <c r="E107" s="10"/>
      <c r="F107" s="10"/>
      <c r="G107" s="3"/>
    </row>
    <row r="108" spans="4:21">
      <c r="D108" s="10"/>
      <c r="E108" s="10"/>
      <c r="F108" s="10"/>
      <c r="G108" s="3"/>
    </row>
    <row r="109" spans="4:21">
      <c r="D109" s="10"/>
      <c r="E109" s="10"/>
      <c r="F109" s="10"/>
      <c r="G109" s="3"/>
    </row>
    <row r="110" spans="4:21">
      <c r="D110" s="10"/>
      <c r="E110" s="10"/>
      <c r="F110" s="10"/>
      <c r="G110" s="3"/>
    </row>
    <row r="111" spans="4:21">
      <c r="D111" s="10"/>
      <c r="E111" s="10"/>
      <c r="F111" s="10"/>
      <c r="G111" s="3"/>
    </row>
    <row r="112" spans="4:21">
      <c r="D112" s="10"/>
      <c r="E112" s="10"/>
      <c r="F112" s="10"/>
      <c r="G112" s="3"/>
    </row>
    <row r="113" spans="4:7">
      <c r="D113" s="10"/>
      <c r="E113" s="10"/>
      <c r="F113" s="10"/>
      <c r="G113" s="3"/>
    </row>
    <row r="114" spans="4:7">
      <c r="D114" s="10"/>
      <c r="E114" s="10"/>
      <c r="F114" s="10"/>
      <c r="G114" s="3"/>
    </row>
    <row r="115" spans="4:7">
      <c r="D115" s="10"/>
      <c r="E115" s="10"/>
      <c r="F115" s="10"/>
      <c r="G115" s="3"/>
    </row>
    <row r="116" spans="4:7">
      <c r="D116" s="10"/>
      <c r="E116" s="10"/>
      <c r="F116" s="10"/>
      <c r="G116" s="3"/>
    </row>
  </sheetData>
  <mergeCells count="10">
    <mergeCell ref="I57:K57"/>
    <mergeCell ref="L57:M57"/>
    <mergeCell ref="O57:S57"/>
    <mergeCell ref="T57:U57"/>
    <mergeCell ref="A1:B1"/>
    <mergeCell ref="D1:F1"/>
    <mergeCell ref="K4:K5"/>
    <mergeCell ref="D56:G56"/>
    <mergeCell ref="I56:M56"/>
    <mergeCell ref="O56:U56"/>
  </mergeCells>
  <dataValidations count="11">
    <dataValidation type="list" allowBlank="1" showInputMessage="1" showErrorMessage="1" sqref="E9 E15">
      <formula1>$A$58:$A$72</formula1>
    </dataValidation>
    <dataValidation type="list" allowBlank="1" showInputMessage="1" showErrorMessage="1" sqref="E3:E8 E10:E14 E16:E54">
      <formula1>$A$58:$A$71</formula1>
    </dataValidation>
    <dataValidation type="list" allowBlank="1" showInputMessage="1" showErrorMessage="1" sqref="B3">
      <formula1>$Y$3:$Y$31</formula1>
    </dataValidation>
    <dataValidation type="list" allowBlank="1" showInputMessage="1" showErrorMessage="1" sqref="E55">
      <formula1>$A$58:$A$66</formula1>
    </dataValidation>
    <dataValidation type="list" allowBlank="1" showInputMessage="1" showErrorMessage="1" sqref="F55 D55">
      <formula1>$A$3:$A$28</formula1>
    </dataValidation>
    <dataValidation type="list" allowBlank="1" showInputMessage="1" showErrorMessage="1" sqref="B58:B74">
      <formula1>$AE$2:$AE$12</formula1>
    </dataValidation>
    <dataValidation type="list" allowBlank="1" showInputMessage="1" showErrorMessage="1" sqref="H3:H62 G3:G55">
      <formula1>$A$3:$A$22</formula1>
    </dataValidation>
    <dataValidation type="list" allowBlank="1" showInputMessage="1" showErrorMessage="1" sqref="C3:C55 B4:B55">
      <formula1>$Y$3:$Y$57</formula1>
    </dataValidation>
    <dataValidation type="list" allowBlank="1" showInputMessage="1" showErrorMessage="1" sqref="F56:G56 D15:D16 F25:F54 F17:F19 D22:D54">
      <formula1>$A$3:$A$27</formula1>
    </dataValidation>
    <dataValidation type="list" allowBlank="1" showInputMessage="1" showErrorMessage="1" sqref="D17 D4:D11 D13:D14 F7:F16 F20:F24 D19:D21">
      <formula1>$A$3:$A$35</formula1>
    </dataValidation>
    <dataValidation type="list" allowBlank="1" showInputMessage="1" showErrorMessage="1" sqref="D3 F3:F6 D12 D18">
      <formula1>$A$3:$A$21</formula1>
    </dataValidation>
  </dataValidation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E116"/>
  <sheetViews>
    <sheetView zoomScale="160" zoomScaleNormal="160" workbookViewId="0">
      <selection sqref="A1:B1"/>
    </sheetView>
  </sheetViews>
  <sheetFormatPr defaultRowHeight="14.6"/>
  <cols>
    <col min="1" max="1" width="35.84375" bestFit="1" customWidth="1"/>
    <col min="2" max="2" width="25.84375" customWidth="1"/>
    <col min="3" max="3" width="21.84375" customWidth="1"/>
    <col min="4" max="4" width="19.53515625" bestFit="1" customWidth="1"/>
    <col min="5" max="5" width="15.07421875" customWidth="1"/>
    <col min="6" max="6" width="21.53515625" bestFit="1" customWidth="1"/>
    <col min="7" max="8" width="15.69140625" customWidth="1"/>
    <col min="9" max="9" width="15.53515625" customWidth="1"/>
    <col min="12" max="12" width="30.84375" customWidth="1"/>
    <col min="13" max="13" width="21.69140625" bestFit="1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19" max="19" width="17.4609375" customWidth="1"/>
    <col min="20" max="20" width="14.07421875" customWidth="1"/>
    <col min="21" max="21" width="13.4609375" customWidth="1"/>
    <col min="22" max="22" width="11" bestFit="1" customWidth="1"/>
    <col min="23" max="23" width="9.69140625" customWidth="1"/>
  </cols>
  <sheetData>
    <row r="1" spans="1:31">
      <c r="A1" s="86" t="s">
        <v>181</v>
      </c>
      <c r="B1" s="86"/>
      <c r="D1" s="87" t="s">
        <v>183</v>
      </c>
      <c r="E1" s="87"/>
      <c r="F1" s="87"/>
    </row>
    <row r="2" spans="1:31">
      <c r="A2" s="32" t="s">
        <v>250</v>
      </c>
      <c r="B2" s="32" t="s">
        <v>249</v>
      </c>
      <c r="D2" s="31" t="s">
        <v>220</v>
      </c>
      <c r="E2" s="31" t="s">
        <v>219</v>
      </c>
      <c r="F2" s="31" t="s">
        <v>221</v>
      </c>
      <c r="G2" s="1"/>
      <c r="H2" s="1"/>
      <c r="J2" t="s">
        <v>2</v>
      </c>
      <c r="Y2" t="s">
        <v>67</v>
      </c>
      <c r="AC2" s="64" t="s">
        <v>184</v>
      </c>
      <c r="AD2" s="64" t="s">
        <v>195</v>
      </c>
      <c r="AE2" s="64" t="s">
        <v>35</v>
      </c>
    </row>
    <row r="3" spans="1:31" ht="16.75">
      <c r="A3" s="46" t="s">
        <v>359</v>
      </c>
      <c r="B3" s="60" t="s">
        <v>9</v>
      </c>
      <c r="D3" s="46" t="s">
        <v>8</v>
      </c>
      <c r="E3" s="46" t="s">
        <v>101</v>
      </c>
      <c r="F3" s="46" t="s">
        <v>359</v>
      </c>
      <c r="J3" t="s">
        <v>36</v>
      </c>
      <c r="M3" s="7" t="s">
        <v>81</v>
      </c>
      <c r="N3" s="7" t="s">
        <v>82</v>
      </c>
      <c r="O3" s="7" t="s">
        <v>68</v>
      </c>
      <c r="P3" s="7" t="s">
        <v>83</v>
      </c>
      <c r="Q3" s="7" t="s">
        <v>70</v>
      </c>
      <c r="R3" s="7" t="s">
        <v>69</v>
      </c>
      <c r="S3" s="7" t="s">
        <v>253</v>
      </c>
      <c r="T3" s="7" t="s">
        <v>254</v>
      </c>
      <c r="U3" s="7" t="s">
        <v>71</v>
      </c>
      <c r="V3" s="7" t="s">
        <v>72</v>
      </c>
      <c r="W3" s="7" t="s">
        <v>73</v>
      </c>
      <c r="Y3" s="16" t="s">
        <v>33</v>
      </c>
      <c r="AC3" s="64" t="s">
        <v>185</v>
      </c>
      <c r="AD3" s="64" t="s">
        <v>196</v>
      </c>
      <c r="AE3" s="64" t="s">
        <v>4</v>
      </c>
    </row>
    <row r="4" spans="1:31" ht="16.75">
      <c r="A4" s="46" t="s">
        <v>8</v>
      </c>
      <c r="B4" s="60" t="s">
        <v>8</v>
      </c>
      <c r="D4" s="46" t="s">
        <v>10</v>
      </c>
      <c r="E4" s="46" t="s">
        <v>101</v>
      </c>
      <c r="F4" s="46" t="s">
        <v>359</v>
      </c>
      <c r="K4" s="85" t="s">
        <v>80</v>
      </c>
      <c r="L4" s="8" t="s">
        <v>0</v>
      </c>
      <c r="M4" s="4">
        <f>GRAFO!J2</f>
        <v>29</v>
      </c>
      <c r="N4" s="11">
        <f>COUNTA(A3:A25)</f>
        <v>23</v>
      </c>
      <c r="O4" s="11">
        <f>COUNTIF(B3:B25,"&lt;&gt;"&amp;"")</f>
        <v>10</v>
      </c>
      <c r="P4" s="2">
        <f>N4-R4</f>
        <v>10</v>
      </c>
      <c r="Q4" s="2">
        <f>M4-O4</f>
        <v>19</v>
      </c>
      <c r="R4" s="2">
        <f>N4-O4</f>
        <v>13</v>
      </c>
      <c r="S4" s="2">
        <f>O4+P4</f>
        <v>20</v>
      </c>
      <c r="T4" s="2">
        <f>Q4+R4</f>
        <v>32</v>
      </c>
      <c r="U4" s="6">
        <f>O4/(O4+R4)</f>
        <v>0.43478260869565216</v>
      </c>
      <c r="V4" s="6">
        <f>O4/(O4+Q4)</f>
        <v>0.34482758620689657</v>
      </c>
      <c r="W4" s="6">
        <f>(O4+P4)/(O4+P4+Q4+R4)</f>
        <v>0.38461538461538464</v>
      </c>
      <c r="X4" s="62">
        <f>AVERAGE(U4:W4)</f>
        <v>0.38807519317264444</v>
      </c>
      <c r="Y4" s="16" t="s">
        <v>21</v>
      </c>
      <c r="AC4" s="64" t="s">
        <v>186</v>
      </c>
      <c r="AD4" s="64" t="s">
        <v>197</v>
      </c>
      <c r="AE4" s="64" t="s">
        <v>205</v>
      </c>
    </row>
    <row r="5" spans="1:31" ht="16.75">
      <c r="A5" s="46" t="s">
        <v>10</v>
      </c>
      <c r="B5" s="60" t="s">
        <v>10</v>
      </c>
      <c r="D5" s="46" t="s">
        <v>12</v>
      </c>
      <c r="E5" s="46" t="s">
        <v>101</v>
      </c>
      <c r="F5" s="46" t="s">
        <v>359</v>
      </c>
      <c r="K5" s="85"/>
      <c r="L5" s="8" t="s">
        <v>100</v>
      </c>
      <c r="M5" s="5">
        <f>GRAFO!J3</f>
        <v>41</v>
      </c>
      <c r="N5" s="12">
        <f>COUNTA(D58:D76)</f>
        <v>19</v>
      </c>
      <c r="O5" s="12">
        <f>COUNTIF(M58:M76,"=1")</f>
        <v>4</v>
      </c>
      <c r="P5" s="2">
        <f>N5-R5</f>
        <v>4</v>
      </c>
      <c r="Q5" s="2">
        <f>M5-O5</f>
        <v>37</v>
      </c>
      <c r="R5" s="2">
        <f>N5-O5</f>
        <v>15</v>
      </c>
      <c r="S5" s="2">
        <f>O5+P5</f>
        <v>8</v>
      </c>
      <c r="T5" s="2">
        <f>Q5+R5</f>
        <v>52</v>
      </c>
      <c r="U5" s="6">
        <f>O5/(O5+R5)</f>
        <v>0.21052631578947367</v>
      </c>
      <c r="V5" s="6">
        <f>O5/(O5+Q5)</f>
        <v>9.7560975609756101E-2</v>
      </c>
      <c r="W5" s="6">
        <f>(O5+P5)/(O5+P5+Q5+R5)</f>
        <v>0.13333333333333333</v>
      </c>
      <c r="X5" s="62">
        <f t="shared" ref="X5:X6" si="0">AVERAGE(U5:W5)</f>
        <v>0.14714020824418769</v>
      </c>
      <c r="Y5" s="16" t="s">
        <v>17</v>
      </c>
      <c r="AC5" s="64" t="s">
        <v>187</v>
      </c>
      <c r="AD5" s="64" t="s">
        <v>198</v>
      </c>
      <c r="AE5" s="64" t="s">
        <v>3</v>
      </c>
    </row>
    <row r="6" spans="1:31" ht="16.75">
      <c r="A6" s="46" t="s">
        <v>12</v>
      </c>
      <c r="B6" s="60" t="s">
        <v>12</v>
      </c>
      <c r="D6" s="46" t="s">
        <v>11</v>
      </c>
      <c r="E6" s="46" t="s">
        <v>101</v>
      </c>
      <c r="F6" s="46" t="s">
        <v>359</v>
      </c>
      <c r="L6" s="8" t="s">
        <v>99</v>
      </c>
      <c r="M6" s="5">
        <v>41</v>
      </c>
      <c r="N6" s="12">
        <f>COUNTA(D58:D76)</f>
        <v>19</v>
      </c>
      <c r="O6" s="12">
        <f>COUNTIF(U58:U76,"=1")</f>
        <v>4</v>
      </c>
      <c r="P6" s="2">
        <f>N6-R6</f>
        <v>4</v>
      </c>
      <c r="Q6" s="2">
        <f>M6-O6</f>
        <v>37</v>
      </c>
      <c r="R6" s="2">
        <f>N6-O6</f>
        <v>15</v>
      </c>
      <c r="S6" s="2">
        <f>O6+P6</f>
        <v>8</v>
      </c>
      <c r="T6" s="2">
        <f>Q6+R6</f>
        <v>52</v>
      </c>
      <c r="U6" s="6">
        <f>O6/(O6+R6)</f>
        <v>0.21052631578947367</v>
      </c>
      <c r="V6" s="6">
        <f>O6/(O6+Q6)</f>
        <v>9.7560975609756101E-2</v>
      </c>
      <c r="W6" s="6">
        <f>(O6+P6)/(O6+P6+Q6+R6)</f>
        <v>0.13333333333333333</v>
      </c>
      <c r="X6" s="62">
        <f t="shared" si="0"/>
        <v>0.14714020824418769</v>
      </c>
      <c r="Y6" s="16" t="s">
        <v>40</v>
      </c>
      <c r="AC6" s="64" t="s">
        <v>188</v>
      </c>
      <c r="AD6" s="64" t="s">
        <v>199</v>
      </c>
      <c r="AE6" s="64" t="s">
        <v>6</v>
      </c>
    </row>
    <row r="7" spans="1:31" ht="16.75">
      <c r="A7" s="46" t="s">
        <v>11</v>
      </c>
      <c r="B7" s="60" t="s">
        <v>11</v>
      </c>
      <c r="D7" s="46" t="s">
        <v>66</v>
      </c>
      <c r="E7" s="46" t="s">
        <v>240</v>
      </c>
      <c r="F7" s="46" t="s">
        <v>359</v>
      </c>
      <c r="X7" s="62">
        <f>AVERAGE(X4:X6)</f>
        <v>0.22745186988700661</v>
      </c>
      <c r="Y7" s="16" t="s">
        <v>13</v>
      </c>
      <c r="AC7" s="64" t="s">
        <v>189</v>
      </c>
      <c r="AD7" s="64" t="s">
        <v>200</v>
      </c>
      <c r="AE7" s="64" t="s">
        <v>206</v>
      </c>
    </row>
    <row r="8" spans="1:31" ht="16.75">
      <c r="A8" s="46" t="s">
        <v>53</v>
      </c>
      <c r="B8" s="60"/>
      <c r="D8" s="46" t="s">
        <v>465</v>
      </c>
      <c r="E8" s="46" t="s">
        <v>101</v>
      </c>
      <c r="F8" s="46" t="s">
        <v>299</v>
      </c>
      <c r="Y8" s="16" t="s">
        <v>39</v>
      </c>
      <c r="AC8" s="64" t="s">
        <v>190</v>
      </c>
      <c r="AD8" s="64" t="s">
        <v>148</v>
      </c>
      <c r="AE8" s="64" t="s">
        <v>36</v>
      </c>
    </row>
    <row r="9" spans="1:31" ht="16.75">
      <c r="A9" s="46" t="s">
        <v>123</v>
      </c>
      <c r="B9" s="60"/>
      <c r="D9" s="46" t="s">
        <v>466</v>
      </c>
      <c r="E9" s="46" t="s">
        <v>101</v>
      </c>
      <c r="F9" s="46" t="s">
        <v>299</v>
      </c>
      <c r="K9" t="s">
        <v>74</v>
      </c>
      <c r="L9" t="s">
        <v>75</v>
      </c>
      <c r="N9">
        <f>GRAFO!J2</f>
        <v>29</v>
      </c>
      <c r="Y9" s="16" t="s">
        <v>19</v>
      </c>
      <c r="AC9" s="64" t="s">
        <v>191</v>
      </c>
      <c r="AD9" s="64" t="s">
        <v>201</v>
      </c>
      <c r="AE9" s="64" t="s">
        <v>7</v>
      </c>
    </row>
    <row r="10" spans="1:31" ht="16.75">
      <c r="A10" s="46" t="s">
        <v>66</v>
      </c>
      <c r="B10" s="60" t="s">
        <v>22</v>
      </c>
      <c r="D10" s="46" t="s">
        <v>8</v>
      </c>
      <c r="E10" s="46" t="s">
        <v>282</v>
      </c>
      <c r="F10" s="46" t="s">
        <v>123</v>
      </c>
      <c r="K10" t="s">
        <v>80</v>
      </c>
      <c r="L10" t="s">
        <v>76</v>
      </c>
      <c r="N10">
        <f>N4</f>
        <v>23</v>
      </c>
      <c r="Y10" s="16" t="s">
        <v>37</v>
      </c>
      <c r="AC10" s="64" t="s">
        <v>192</v>
      </c>
      <c r="AD10" s="64" t="s">
        <v>202</v>
      </c>
      <c r="AE10" s="64" t="s">
        <v>207</v>
      </c>
    </row>
    <row r="11" spans="1:31" ht="16.75">
      <c r="A11" s="46" t="s">
        <v>124</v>
      </c>
      <c r="B11" s="60"/>
      <c r="D11" s="46" t="s">
        <v>11</v>
      </c>
      <c r="E11" s="46" t="s">
        <v>282</v>
      </c>
      <c r="F11" s="46" t="s">
        <v>64</v>
      </c>
      <c r="K11" t="s">
        <v>68</v>
      </c>
      <c r="L11" t="s">
        <v>77</v>
      </c>
      <c r="N11">
        <v>16</v>
      </c>
      <c r="Y11" s="16" t="s">
        <v>10</v>
      </c>
      <c r="AC11" s="64" t="s">
        <v>193</v>
      </c>
      <c r="AD11" s="64" t="s">
        <v>203</v>
      </c>
      <c r="AE11" s="64" t="s">
        <v>208</v>
      </c>
    </row>
    <row r="12" spans="1:31" ht="16.75">
      <c r="A12" s="46" t="s">
        <v>467</v>
      </c>
      <c r="B12" s="60" t="s">
        <v>13</v>
      </c>
      <c r="D12" s="46" t="s">
        <v>12</v>
      </c>
      <c r="E12" s="46" t="s">
        <v>282</v>
      </c>
      <c r="F12" s="46" t="s">
        <v>471</v>
      </c>
      <c r="K12" t="s">
        <v>70</v>
      </c>
      <c r="L12" t="s">
        <v>78</v>
      </c>
      <c r="M12" t="s">
        <v>86</v>
      </c>
      <c r="N12">
        <f>N9-N11</f>
        <v>13</v>
      </c>
      <c r="Y12" s="16" t="s">
        <v>14</v>
      </c>
      <c r="AC12" s="64" t="s">
        <v>194</v>
      </c>
      <c r="AD12" s="64" t="s">
        <v>204</v>
      </c>
      <c r="AE12" s="64" t="s">
        <v>5</v>
      </c>
    </row>
    <row r="13" spans="1:31" ht="16.75">
      <c r="A13" s="46" t="s">
        <v>471</v>
      </c>
      <c r="B13" s="60"/>
      <c r="D13" s="46" t="s">
        <v>10</v>
      </c>
      <c r="E13" s="46" t="s">
        <v>282</v>
      </c>
      <c r="F13" s="46" t="s">
        <v>470</v>
      </c>
      <c r="K13" t="s">
        <v>69</v>
      </c>
      <c r="L13" t="s">
        <v>79</v>
      </c>
      <c r="M13" t="s">
        <v>87</v>
      </c>
      <c r="Y13" s="16" t="s">
        <v>34</v>
      </c>
    </row>
    <row r="14" spans="1:31" ht="16.75">
      <c r="A14" s="46" t="s">
        <v>54</v>
      </c>
      <c r="B14" s="60" t="s">
        <v>31</v>
      </c>
      <c r="D14" s="46" t="s">
        <v>470</v>
      </c>
      <c r="E14" s="46" t="s">
        <v>472</v>
      </c>
      <c r="F14" s="46" t="s">
        <v>469</v>
      </c>
      <c r="K14" t="s">
        <v>83</v>
      </c>
      <c r="M14" t="s">
        <v>88</v>
      </c>
      <c r="Y14" s="16" t="s">
        <v>27</v>
      </c>
    </row>
    <row r="15" spans="1:31" ht="16.75">
      <c r="A15" s="46" t="s">
        <v>233</v>
      </c>
      <c r="B15" s="60" t="s">
        <v>21</v>
      </c>
      <c r="D15" s="46" t="s">
        <v>470</v>
      </c>
      <c r="E15" s="46" t="s">
        <v>327</v>
      </c>
      <c r="F15" s="46" t="s">
        <v>468</v>
      </c>
      <c r="K15" t="s">
        <v>89</v>
      </c>
      <c r="M15" t="s">
        <v>92</v>
      </c>
      <c r="Y15" s="16" t="s">
        <v>28</v>
      </c>
    </row>
    <row r="16" spans="1:31" ht="16.75">
      <c r="A16" s="46" t="s">
        <v>469</v>
      </c>
      <c r="B16" s="60"/>
      <c r="D16" s="46" t="s">
        <v>468</v>
      </c>
      <c r="E16" s="46" t="s">
        <v>282</v>
      </c>
      <c r="F16" s="46" t="s">
        <v>124</v>
      </c>
      <c r="K16" t="s">
        <v>90</v>
      </c>
      <c r="M16" t="s">
        <v>93</v>
      </c>
      <c r="Y16" s="16" t="s">
        <v>30</v>
      </c>
    </row>
    <row r="17" spans="1:25" ht="16.75">
      <c r="A17" s="46" t="s">
        <v>59</v>
      </c>
      <c r="B17" s="60"/>
      <c r="D17" s="46" t="s">
        <v>467</v>
      </c>
      <c r="E17" s="46" t="s">
        <v>282</v>
      </c>
      <c r="F17" s="46" t="s">
        <v>468</v>
      </c>
      <c r="K17" t="s">
        <v>91</v>
      </c>
      <c r="M17" t="s">
        <v>94</v>
      </c>
      <c r="Y17" s="16" t="s">
        <v>29</v>
      </c>
    </row>
    <row r="18" spans="1:25" ht="16.75">
      <c r="A18" s="46" t="s">
        <v>470</v>
      </c>
      <c r="B18" s="60"/>
      <c r="D18" s="46" t="s">
        <v>467</v>
      </c>
      <c r="E18" s="46" t="s">
        <v>107</v>
      </c>
      <c r="F18" s="46" t="s">
        <v>471</v>
      </c>
      <c r="K18" t="s">
        <v>84</v>
      </c>
      <c r="M18" t="s">
        <v>95</v>
      </c>
      <c r="Y18" s="16" t="s">
        <v>31</v>
      </c>
    </row>
    <row r="19" spans="1:25" ht="16.75">
      <c r="A19" s="46" t="s">
        <v>64</v>
      </c>
      <c r="B19" s="60" t="s">
        <v>28</v>
      </c>
      <c r="D19" s="46" t="s">
        <v>467</v>
      </c>
      <c r="E19" s="46" t="s">
        <v>167</v>
      </c>
      <c r="F19" s="46" t="s">
        <v>59</v>
      </c>
      <c r="K19" t="s">
        <v>85</v>
      </c>
      <c r="M19" t="s">
        <v>96</v>
      </c>
      <c r="Y19" s="16" t="s">
        <v>171</v>
      </c>
    </row>
    <row r="20" spans="1:25" ht="16.75">
      <c r="A20" s="46" t="s">
        <v>299</v>
      </c>
      <c r="B20" s="10"/>
      <c r="D20" s="46" t="s">
        <v>54</v>
      </c>
      <c r="E20" s="46" t="s">
        <v>338</v>
      </c>
      <c r="F20" s="46" t="s">
        <v>64</v>
      </c>
      <c r="K20" t="s">
        <v>97</v>
      </c>
      <c r="M20" t="s">
        <v>98</v>
      </c>
      <c r="Y20" s="16" t="s">
        <v>15</v>
      </c>
    </row>
    <row r="21" spans="1:25" ht="16.75">
      <c r="A21" s="46" t="s">
        <v>465</v>
      </c>
      <c r="B21" s="10"/>
      <c r="D21" s="46" t="s">
        <v>233</v>
      </c>
      <c r="E21" s="46" t="s">
        <v>142</v>
      </c>
      <c r="F21" s="46" t="s">
        <v>123</v>
      </c>
      <c r="Y21" s="16" t="s">
        <v>16</v>
      </c>
    </row>
    <row r="22" spans="1:25" ht="16.75">
      <c r="A22" s="46" t="s">
        <v>466</v>
      </c>
      <c r="B22" s="10"/>
      <c r="D22" s="46"/>
      <c r="E22" s="46"/>
      <c r="F22" s="46"/>
      <c r="Y22" s="16" t="s">
        <v>32</v>
      </c>
    </row>
    <row r="23" spans="1:25" ht="16.75">
      <c r="A23" s="46" t="s">
        <v>468</v>
      </c>
      <c r="B23" s="10"/>
      <c r="D23" s="46"/>
      <c r="E23" s="46"/>
      <c r="F23" s="46"/>
      <c r="Y23" s="16" t="s">
        <v>9</v>
      </c>
    </row>
    <row r="24" spans="1:25" ht="16.75">
      <c r="A24" s="46" t="s">
        <v>466</v>
      </c>
      <c r="B24" s="10"/>
      <c r="D24" s="46"/>
      <c r="E24" s="46"/>
      <c r="F24" s="46"/>
      <c r="Y24" s="16" t="s">
        <v>18</v>
      </c>
    </row>
    <row r="25" spans="1:25" ht="16.75">
      <c r="A25" s="46" t="s">
        <v>468</v>
      </c>
      <c r="B25" s="10"/>
      <c r="D25" s="46"/>
      <c r="E25" s="46"/>
      <c r="F25" s="46"/>
      <c r="Y25" s="16" t="s">
        <v>23</v>
      </c>
    </row>
    <row r="26" spans="1:25" ht="16.75">
      <c r="A26" s="46"/>
      <c r="B26" s="10"/>
      <c r="D26" s="10"/>
      <c r="E26" s="10"/>
      <c r="F26" s="10"/>
      <c r="Y26" s="16" t="s">
        <v>22</v>
      </c>
    </row>
    <row r="27" spans="1:25" ht="16.75">
      <c r="A27" s="46"/>
      <c r="B27" s="10"/>
      <c r="D27" s="10"/>
      <c r="E27" s="10"/>
      <c r="F27" s="10"/>
      <c r="Y27" s="16" t="s">
        <v>12</v>
      </c>
    </row>
    <row r="28" spans="1:25" ht="16.75">
      <c r="A28" s="60"/>
      <c r="B28" s="10"/>
      <c r="D28" s="10"/>
      <c r="E28" s="46"/>
      <c r="F28" s="10"/>
      <c r="Y28" s="16" t="s">
        <v>24</v>
      </c>
    </row>
    <row r="29" spans="1:25" ht="16.75">
      <c r="A29" s="60"/>
      <c r="B29" s="10"/>
      <c r="D29" s="10"/>
      <c r="E29" s="10"/>
      <c r="F29" s="10"/>
      <c r="Y29" s="16" t="s">
        <v>8</v>
      </c>
    </row>
    <row r="30" spans="1:25" ht="16.75">
      <c r="A30" s="60"/>
      <c r="B30" s="10"/>
      <c r="D30" s="10"/>
      <c r="E30" s="10"/>
      <c r="F30" s="10"/>
      <c r="Y30" s="16" t="s">
        <v>20</v>
      </c>
    </row>
    <row r="31" spans="1:25" ht="16.75">
      <c r="A31" s="60"/>
      <c r="B31" s="10"/>
      <c r="D31" s="10"/>
      <c r="E31" s="10"/>
      <c r="F31" s="10"/>
      <c r="Y31" s="16" t="s">
        <v>11</v>
      </c>
    </row>
    <row r="32" spans="1:25">
      <c r="A32" s="60"/>
      <c r="B32" s="10"/>
      <c r="D32" s="10"/>
      <c r="E32" s="10"/>
      <c r="F32" s="10"/>
    </row>
    <row r="33" spans="1:6">
      <c r="A33" s="60"/>
      <c r="B33" s="10"/>
      <c r="D33" s="10"/>
      <c r="E33" s="10"/>
      <c r="F33" s="10"/>
    </row>
    <row r="34" spans="1:6">
      <c r="A34" s="46"/>
      <c r="B34" s="10"/>
      <c r="D34" s="10"/>
      <c r="E34" s="10"/>
      <c r="F34" s="10"/>
    </row>
    <row r="35" spans="1:6">
      <c r="A35" s="46"/>
      <c r="B35" s="10"/>
      <c r="D35" s="10"/>
      <c r="E35" s="10"/>
      <c r="F35" s="10"/>
    </row>
    <row r="36" spans="1:6">
      <c r="A36" s="60"/>
      <c r="B36" s="10"/>
      <c r="D36" s="10"/>
      <c r="E36" s="10"/>
      <c r="F36" s="10"/>
    </row>
    <row r="37" spans="1:6">
      <c r="A37" s="60"/>
      <c r="B37" s="10"/>
      <c r="D37" s="10"/>
      <c r="E37" s="10"/>
      <c r="F37" s="10"/>
    </row>
    <row r="38" spans="1:6">
      <c r="A38" s="46"/>
      <c r="B38" s="10"/>
      <c r="D38" s="10"/>
      <c r="E38" s="10"/>
      <c r="F38" s="10"/>
    </row>
    <row r="39" spans="1:6">
      <c r="A39" s="46"/>
      <c r="B39" s="10"/>
      <c r="D39" s="10"/>
      <c r="E39" s="10"/>
      <c r="F39" s="10"/>
    </row>
    <row r="40" spans="1:6">
      <c r="A40" s="46"/>
      <c r="B40" s="10"/>
      <c r="D40" s="10"/>
      <c r="E40" s="10"/>
      <c r="F40" s="10"/>
    </row>
    <row r="41" spans="1:6">
      <c r="A41" s="46"/>
      <c r="B41" s="10"/>
      <c r="D41" s="10"/>
      <c r="E41" s="10"/>
      <c r="F41" s="10"/>
    </row>
    <row r="42" spans="1:6">
      <c r="A42" s="46"/>
      <c r="B42" s="10"/>
      <c r="D42" s="10"/>
      <c r="E42" s="10"/>
      <c r="F42" s="10"/>
    </row>
    <row r="43" spans="1:6">
      <c r="A43" s="46"/>
      <c r="B43" s="10"/>
      <c r="D43" s="10"/>
      <c r="E43" s="10"/>
      <c r="F43" s="10"/>
    </row>
    <row r="44" spans="1:6">
      <c r="A44" s="46"/>
      <c r="B44" s="10"/>
      <c r="D44" s="10"/>
      <c r="E44" s="10"/>
      <c r="F44" s="10"/>
    </row>
    <row r="45" spans="1:6">
      <c r="A45" s="46"/>
      <c r="B45" s="10"/>
      <c r="D45" s="10"/>
      <c r="E45" s="10"/>
      <c r="F45" s="10"/>
    </row>
    <row r="46" spans="1:6">
      <c r="A46" s="46"/>
      <c r="B46" s="10"/>
      <c r="D46" s="10"/>
      <c r="E46" s="10"/>
      <c r="F46" s="10"/>
    </row>
    <row r="47" spans="1:6">
      <c r="A47" s="46"/>
      <c r="B47" s="10"/>
      <c r="D47" s="10"/>
      <c r="E47" s="10"/>
      <c r="F47" s="10"/>
    </row>
    <row r="48" spans="1:6">
      <c r="A48" s="46"/>
      <c r="B48" s="10"/>
      <c r="D48" s="10"/>
      <c r="E48" s="10"/>
      <c r="F48" s="10"/>
    </row>
    <row r="49" spans="1:21">
      <c r="A49" s="46"/>
      <c r="B49" s="10"/>
      <c r="D49" s="10"/>
      <c r="E49" s="10"/>
      <c r="F49" s="10"/>
    </row>
    <row r="50" spans="1:21">
      <c r="A50" s="46"/>
      <c r="B50" s="10"/>
      <c r="D50" s="10"/>
      <c r="E50" s="10"/>
      <c r="F50" s="10"/>
    </row>
    <row r="51" spans="1:21">
      <c r="A51" s="46"/>
      <c r="B51" s="10"/>
      <c r="D51" s="10"/>
      <c r="E51" s="10"/>
      <c r="F51" s="10"/>
    </row>
    <row r="52" spans="1:21">
      <c r="A52" s="46"/>
      <c r="B52" s="10"/>
      <c r="D52" s="10"/>
      <c r="E52" s="10"/>
      <c r="F52" s="10"/>
    </row>
    <row r="53" spans="1:21">
      <c r="A53" s="46"/>
      <c r="B53" s="10"/>
      <c r="D53" s="10"/>
      <c r="E53" s="10"/>
      <c r="F53" s="10"/>
    </row>
    <row r="54" spans="1:21">
      <c r="A54" s="46"/>
      <c r="B54" s="10"/>
      <c r="D54" s="10"/>
      <c r="E54" s="10"/>
      <c r="F54" s="10"/>
    </row>
    <row r="55" spans="1:21">
      <c r="A55" s="46"/>
      <c r="B55" s="10"/>
    </row>
    <row r="56" spans="1:21">
      <c r="A56" s="65" t="s">
        <v>182</v>
      </c>
      <c r="B56" s="65"/>
      <c r="D56" s="104" t="s">
        <v>222</v>
      </c>
      <c r="E56" s="105"/>
      <c r="F56" s="105"/>
      <c r="G56" s="106"/>
      <c r="I56" s="98" t="s">
        <v>224</v>
      </c>
      <c r="J56" s="99"/>
      <c r="K56" s="99"/>
      <c r="L56" s="99"/>
      <c r="M56" s="100"/>
      <c r="O56" s="94" t="s">
        <v>229</v>
      </c>
      <c r="P56" s="94"/>
      <c r="Q56" s="94"/>
      <c r="R56" s="94"/>
      <c r="S56" s="94"/>
      <c r="T56" s="94"/>
      <c r="U56" s="94"/>
    </row>
    <row r="57" spans="1:21">
      <c r="A57" s="32" t="s">
        <v>251</v>
      </c>
      <c r="B57" s="33" t="s">
        <v>252</v>
      </c>
      <c r="D57" s="34" t="s">
        <v>220</v>
      </c>
      <c r="E57" s="34" t="s">
        <v>219</v>
      </c>
      <c r="F57" s="34" t="s">
        <v>221</v>
      </c>
      <c r="G57" s="34" t="s">
        <v>223</v>
      </c>
      <c r="I57" s="101" t="s">
        <v>225</v>
      </c>
      <c r="J57" s="102"/>
      <c r="K57" s="103"/>
      <c r="L57" s="101" t="s">
        <v>226</v>
      </c>
      <c r="M57" s="103"/>
      <c r="O57" s="95" t="s">
        <v>227</v>
      </c>
      <c r="P57" s="96"/>
      <c r="Q57" s="96"/>
      <c r="R57" s="96"/>
      <c r="S57" s="97"/>
      <c r="T57" s="95" t="s">
        <v>228</v>
      </c>
      <c r="U57" s="97"/>
    </row>
    <row r="58" spans="1:21">
      <c r="A58" s="46" t="s">
        <v>101</v>
      </c>
      <c r="B58" s="10" t="s">
        <v>3</v>
      </c>
      <c r="D58" s="10" t="str">
        <f>IF(INDEX($A$3:$B$25,MATCH(D3,$A$3:$A$25,0),2)&lt;&gt;0,INDEX($A$3:$B$25,MATCH(D3,$A$3:$A$25,0),2),D3)</f>
        <v>politico</v>
      </c>
      <c r="E58" s="10" t="str">
        <f>IF(INDEX($A$58:$B$66,MATCH(E3,$A$58:$A$66,0),2)&lt;&gt;0,INDEX($A$58:$B$66,MATCH(E3,$A$58:$A$66,0),2),E3)</f>
        <v>rdfs:subClassOf</v>
      </c>
      <c r="F58" s="10" t="str">
        <f>IF(INDEX($A$3:$B$25,MATCH(F3,$A$3:$A$25,0),2)&lt;&gt;0,INDEX($A$3:$B$25,MATCH(F3,$A$3:$A$25,0),2),F3)</f>
        <v>nivel</v>
      </c>
      <c r="G58" s="3" t="str">
        <f>IF(INDEX($A$3:$B$25,MATCH(F3,$A$3:$A$25,0),2)&lt;&gt;0,"OK","NOK")</f>
        <v>OK</v>
      </c>
      <c r="I58" s="10" t="str">
        <f t="shared" ref="I58:I76" si="1">D58 &amp;"-"&amp;F58</f>
        <v>politico-nivel</v>
      </c>
      <c r="J58" s="10"/>
      <c r="K58" s="10"/>
      <c r="L58" s="3">
        <f>IF(INDEX(GRAFO!$L$2:'GRAFO'!$L$46,MATCH(I58,GRAFO!$L$2:'GRAFO'!$L$46,0),1)&lt;&gt;0,1,0)</f>
        <v>1</v>
      </c>
      <c r="M58" s="3">
        <f>IFERROR(L58,0)</f>
        <v>1</v>
      </c>
      <c r="O58" s="10" t="str">
        <f t="shared" ref="O58:O76" si="2">D58 &amp; "-" &amp; E58 &amp; "-" &amp; F58</f>
        <v>politico-rdfs:subClassOf-nivel</v>
      </c>
      <c r="P58" s="10"/>
      <c r="Q58" s="10"/>
      <c r="R58" s="10"/>
      <c r="S58" s="10"/>
      <c r="T58" s="10">
        <f>IF(INDEX(GRAFO!$M$2:'GRAFO'!$M$46,MATCH(O58,GRAFO!$M$2:'GRAFO'!$M$46,0),1)&lt;&gt;0,1,0)</f>
        <v>1</v>
      </c>
      <c r="U58" s="10">
        <f>IFERROR(T58,0)</f>
        <v>1</v>
      </c>
    </row>
    <row r="59" spans="1:21">
      <c r="A59" s="46" t="s">
        <v>240</v>
      </c>
      <c r="B59" s="10" t="s">
        <v>4</v>
      </c>
      <c r="D59" s="10" t="str">
        <f t="shared" ref="D59:D76" si="3">IF(INDEX($A$3:$B$25,MATCH(D4,$A$3:$A$25,0),2)&lt;&gt;0,INDEX($A$3:$B$25,MATCH(D4,$A$3:$A$25,0),2),D4)</f>
        <v>estrategico</v>
      </c>
      <c r="E59" s="10" t="str">
        <f t="shared" ref="E59:E76" si="4">IF(INDEX($A$58:$B$66,MATCH(E4,$A$58:$A$66,0),2)&lt;&gt;0,INDEX($A$58:$B$66,MATCH(E4,$A$58:$A$66,0),2),E4)</f>
        <v>rdfs:subClassOf</v>
      </c>
      <c r="F59" s="10" t="str">
        <f t="shared" ref="F59:F76" si="5">IF(INDEX($A$3:$B$25,MATCH(F4,$A$3:$A$25,0),2)&lt;&gt;0,INDEX($A$3:$B$25,MATCH(F4,$A$3:$A$25,0),2),F4)</f>
        <v>nivel</v>
      </c>
      <c r="G59" s="3" t="str">
        <f t="shared" ref="G59:G76" si="6">IF(INDEX($A$3:$B$25,MATCH(F4,$A$3:$A$25,0),2)&lt;&gt;0,"OK","NOK")</f>
        <v>OK</v>
      </c>
      <c r="I59" s="10" t="str">
        <f t="shared" si="1"/>
        <v>estrategico-nivel</v>
      </c>
      <c r="J59" s="10"/>
      <c r="K59" s="10"/>
      <c r="L59" s="3">
        <f>IF(INDEX(GRAFO!$L$2:'GRAFO'!$L$46,MATCH(I59,GRAFO!$L$2:'GRAFO'!$L$46,0),1)&lt;&gt;0,1,0)</f>
        <v>1</v>
      </c>
      <c r="M59" s="3">
        <f t="shared" ref="M59:M76" si="7">IFERROR(L59,0)</f>
        <v>1</v>
      </c>
      <c r="O59" s="10" t="str">
        <f t="shared" si="2"/>
        <v>estrategico-rdfs:subClassOf-nivel</v>
      </c>
      <c r="P59" s="10"/>
      <c r="Q59" s="10"/>
      <c r="R59" s="10"/>
      <c r="S59" s="10"/>
      <c r="T59" s="10">
        <f>IF(INDEX(GRAFO!$M$2:'GRAFO'!$M$46,MATCH(O59,GRAFO!$M$2:'GRAFO'!$M$46,0),1)&lt;&gt;0,1,0)</f>
        <v>1</v>
      </c>
      <c r="U59" s="10">
        <f t="shared" ref="U59:U76" si="8">IFERROR(T59,0)</f>
        <v>1</v>
      </c>
    </row>
    <row r="60" spans="1:21">
      <c r="A60" s="46" t="s">
        <v>282</v>
      </c>
      <c r="B60" s="10" t="s">
        <v>4</v>
      </c>
      <c r="D60" s="10" t="str">
        <f t="shared" si="3"/>
        <v>operacional</v>
      </c>
      <c r="E60" s="10" t="str">
        <f t="shared" si="4"/>
        <v>rdfs:subClassOf</v>
      </c>
      <c r="F60" s="10" t="str">
        <f t="shared" si="5"/>
        <v>nivel</v>
      </c>
      <c r="G60" s="3" t="str">
        <f t="shared" si="6"/>
        <v>OK</v>
      </c>
      <c r="I60" s="10" t="str">
        <f t="shared" si="1"/>
        <v>operacional-nivel</v>
      </c>
      <c r="J60" s="10"/>
      <c r="K60" s="10"/>
      <c r="L60" s="3">
        <f>IF(INDEX(GRAFO!$L$2:'GRAFO'!$L$46,MATCH(I60,GRAFO!$L$2:'GRAFO'!$L$46,0),1)&lt;&gt;0,1,0)</f>
        <v>1</v>
      </c>
      <c r="M60" s="3">
        <f t="shared" si="7"/>
        <v>1</v>
      </c>
      <c r="O60" s="10" t="str">
        <f t="shared" si="2"/>
        <v>operacional-rdfs:subClassOf-nivel</v>
      </c>
      <c r="P60" s="10"/>
      <c r="Q60" s="10"/>
      <c r="R60" s="10"/>
      <c r="S60" s="10"/>
      <c r="T60" s="10">
        <f>IF(INDEX(GRAFO!$M$2:'GRAFO'!$M$46,MATCH(O60,GRAFO!$M$2:'GRAFO'!$M$46,0),1)&lt;&gt;0,1,0)</f>
        <v>1</v>
      </c>
      <c r="U60" s="10">
        <f t="shared" si="8"/>
        <v>1</v>
      </c>
    </row>
    <row r="61" spans="1:21">
      <c r="A61" s="46" t="s">
        <v>107</v>
      </c>
      <c r="B61" s="10" t="s">
        <v>7</v>
      </c>
      <c r="D61" s="10" t="str">
        <f t="shared" si="3"/>
        <v>tatico</v>
      </c>
      <c r="E61" s="10" t="str">
        <f t="shared" si="4"/>
        <v>rdfs:subClassOf</v>
      </c>
      <c r="F61" s="10" t="str">
        <f t="shared" si="5"/>
        <v>nivel</v>
      </c>
      <c r="G61" s="3" t="str">
        <f t="shared" si="6"/>
        <v>OK</v>
      </c>
      <c r="I61" s="10" t="str">
        <f t="shared" si="1"/>
        <v>tatico-nivel</v>
      </c>
      <c r="J61" s="10"/>
      <c r="K61" s="10"/>
      <c r="L61" s="3">
        <f>IF(INDEX(GRAFO!$L$2:'GRAFO'!$L$46,MATCH(I61,GRAFO!$L$2:'GRAFO'!$L$46,0),1)&lt;&gt;0,1,0)</f>
        <v>1</v>
      </c>
      <c r="M61" s="3">
        <f t="shared" si="7"/>
        <v>1</v>
      </c>
      <c r="O61" s="10" t="str">
        <f t="shared" si="2"/>
        <v>tatico-rdfs:subClassOf-nivel</v>
      </c>
      <c r="P61" s="10"/>
      <c r="Q61" s="10"/>
      <c r="R61" s="10"/>
      <c r="S61" s="10"/>
      <c r="T61" s="10">
        <f>IF(INDEX(GRAFO!$M$2:'GRAFO'!$M$46,MATCH(O61,GRAFO!$M$2:'GRAFO'!$M$46,0),1)&lt;&gt;0,1,0)</f>
        <v>1</v>
      </c>
      <c r="U61" s="10">
        <f t="shared" si="8"/>
        <v>1</v>
      </c>
    </row>
    <row r="62" spans="1:21">
      <c r="A62" s="46" t="s">
        <v>472</v>
      </c>
      <c r="B62" s="10" t="s">
        <v>4</v>
      </c>
      <c r="D62" s="10" t="str">
        <f t="shared" si="3"/>
        <v>operacao_conjunta</v>
      </c>
      <c r="E62" s="10" t="str">
        <f t="shared" si="4"/>
        <v>rdfs:seeAlso</v>
      </c>
      <c r="F62" s="10" t="str">
        <f t="shared" si="5"/>
        <v>nivel</v>
      </c>
      <c r="G62" s="3" t="str">
        <f t="shared" si="6"/>
        <v>OK</v>
      </c>
      <c r="I62" s="10" t="str">
        <f t="shared" si="1"/>
        <v>operacao_conjunta-nivel</v>
      </c>
      <c r="J62" s="10"/>
      <c r="K62" s="10"/>
      <c r="L62" s="3" t="e">
        <f>IF(INDEX(GRAFO!$L$2:'GRAFO'!$L$46,MATCH(I62,GRAFO!$L$2:'GRAFO'!$L$46,0),1)&lt;&gt;0,1,0)</f>
        <v>#N/A</v>
      </c>
      <c r="M62" s="3">
        <f t="shared" si="7"/>
        <v>0</v>
      </c>
      <c r="O62" s="10" t="str">
        <f t="shared" si="2"/>
        <v>operacao_conjunta-rdfs:seeAlso-nivel</v>
      </c>
      <c r="P62" s="10"/>
      <c r="Q62" s="10"/>
      <c r="R62" s="10"/>
      <c r="S62" s="10"/>
      <c r="T62" s="10" t="e">
        <f>IF(INDEX(GRAFO!$M$2:'GRAFO'!$M$46,MATCH(O62,GRAFO!$M$2:'GRAFO'!$M$46,0),1)&lt;&gt;0,1,0)</f>
        <v>#N/A</v>
      </c>
      <c r="U62" s="10">
        <f t="shared" si="8"/>
        <v>0</v>
      </c>
    </row>
    <row r="63" spans="1:21">
      <c r="A63" s="46" t="s">
        <v>167</v>
      </c>
      <c r="B63" s="10" t="s">
        <v>7</v>
      </c>
      <c r="D63" s="10" t="str">
        <f t="shared" si="3"/>
        <v>operacionais</v>
      </c>
      <c r="E63" s="10" t="str">
        <f t="shared" si="4"/>
        <v>rdfs:subClassOf</v>
      </c>
      <c r="F63" s="10" t="str">
        <f t="shared" si="5"/>
        <v>objetivos</v>
      </c>
      <c r="G63" s="3" t="str">
        <f t="shared" si="6"/>
        <v>NOK</v>
      </c>
      <c r="H63">
        <f>COUNTIFS(GRAFO!C2:C42,"=D34",GRAFO!E2:E42,"=F34")</f>
        <v>0</v>
      </c>
      <c r="I63" s="10" t="str">
        <f t="shared" si="1"/>
        <v>operacionais-objetivos</v>
      </c>
      <c r="J63" s="10"/>
      <c r="K63" s="10"/>
      <c r="L63" s="3" t="e">
        <f>IF(INDEX(GRAFO!$L$2:'GRAFO'!$L$46,MATCH(I63,GRAFO!$L$2:'GRAFO'!$L$46,0),1)&lt;&gt;0,1,0)</f>
        <v>#N/A</v>
      </c>
      <c r="M63" s="3">
        <f t="shared" si="7"/>
        <v>0</v>
      </c>
      <c r="O63" s="10" t="str">
        <f t="shared" si="2"/>
        <v>operacionais-rdfs:subClassOf-objetivos</v>
      </c>
      <c r="P63" s="10"/>
      <c r="Q63" s="10"/>
      <c r="R63" s="10"/>
      <c r="S63" s="10"/>
      <c r="T63" s="10" t="e">
        <f>IF(INDEX(GRAFO!$M$2:'GRAFO'!$M$46,MATCH(O63,GRAFO!$M$2:'GRAFO'!$M$46,0),1)&lt;&gt;0,1,0)</f>
        <v>#N/A</v>
      </c>
      <c r="U63" s="10">
        <f t="shared" si="8"/>
        <v>0</v>
      </c>
    </row>
    <row r="64" spans="1:21">
      <c r="A64" s="46" t="s">
        <v>338</v>
      </c>
      <c r="B64" s="10" t="s">
        <v>205</v>
      </c>
      <c r="D64" s="10" t="str">
        <f t="shared" si="3"/>
        <v>politicos</v>
      </c>
      <c r="E64" s="10" t="str">
        <f t="shared" si="4"/>
        <v>rdfs:subClassOf</v>
      </c>
      <c r="F64" s="10" t="str">
        <f t="shared" si="5"/>
        <v>objetivos</v>
      </c>
      <c r="G64" s="3" t="str">
        <f t="shared" si="6"/>
        <v>NOK</v>
      </c>
      <c r="I64" s="10" t="str">
        <f t="shared" si="1"/>
        <v>politicos-objetivos</v>
      </c>
      <c r="J64" s="10"/>
      <c r="K64" s="10"/>
      <c r="L64" s="3" t="e">
        <f>IF(INDEX(GRAFO!$L$2:'GRAFO'!$L$46,MATCH(I64,GRAFO!$L$2:'GRAFO'!$L$46,0),1)&lt;&gt;0,1,0)</f>
        <v>#N/A</v>
      </c>
      <c r="M64" s="3">
        <f t="shared" si="7"/>
        <v>0</v>
      </c>
      <c r="O64" s="10" t="str">
        <f t="shared" si="2"/>
        <v>politicos-rdfs:subClassOf-objetivos</v>
      </c>
      <c r="P64" s="10"/>
      <c r="Q64" s="10"/>
      <c r="R64" s="10"/>
      <c r="S64" s="10"/>
      <c r="T64" s="10" t="e">
        <f>IF(INDEX(GRAFO!$M$2:'GRAFO'!$M$46,MATCH(O64,GRAFO!$M$2:'GRAFO'!$M$46,0),1)&lt;&gt;0,1,0)</f>
        <v>#N/A</v>
      </c>
      <c r="U64" s="10">
        <f t="shared" si="8"/>
        <v>0</v>
      </c>
    </row>
    <row r="65" spans="1:21">
      <c r="A65" s="46" t="s">
        <v>142</v>
      </c>
      <c r="B65" s="10" t="s">
        <v>7</v>
      </c>
      <c r="C65" s="24"/>
      <c r="D65" s="10" t="str">
        <f t="shared" si="3"/>
        <v>politico</v>
      </c>
      <c r="E65" s="10" t="str">
        <f t="shared" si="4"/>
        <v>rdfs:seeAlso</v>
      </c>
      <c r="F65" s="10" t="str">
        <f t="shared" si="5"/>
        <v>dped</v>
      </c>
      <c r="G65" s="3" t="str">
        <f t="shared" si="6"/>
        <v>NOK</v>
      </c>
      <c r="I65" s="10" t="str">
        <f t="shared" si="1"/>
        <v>politico-dped</v>
      </c>
      <c r="J65" s="10"/>
      <c r="K65" s="10"/>
      <c r="L65" s="3" t="e">
        <f>IF(INDEX(GRAFO!$L$2:'GRAFO'!$L$46,MATCH(I65,GRAFO!$L$2:'GRAFO'!$L$46,0),1)&lt;&gt;0,1,0)</f>
        <v>#N/A</v>
      </c>
      <c r="M65" s="3">
        <f t="shared" si="7"/>
        <v>0</v>
      </c>
      <c r="O65" s="10" t="str">
        <f t="shared" si="2"/>
        <v>politico-rdfs:seeAlso-dped</v>
      </c>
      <c r="P65" s="10"/>
      <c r="Q65" s="10"/>
      <c r="R65" s="10"/>
      <c r="S65" s="10"/>
      <c r="T65" s="10" t="e">
        <f>IF(INDEX(GRAFO!$M$2:'GRAFO'!$M$46,MATCH(O65,GRAFO!$M$2:'GRAFO'!$M$46,0),1)&lt;&gt;0,1,0)</f>
        <v>#N/A</v>
      </c>
      <c r="U65" s="10">
        <f t="shared" si="8"/>
        <v>0</v>
      </c>
    </row>
    <row r="66" spans="1:21">
      <c r="A66" s="10" t="s">
        <v>327</v>
      </c>
      <c r="B66" s="10" t="s">
        <v>4</v>
      </c>
      <c r="C66" s="64" t="str">
        <f t="shared" ref="C66:C81" si="9">IF(INDEX($A$3:$B$18,MATCH(D3,$A$3:$A$17,0),2)&lt;&gt;0,"OK","NOK")</f>
        <v>OK</v>
      </c>
      <c r="D66" s="10" t="str">
        <f t="shared" si="3"/>
        <v>tatico</v>
      </c>
      <c r="E66" s="10" t="str">
        <f t="shared" si="4"/>
        <v>rdfs:seeAlso</v>
      </c>
      <c r="F66" s="10" t="str">
        <f t="shared" si="5"/>
        <v>forca_componente</v>
      </c>
      <c r="G66" s="3" t="str">
        <f t="shared" si="6"/>
        <v>OK</v>
      </c>
      <c r="I66" s="10" t="str">
        <f t="shared" si="1"/>
        <v>tatico-forca_componente</v>
      </c>
      <c r="J66" s="10"/>
      <c r="K66" s="10"/>
      <c r="L66" s="3" t="e">
        <f>IF(INDEX(GRAFO!$L$2:'GRAFO'!$L$46,MATCH(I66,GRAFO!$L$2:'GRAFO'!$L$46,0),1)&lt;&gt;0,1,0)</f>
        <v>#N/A</v>
      </c>
      <c r="M66" s="3">
        <f t="shared" si="7"/>
        <v>0</v>
      </c>
      <c r="O66" s="10" t="str">
        <f t="shared" si="2"/>
        <v>tatico-rdfs:seeAlso-forca_componente</v>
      </c>
      <c r="P66" s="10"/>
      <c r="Q66" s="10"/>
      <c r="R66" s="10"/>
      <c r="S66" s="10"/>
      <c r="T66" s="10" t="e">
        <f>IF(INDEX(GRAFO!$M$2:'GRAFO'!$M$46,MATCH(O66,GRAFO!$M$2:'GRAFO'!$M$46,0),1)&lt;&gt;0,1,0)</f>
        <v>#N/A</v>
      </c>
      <c r="U66" s="10">
        <f t="shared" si="8"/>
        <v>0</v>
      </c>
    </row>
    <row r="67" spans="1:21">
      <c r="A67" s="10"/>
      <c r="B67" s="10"/>
      <c r="C67" s="64" t="str">
        <f t="shared" si="9"/>
        <v>OK</v>
      </c>
      <c r="D67" s="10" t="str">
        <f t="shared" si="3"/>
        <v>operacional</v>
      </c>
      <c r="E67" s="10" t="str">
        <f t="shared" si="4"/>
        <v>rdfs:seeAlso</v>
      </c>
      <c r="F67" s="10" t="str">
        <f t="shared" si="5"/>
        <v>plan_militar_campanha</v>
      </c>
      <c r="G67" s="3" t="str">
        <f t="shared" si="6"/>
        <v>NOK</v>
      </c>
      <c r="I67" s="10" t="str">
        <f t="shared" si="1"/>
        <v>operacional-plan_militar_campanha</v>
      </c>
      <c r="J67" s="10"/>
      <c r="K67" s="10"/>
      <c r="L67" s="3" t="e">
        <f>IF(INDEX(GRAFO!$L$2:'GRAFO'!$L$46,MATCH(I67,GRAFO!$L$2:'GRAFO'!$L$46,0),1)&lt;&gt;0,1,0)</f>
        <v>#N/A</v>
      </c>
      <c r="M67" s="3">
        <f t="shared" si="7"/>
        <v>0</v>
      </c>
      <c r="O67" s="10" t="str">
        <f t="shared" si="2"/>
        <v>operacional-rdfs:seeAlso-plan_militar_campanha</v>
      </c>
      <c r="P67" s="10"/>
      <c r="Q67" s="10"/>
      <c r="R67" s="10"/>
      <c r="S67" s="10"/>
      <c r="T67" s="10" t="e">
        <f>IF(INDEX(GRAFO!$M$2:'GRAFO'!$M$46,MATCH(O67,GRAFO!$M$2:'GRAFO'!$M$46,0),1)&lt;&gt;0,1,0)</f>
        <v>#N/A</v>
      </c>
      <c r="U67" s="10">
        <f t="shared" si="8"/>
        <v>0</v>
      </c>
    </row>
    <row r="68" spans="1:21">
      <c r="A68" s="10"/>
      <c r="B68" s="10"/>
      <c r="C68" s="64" t="str">
        <f t="shared" si="9"/>
        <v>OK</v>
      </c>
      <c r="D68" s="10" t="str">
        <f t="shared" si="3"/>
        <v>estrategico</v>
      </c>
      <c r="E68" s="10" t="str">
        <f t="shared" si="4"/>
        <v>rdfs:seeAlso</v>
      </c>
      <c r="F68" s="10" t="str">
        <f t="shared" si="5"/>
        <v>planos_taticos_f_comp</v>
      </c>
      <c r="G68" s="3" t="str">
        <f t="shared" si="6"/>
        <v>NOK</v>
      </c>
      <c r="I68" s="10" t="str">
        <f t="shared" si="1"/>
        <v>estrategico-planos_taticos_f_comp</v>
      </c>
      <c r="J68" s="10"/>
      <c r="K68" s="10"/>
      <c r="L68" s="3" t="e">
        <f>IF(INDEX(GRAFO!$L$2:'GRAFO'!$L$46,MATCH(I68,GRAFO!$L$2:'GRAFO'!$L$46,0),1)&lt;&gt;0,1,0)</f>
        <v>#N/A</v>
      </c>
      <c r="M68" s="3">
        <f t="shared" si="7"/>
        <v>0</v>
      </c>
      <c r="O68" s="10" t="str">
        <f t="shared" si="2"/>
        <v>estrategico-rdfs:seeAlso-planos_taticos_f_comp</v>
      </c>
      <c r="P68" s="10"/>
      <c r="Q68" s="10"/>
      <c r="R68" s="10"/>
      <c r="S68" s="10"/>
      <c r="T68" s="10" t="e">
        <f>IF(INDEX(GRAFO!$M$2:'GRAFO'!$M$46,MATCH(O68,GRAFO!$M$2:'GRAFO'!$M$46,0),1)&lt;&gt;0,1,0)</f>
        <v>#N/A</v>
      </c>
      <c r="U68" s="10">
        <f t="shared" si="8"/>
        <v>0</v>
      </c>
    </row>
    <row r="69" spans="1:21">
      <c r="A69" s="46"/>
      <c r="B69" s="10"/>
      <c r="C69" s="64" t="str">
        <f t="shared" si="9"/>
        <v>OK</v>
      </c>
      <c r="D69" s="10" t="str">
        <f t="shared" si="3"/>
        <v>planos_taticos_f_comp</v>
      </c>
      <c r="E69" s="10" t="str">
        <f t="shared" si="4"/>
        <v>rdfs:seeAlso</v>
      </c>
      <c r="F69" s="10" t="str">
        <f t="shared" si="5"/>
        <v>areas_responsabilidade</v>
      </c>
      <c r="G69" s="3" t="str">
        <f t="shared" si="6"/>
        <v>NOK</v>
      </c>
      <c r="I69" s="10" t="str">
        <f t="shared" si="1"/>
        <v>planos_taticos_f_comp-areas_responsabilidade</v>
      </c>
      <c r="J69" s="10"/>
      <c r="K69" s="10"/>
      <c r="L69" s="3" t="e">
        <f>IF(INDEX(GRAFO!$L$2:'GRAFO'!$L$46,MATCH(I69,GRAFO!$L$2:'GRAFO'!$L$46,0),1)&lt;&gt;0,1,0)</f>
        <v>#N/A</v>
      </c>
      <c r="M69" s="3">
        <f t="shared" si="7"/>
        <v>0</v>
      </c>
      <c r="O69" s="10" t="str">
        <f t="shared" si="2"/>
        <v>planos_taticos_f_comp-rdfs:seeAlso-areas_responsabilidade</v>
      </c>
      <c r="P69" s="10"/>
      <c r="Q69" s="10"/>
      <c r="R69" s="10"/>
      <c r="S69" s="10"/>
      <c r="T69" s="10" t="e">
        <f>IF(INDEX(GRAFO!$M$2:'GRAFO'!$M$46,MATCH(O69,GRAFO!$M$2:'GRAFO'!$M$46,0),1)&lt;&gt;0,1,0)</f>
        <v>#N/A</v>
      </c>
      <c r="U69" s="10">
        <f t="shared" si="8"/>
        <v>0</v>
      </c>
    </row>
    <row r="70" spans="1:21">
      <c r="A70" s="10"/>
      <c r="B70" s="10"/>
      <c r="C70" s="64" t="str">
        <f t="shared" si="9"/>
        <v>OK</v>
      </c>
      <c r="D70" s="10" t="str">
        <f t="shared" si="3"/>
        <v>planos_taticos_f_comp</v>
      </c>
      <c r="E70" s="10" t="str">
        <f t="shared" si="4"/>
        <v>rdfs:seeAlso</v>
      </c>
      <c r="F70" s="10" t="str">
        <f t="shared" si="5"/>
        <v>planos_oper</v>
      </c>
      <c r="G70" s="3" t="str">
        <f t="shared" si="6"/>
        <v>NOK</v>
      </c>
      <c r="I70" s="10" t="str">
        <f t="shared" si="1"/>
        <v>planos_taticos_f_comp-planos_oper</v>
      </c>
      <c r="J70" s="10"/>
      <c r="K70" s="10"/>
      <c r="L70" s="3" t="e">
        <f>IF(INDEX(GRAFO!$L$2:'GRAFO'!$L$46,MATCH(I70,GRAFO!$L$2:'GRAFO'!$L$46,0),1)&lt;&gt;0,1,0)</f>
        <v>#N/A</v>
      </c>
      <c r="M70" s="3">
        <f t="shared" si="7"/>
        <v>0</v>
      </c>
      <c r="O70" s="10" t="str">
        <f t="shared" si="2"/>
        <v>planos_taticos_f_comp-rdfs:seeAlso-planos_oper</v>
      </c>
      <c r="P70" s="10"/>
      <c r="Q70" s="10"/>
      <c r="R70" s="10"/>
      <c r="S70" s="10"/>
      <c r="T70" s="10" t="e">
        <f>IF(INDEX(GRAFO!$M$2:'GRAFO'!$M$46,MATCH(O70,GRAFO!$M$2:'GRAFO'!$M$46,0),1)&lt;&gt;0,1,0)</f>
        <v>#N/A</v>
      </c>
      <c r="U70" s="10">
        <f t="shared" si="8"/>
        <v>0</v>
      </c>
    </row>
    <row r="71" spans="1:21">
      <c r="A71" s="10"/>
      <c r="B71" s="10"/>
      <c r="C71" s="64" t="e">
        <f t="shared" si="9"/>
        <v>#N/A</v>
      </c>
      <c r="D71" s="10" t="str">
        <f t="shared" si="3"/>
        <v>planos_oper</v>
      </c>
      <c r="E71" s="10" t="str">
        <f t="shared" si="4"/>
        <v>rdfs:seeAlso</v>
      </c>
      <c r="F71" s="10" t="str">
        <f t="shared" si="5"/>
        <v>dmed</v>
      </c>
      <c r="G71" s="3" t="str">
        <f t="shared" si="6"/>
        <v>NOK</v>
      </c>
      <c r="I71" s="10" t="str">
        <f t="shared" si="1"/>
        <v>planos_oper-dmed</v>
      </c>
      <c r="J71" s="10"/>
      <c r="K71" s="10"/>
      <c r="L71" s="3" t="e">
        <f>IF(INDEX(GRAFO!$L$2:'GRAFO'!$L$46,MATCH(I71,GRAFO!$L$2:'GRAFO'!$L$46,0),1)&lt;&gt;0,1,0)</f>
        <v>#N/A</v>
      </c>
      <c r="M71" s="3">
        <f t="shared" si="7"/>
        <v>0</v>
      </c>
      <c r="O71" s="10" t="str">
        <f t="shared" si="2"/>
        <v>planos_oper-rdfs:seeAlso-dmed</v>
      </c>
      <c r="P71" s="10"/>
      <c r="Q71" s="10"/>
      <c r="R71" s="10"/>
      <c r="S71" s="10"/>
      <c r="T71" s="10" t="e">
        <f>IF(INDEX(GRAFO!$M$2:'GRAFO'!$M$46,MATCH(O71,GRAFO!$M$2:'GRAFO'!$M$46,0),1)&lt;&gt;0,1,0)</f>
        <v>#N/A</v>
      </c>
      <c r="U71" s="10">
        <f t="shared" si="8"/>
        <v>0</v>
      </c>
    </row>
    <row r="72" spans="1:21">
      <c r="A72" s="46"/>
      <c r="B72" s="10"/>
      <c r="C72" s="64" t="e">
        <f t="shared" si="9"/>
        <v>#N/A</v>
      </c>
      <c r="D72" s="10" t="str">
        <f t="shared" si="3"/>
        <v>comandos_operacionais</v>
      </c>
      <c r="E72" s="10" t="str">
        <f t="shared" si="4"/>
        <v>rdfs:seeAlso</v>
      </c>
      <c r="F72" s="10" t="str">
        <f t="shared" si="5"/>
        <v>planos_oper</v>
      </c>
      <c r="G72" s="3" t="str">
        <f t="shared" si="6"/>
        <v>NOK</v>
      </c>
      <c r="I72" s="10" t="str">
        <f t="shared" si="1"/>
        <v>comandos_operacionais-planos_oper</v>
      </c>
      <c r="J72" s="10"/>
      <c r="K72" s="10"/>
      <c r="L72" s="3" t="e">
        <f>IF(INDEX(GRAFO!$L$2:'GRAFO'!$L$46,MATCH(I72,GRAFO!$L$2:'GRAFO'!$L$46,0),1)&lt;&gt;0,1,0)</f>
        <v>#N/A</v>
      </c>
      <c r="M72" s="3">
        <f t="shared" si="7"/>
        <v>0</v>
      </c>
      <c r="O72" s="10" t="str">
        <f t="shared" si="2"/>
        <v>comandos_operacionais-rdfs:seeAlso-planos_oper</v>
      </c>
      <c r="P72" s="10"/>
      <c r="Q72" s="10"/>
      <c r="R72" s="10"/>
      <c r="S72" s="10"/>
      <c r="T72" s="10" t="e">
        <f>IF(INDEX(GRAFO!$M$2:'GRAFO'!$M$46,MATCH(O72,GRAFO!$M$2:'GRAFO'!$M$46,0),1)&lt;&gt;0,1,0)</f>
        <v>#N/A</v>
      </c>
      <c r="U72" s="10">
        <f t="shared" si="8"/>
        <v>0</v>
      </c>
    </row>
    <row r="73" spans="1:21">
      <c r="A73" s="46"/>
      <c r="B73" s="10"/>
      <c r="C73" s="64" t="str">
        <f t="shared" si="9"/>
        <v>OK</v>
      </c>
      <c r="D73" s="10" t="str">
        <f t="shared" si="3"/>
        <v>comandos_operacionais</v>
      </c>
      <c r="E73" s="10" t="str">
        <f t="shared" si="4"/>
        <v>c2rm:responsible_for</v>
      </c>
      <c r="F73" s="10" t="str">
        <f t="shared" si="5"/>
        <v>plan_militar_campanha</v>
      </c>
      <c r="G73" s="3" t="str">
        <f t="shared" si="6"/>
        <v>NOK</v>
      </c>
      <c r="I73" s="10" t="str">
        <f t="shared" si="1"/>
        <v>comandos_operacionais-plan_militar_campanha</v>
      </c>
      <c r="J73" s="10"/>
      <c r="K73" s="10"/>
      <c r="L73" s="3" t="e">
        <f>IF(INDEX(GRAFO!$L$2:'GRAFO'!$L$46,MATCH(I73,GRAFO!$L$2:'GRAFO'!$L$46,0),1)&lt;&gt;0,1,0)</f>
        <v>#N/A</v>
      </c>
      <c r="M73" s="3">
        <f t="shared" si="7"/>
        <v>0</v>
      </c>
      <c r="O73" s="10" t="str">
        <f t="shared" si="2"/>
        <v>comandos_operacionais-c2rm:responsible_for-plan_militar_campanha</v>
      </c>
      <c r="P73" s="10"/>
      <c r="Q73" s="10"/>
      <c r="R73" s="10"/>
      <c r="S73" s="10"/>
      <c r="T73" s="10" t="e">
        <f>IF(INDEX(GRAFO!$M$2:'GRAFO'!$M$46,MATCH(O73,GRAFO!$M$2:'GRAFO'!$M$46,0),1)&lt;&gt;0,1,0)</f>
        <v>#N/A</v>
      </c>
      <c r="U73" s="10">
        <f t="shared" si="8"/>
        <v>0</v>
      </c>
    </row>
    <row r="74" spans="1:21">
      <c r="A74" s="10"/>
      <c r="B74" s="10"/>
      <c r="C74" s="64" t="str">
        <f t="shared" si="9"/>
        <v>OK</v>
      </c>
      <c r="D74" s="10" t="str">
        <f t="shared" si="3"/>
        <v>comandos_operacionais</v>
      </c>
      <c r="E74" s="10" t="str">
        <f t="shared" si="4"/>
        <v>c2rm:responsible_for</v>
      </c>
      <c r="F74" s="10" t="str">
        <f t="shared" si="5"/>
        <v>c_log</v>
      </c>
      <c r="G74" s="3" t="str">
        <f t="shared" si="6"/>
        <v>NOK</v>
      </c>
      <c r="I74" s="10" t="str">
        <f t="shared" si="1"/>
        <v>comandos_operacionais-c_log</v>
      </c>
      <c r="J74" s="10"/>
      <c r="K74" s="10"/>
      <c r="L74" s="3" t="e">
        <f>IF(INDEX(GRAFO!$L$2:'GRAFO'!$L$46,MATCH(I74,GRAFO!$L$2:'GRAFO'!$L$46,0),1)&lt;&gt;0,1,0)</f>
        <v>#N/A</v>
      </c>
      <c r="M74" s="3">
        <f t="shared" si="7"/>
        <v>0</v>
      </c>
      <c r="O74" s="10" t="str">
        <f t="shared" si="2"/>
        <v>comandos_operacionais-c2rm:responsible_for-c_log</v>
      </c>
      <c r="P74" s="10"/>
      <c r="Q74" s="10"/>
      <c r="R74" s="10"/>
      <c r="S74" s="10"/>
      <c r="T74" s="10" t="e">
        <f>IF(INDEX(GRAFO!$M$2:'GRAFO'!$M$46,MATCH(O74,GRAFO!$M$2:'GRAFO'!$M$46,0),1)&lt;&gt;0,1,0)</f>
        <v>#N/A</v>
      </c>
      <c r="U74" s="10">
        <f t="shared" si="8"/>
        <v>0</v>
      </c>
    </row>
    <row r="75" spans="1:21">
      <c r="A75" s="56"/>
      <c r="C75" s="64" t="str">
        <f t="shared" si="9"/>
        <v>OK</v>
      </c>
      <c r="D75" s="10" t="str">
        <f t="shared" si="3"/>
        <v>forcas_armadas</v>
      </c>
      <c r="E75" s="10" t="str">
        <f t="shared" si="4"/>
        <v>rdf:Bag</v>
      </c>
      <c r="F75" s="10" t="str">
        <f t="shared" si="5"/>
        <v>forca_componente</v>
      </c>
      <c r="G75" s="3" t="str">
        <f t="shared" si="6"/>
        <v>OK</v>
      </c>
      <c r="I75" s="10" t="str">
        <f t="shared" si="1"/>
        <v>forcas_armadas-forca_componente</v>
      </c>
      <c r="J75" s="10"/>
      <c r="K75" s="10"/>
      <c r="L75" s="3" t="e">
        <f>IF(INDEX(GRAFO!$L$2:'GRAFO'!$L$46,MATCH(I75,GRAFO!$L$2:'GRAFO'!$L$46,0),1)&lt;&gt;0,1,0)</f>
        <v>#N/A</v>
      </c>
      <c r="M75" s="3">
        <f t="shared" si="7"/>
        <v>0</v>
      </c>
      <c r="O75" s="10" t="str">
        <f t="shared" si="2"/>
        <v>forcas_armadas-rdf:Bag-forca_componente</v>
      </c>
      <c r="P75" s="10"/>
      <c r="Q75" s="10"/>
      <c r="R75" s="10"/>
      <c r="S75" s="10"/>
      <c r="T75" s="10" t="e">
        <f>IF(INDEX(GRAFO!$M$2:'GRAFO'!$M$46,MATCH(O75,GRAFO!$M$2:'GRAFO'!$M$46,0),1)&lt;&gt;0,1,0)</f>
        <v>#N/A</v>
      </c>
      <c r="U75" s="10">
        <f t="shared" si="8"/>
        <v>0</v>
      </c>
    </row>
    <row r="76" spans="1:21">
      <c r="A76" s="56"/>
      <c r="C76" s="64" t="str">
        <f t="shared" si="9"/>
        <v>OK</v>
      </c>
      <c r="D76" s="10" t="str">
        <f t="shared" si="3"/>
        <v>comandante_supremo</v>
      </c>
      <c r="E76" s="10" t="str">
        <f t="shared" si="4"/>
        <v>c2rm:responsible_for</v>
      </c>
      <c r="F76" s="10" t="str">
        <f t="shared" si="5"/>
        <v>dped</v>
      </c>
      <c r="G76" s="3" t="str">
        <f t="shared" si="6"/>
        <v>NOK</v>
      </c>
      <c r="I76" s="10" t="str">
        <f t="shared" si="1"/>
        <v>comandante_supremo-dped</v>
      </c>
      <c r="J76" s="10"/>
      <c r="K76" s="10"/>
      <c r="L76" s="3" t="e">
        <f>IF(INDEX(GRAFO!$L$2:'GRAFO'!$L$46,MATCH(I76,GRAFO!$L$2:'GRAFO'!$L$46,0),1)&lt;&gt;0,1,0)</f>
        <v>#N/A</v>
      </c>
      <c r="M76" s="3">
        <f t="shared" si="7"/>
        <v>0</v>
      </c>
      <c r="O76" s="10" t="str">
        <f t="shared" si="2"/>
        <v>comandante_supremo-c2rm:responsible_for-dped</v>
      </c>
      <c r="P76" s="10"/>
      <c r="Q76" s="10"/>
      <c r="R76" s="10"/>
      <c r="S76" s="10"/>
      <c r="T76" s="10" t="e">
        <f>IF(INDEX(GRAFO!$M$2:'GRAFO'!$M$46,MATCH(O76,GRAFO!$M$2:'GRAFO'!$M$46,0),1)&lt;&gt;0,1,0)</f>
        <v>#N/A</v>
      </c>
      <c r="U76" s="10">
        <f t="shared" si="8"/>
        <v>0</v>
      </c>
    </row>
    <row r="77" spans="1:21">
      <c r="A77" s="56"/>
      <c r="C77" s="64" t="e">
        <f t="shared" si="9"/>
        <v>#N/A</v>
      </c>
      <c r="D77" s="10"/>
      <c r="E77" s="10"/>
      <c r="F77" s="10"/>
      <c r="G77" s="3"/>
      <c r="I77" s="10"/>
      <c r="J77" s="10"/>
      <c r="K77" s="10"/>
      <c r="L77" s="3"/>
      <c r="M77" s="3"/>
      <c r="O77" s="10"/>
      <c r="P77" s="10"/>
      <c r="Q77" s="10"/>
      <c r="R77" s="10"/>
      <c r="S77" s="10"/>
      <c r="T77" s="10"/>
      <c r="U77" s="10"/>
    </row>
    <row r="78" spans="1:21">
      <c r="A78" s="56"/>
      <c r="C78" s="64" t="e">
        <f t="shared" si="9"/>
        <v>#N/A</v>
      </c>
      <c r="D78" s="10"/>
      <c r="E78" s="10"/>
      <c r="F78" s="10"/>
      <c r="G78" s="3"/>
      <c r="I78" s="10"/>
      <c r="J78" s="10"/>
      <c r="K78" s="10"/>
      <c r="L78" s="3"/>
      <c r="M78" s="3"/>
      <c r="O78" s="10"/>
      <c r="P78" s="10"/>
      <c r="Q78" s="10"/>
      <c r="R78" s="10"/>
      <c r="S78" s="10"/>
      <c r="T78" s="10"/>
      <c r="U78" s="10"/>
    </row>
    <row r="79" spans="1:21">
      <c r="A79" s="56"/>
      <c r="C79" s="64" t="e">
        <f t="shared" si="9"/>
        <v>#N/A</v>
      </c>
      <c r="D79" s="10"/>
      <c r="E79" s="10"/>
      <c r="F79" s="10"/>
      <c r="G79" s="3"/>
      <c r="I79" s="10"/>
      <c r="J79" s="10"/>
      <c r="K79" s="10"/>
      <c r="L79" s="3"/>
      <c r="M79" s="3"/>
      <c r="O79" s="10"/>
      <c r="P79" s="10"/>
      <c r="Q79" s="10"/>
      <c r="R79" s="10"/>
      <c r="S79" s="10"/>
      <c r="T79" s="10"/>
      <c r="U79" s="10"/>
    </row>
    <row r="80" spans="1:21">
      <c r="A80" s="56"/>
      <c r="C80" s="64" t="str">
        <f t="shared" si="9"/>
        <v>OK</v>
      </c>
      <c r="D80" s="10"/>
      <c r="E80" s="10"/>
      <c r="F80" s="10"/>
      <c r="G80" s="3"/>
      <c r="I80" s="10"/>
      <c r="J80" s="10"/>
      <c r="K80" s="10"/>
      <c r="L80" s="3"/>
      <c r="M80" s="3"/>
      <c r="O80" s="10"/>
      <c r="P80" s="10"/>
      <c r="Q80" s="10"/>
      <c r="R80" s="10"/>
      <c r="S80" s="10"/>
      <c r="T80" s="10"/>
      <c r="U80" s="10"/>
    </row>
    <row r="81" spans="1:21">
      <c r="A81" s="56"/>
      <c r="C81" s="64" t="str">
        <f t="shared" si="9"/>
        <v>OK</v>
      </c>
      <c r="D81" s="10"/>
      <c r="E81" s="10"/>
      <c r="F81" s="10"/>
      <c r="G81" s="3"/>
      <c r="I81" s="10"/>
      <c r="J81" s="10"/>
      <c r="K81" s="10"/>
      <c r="L81" s="3"/>
      <c r="M81" s="3"/>
      <c r="O81" s="10"/>
      <c r="P81" s="10"/>
      <c r="Q81" s="10"/>
      <c r="R81" s="10"/>
      <c r="S81" s="10"/>
      <c r="T81" s="10"/>
      <c r="U81" s="10"/>
    </row>
    <row r="82" spans="1:21">
      <c r="A82" s="56"/>
      <c r="D82" s="10"/>
      <c r="E82" s="10"/>
      <c r="F82" s="10"/>
      <c r="G82" s="3"/>
      <c r="I82" s="10"/>
      <c r="J82" s="10"/>
      <c r="K82" s="10"/>
      <c r="L82" s="3"/>
      <c r="M82" s="3"/>
      <c r="O82" s="10"/>
      <c r="P82" s="10"/>
      <c r="Q82" s="10"/>
      <c r="R82" s="10"/>
      <c r="S82" s="10"/>
      <c r="T82" s="10"/>
      <c r="U82" s="10"/>
    </row>
    <row r="83" spans="1:21">
      <c r="D83" s="10"/>
      <c r="E83" s="10"/>
      <c r="F83" s="10"/>
      <c r="G83" s="3"/>
      <c r="I83" s="10"/>
      <c r="J83" s="10"/>
      <c r="K83" s="10"/>
      <c r="L83" s="3"/>
      <c r="M83" s="3"/>
      <c r="O83" s="10"/>
      <c r="P83" s="10"/>
      <c r="Q83" s="10"/>
      <c r="R83" s="10"/>
      <c r="S83" s="10"/>
      <c r="T83" s="10"/>
      <c r="U83" s="10"/>
    </row>
    <row r="84" spans="1:21">
      <c r="D84" s="10"/>
      <c r="E84" s="10"/>
      <c r="F84" s="10"/>
      <c r="G84" s="3"/>
      <c r="I84" s="10"/>
      <c r="J84" s="10"/>
      <c r="K84" s="10"/>
      <c r="L84" s="3"/>
      <c r="M84" s="3"/>
      <c r="O84" s="10"/>
      <c r="P84" s="10"/>
      <c r="Q84" s="10"/>
      <c r="R84" s="10"/>
      <c r="S84" s="10"/>
      <c r="T84" s="10"/>
      <c r="U84" s="10"/>
    </row>
    <row r="85" spans="1:21">
      <c r="D85" s="10"/>
      <c r="E85" s="10"/>
      <c r="F85" s="10"/>
      <c r="G85" s="3"/>
      <c r="I85" s="10"/>
      <c r="J85" s="10"/>
      <c r="K85" s="10"/>
      <c r="L85" s="3"/>
      <c r="M85" s="3"/>
      <c r="O85" s="10"/>
      <c r="P85" s="10"/>
      <c r="Q85" s="10"/>
      <c r="R85" s="10"/>
      <c r="S85" s="10"/>
      <c r="T85" s="10"/>
      <c r="U85" s="10"/>
    </row>
    <row r="86" spans="1:21">
      <c r="D86" s="10"/>
      <c r="E86" s="10"/>
      <c r="F86" s="10"/>
      <c r="G86" s="3"/>
      <c r="I86" s="10"/>
      <c r="J86" s="10"/>
      <c r="K86" s="10"/>
      <c r="L86" s="3"/>
      <c r="M86" s="3"/>
      <c r="O86" s="10"/>
      <c r="P86" s="10"/>
      <c r="Q86" s="10"/>
      <c r="R86" s="10"/>
      <c r="S86" s="10"/>
      <c r="T86" s="10"/>
      <c r="U86" s="10"/>
    </row>
    <row r="87" spans="1:21">
      <c r="D87" s="10"/>
      <c r="E87" s="10"/>
      <c r="F87" s="10"/>
      <c r="G87" s="3"/>
      <c r="I87" s="10"/>
      <c r="J87" s="10"/>
      <c r="K87" s="10"/>
      <c r="L87" s="3"/>
      <c r="M87" s="3"/>
      <c r="O87" s="10"/>
      <c r="P87" s="10"/>
      <c r="Q87" s="10"/>
      <c r="R87" s="10"/>
      <c r="S87" s="10"/>
      <c r="T87" s="10"/>
      <c r="U87" s="10"/>
    </row>
    <row r="88" spans="1:21">
      <c r="D88" s="10"/>
      <c r="E88" s="10"/>
      <c r="F88" s="10"/>
      <c r="G88" s="3"/>
      <c r="I88" s="10"/>
      <c r="J88" s="10"/>
      <c r="K88" s="10"/>
      <c r="L88" s="3"/>
      <c r="M88" s="3"/>
      <c r="O88" s="10"/>
      <c r="P88" s="10"/>
      <c r="Q88" s="10"/>
      <c r="R88" s="10"/>
      <c r="S88" s="10"/>
      <c r="T88" s="10"/>
      <c r="U88" s="10"/>
    </row>
    <row r="89" spans="1:21">
      <c r="D89" s="10"/>
      <c r="E89" s="10"/>
      <c r="F89" s="10"/>
      <c r="G89" s="3"/>
      <c r="I89" s="10"/>
      <c r="J89" s="10"/>
      <c r="K89" s="10"/>
      <c r="L89" s="3"/>
      <c r="M89" s="3"/>
      <c r="O89" s="10"/>
      <c r="P89" s="10"/>
      <c r="Q89" s="10"/>
      <c r="R89" s="10"/>
      <c r="S89" s="10"/>
      <c r="T89" s="10"/>
      <c r="U89" s="10"/>
    </row>
    <row r="90" spans="1:21">
      <c r="D90" s="10"/>
      <c r="E90" s="10"/>
      <c r="F90" s="10"/>
      <c r="G90" s="3"/>
      <c r="I90" s="10"/>
      <c r="J90" s="10"/>
      <c r="K90" s="10"/>
      <c r="L90" s="3"/>
      <c r="M90" s="3"/>
      <c r="O90" s="10"/>
      <c r="P90" s="10"/>
      <c r="Q90" s="10"/>
      <c r="R90" s="10"/>
      <c r="S90" s="10"/>
      <c r="T90" s="10"/>
      <c r="U90" s="10"/>
    </row>
    <row r="91" spans="1:21">
      <c r="D91" s="10"/>
      <c r="E91" s="10"/>
      <c r="F91" s="10"/>
      <c r="G91" s="3"/>
      <c r="I91" s="10"/>
      <c r="J91" s="10"/>
      <c r="K91" s="10"/>
      <c r="L91" s="3"/>
      <c r="M91" s="3"/>
      <c r="O91" s="10"/>
      <c r="P91" s="10"/>
      <c r="Q91" s="10"/>
      <c r="R91" s="10"/>
      <c r="S91" s="10"/>
      <c r="T91" s="10"/>
      <c r="U91" s="10"/>
    </row>
    <row r="92" spans="1:21">
      <c r="D92" s="10"/>
      <c r="E92" s="10"/>
      <c r="F92" s="10"/>
      <c r="G92" s="3"/>
      <c r="I92" s="10"/>
      <c r="J92" s="10"/>
      <c r="K92" s="10"/>
      <c r="L92" s="3"/>
      <c r="M92" s="3"/>
      <c r="O92" s="10"/>
      <c r="P92" s="10"/>
      <c r="Q92" s="10"/>
      <c r="R92" s="10"/>
      <c r="S92" s="10"/>
      <c r="T92" s="10"/>
      <c r="U92" s="10"/>
    </row>
    <row r="93" spans="1:21">
      <c r="D93" s="10"/>
      <c r="E93" s="10"/>
      <c r="F93" s="10"/>
      <c r="G93" s="3"/>
      <c r="I93" s="10"/>
      <c r="J93" s="10"/>
      <c r="K93" s="10"/>
      <c r="L93" s="3"/>
      <c r="M93" s="3"/>
      <c r="O93" s="10"/>
      <c r="P93" s="10"/>
      <c r="Q93" s="10"/>
      <c r="R93" s="10"/>
      <c r="S93" s="10"/>
      <c r="T93" s="10"/>
      <c r="U93" s="10"/>
    </row>
    <row r="94" spans="1:21">
      <c r="D94" s="10"/>
      <c r="E94" s="10"/>
      <c r="F94" s="10"/>
      <c r="G94" s="3"/>
      <c r="I94" s="10"/>
      <c r="J94" s="10"/>
      <c r="K94" s="10"/>
      <c r="L94" s="3"/>
      <c r="M94" s="3"/>
      <c r="O94" s="10"/>
      <c r="P94" s="10"/>
      <c r="Q94" s="10"/>
      <c r="R94" s="10"/>
      <c r="S94" s="10"/>
      <c r="T94" s="10"/>
      <c r="U94" s="10"/>
    </row>
    <row r="95" spans="1:21">
      <c r="D95" s="10"/>
      <c r="E95" s="10"/>
      <c r="F95" s="10"/>
      <c r="G95" s="3"/>
      <c r="I95" s="10"/>
      <c r="J95" s="10"/>
      <c r="K95" s="10"/>
      <c r="L95" s="3"/>
      <c r="M95" s="3"/>
      <c r="O95" s="10"/>
      <c r="P95" s="10"/>
      <c r="Q95" s="10"/>
      <c r="R95" s="10"/>
      <c r="S95" s="10"/>
      <c r="T95" s="10"/>
      <c r="U95" s="10"/>
    </row>
    <row r="96" spans="1:21">
      <c r="D96" s="10"/>
      <c r="E96" s="10"/>
      <c r="F96" s="10"/>
      <c r="G96" s="3"/>
      <c r="I96" s="10"/>
      <c r="J96" s="10"/>
      <c r="K96" s="10"/>
      <c r="L96" s="3"/>
      <c r="M96" s="3"/>
      <c r="O96" s="10"/>
      <c r="P96" s="10"/>
      <c r="Q96" s="10"/>
      <c r="R96" s="10"/>
      <c r="S96" s="10"/>
      <c r="T96" s="10"/>
      <c r="U96" s="10"/>
    </row>
    <row r="97" spans="4:21">
      <c r="D97" s="10"/>
      <c r="E97" s="10"/>
      <c r="F97" s="10"/>
      <c r="G97" s="3"/>
      <c r="I97" s="10"/>
      <c r="J97" s="10"/>
      <c r="K97" s="10"/>
      <c r="L97" s="3"/>
      <c r="M97" s="3"/>
      <c r="O97" s="10"/>
      <c r="P97" s="10"/>
      <c r="Q97" s="10"/>
      <c r="R97" s="10"/>
      <c r="S97" s="10"/>
      <c r="T97" s="10"/>
      <c r="U97" s="10"/>
    </row>
    <row r="98" spans="4:21">
      <c r="D98" s="10"/>
      <c r="E98" s="10"/>
      <c r="F98" s="10"/>
      <c r="G98" s="3"/>
      <c r="I98" s="10"/>
      <c r="J98" s="10"/>
      <c r="K98" s="10"/>
      <c r="L98" s="3"/>
      <c r="M98" s="3"/>
      <c r="O98" s="10"/>
      <c r="P98" s="10"/>
      <c r="Q98" s="10"/>
      <c r="R98" s="10"/>
      <c r="S98" s="10"/>
      <c r="T98" s="10"/>
      <c r="U98" s="10"/>
    </row>
    <row r="99" spans="4:21">
      <c r="D99" s="10"/>
      <c r="E99" s="10"/>
      <c r="F99" s="10"/>
      <c r="G99" s="3"/>
      <c r="I99" s="10"/>
      <c r="J99" s="10"/>
      <c r="K99" s="10"/>
      <c r="L99" s="3"/>
      <c r="M99" s="3"/>
      <c r="O99" s="10"/>
      <c r="P99" s="10"/>
      <c r="Q99" s="10"/>
      <c r="R99" s="10"/>
      <c r="S99" s="10"/>
      <c r="T99" s="10"/>
      <c r="U99" s="10"/>
    </row>
    <row r="100" spans="4:21">
      <c r="D100" s="10"/>
      <c r="E100" s="10"/>
      <c r="F100" s="10"/>
      <c r="G100" s="3"/>
      <c r="I100" s="10"/>
      <c r="J100" s="10"/>
      <c r="K100" s="10"/>
      <c r="L100" s="3"/>
      <c r="M100" s="3"/>
      <c r="O100" s="10"/>
      <c r="P100" s="10"/>
      <c r="Q100" s="10"/>
      <c r="R100" s="10"/>
      <c r="S100" s="10"/>
      <c r="T100" s="10"/>
      <c r="U100" s="10"/>
    </row>
    <row r="101" spans="4:21">
      <c r="D101" s="10"/>
      <c r="E101" s="10"/>
      <c r="F101" s="10"/>
      <c r="G101" s="3"/>
      <c r="I101" s="10"/>
      <c r="J101" s="10"/>
      <c r="K101" s="10"/>
      <c r="L101" s="3"/>
      <c r="M101" s="3"/>
      <c r="O101" s="10"/>
      <c r="P101" s="10"/>
      <c r="Q101" s="10"/>
      <c r="R101" s="10"/>
      <c r="S101" s="10"/>
      <c r="T101" s="10"/>
      <c r="U101" s="10"/>
    </row>
    <row r="102" spans="4:21">
      <c r="D102" s="10"/>
      <c r="E102" s="10"/>
      <c r="F102" s="10"/>
      <c r="G102" s="3"/>
      <c r="I102" s="10"/>
      <c r="J102" s="10"/>
      <c r="K102" s="10"/>
      <c r="L102" s="3"/>
      <c r="M102" s="3"/>
      <c r="O102" s="10"/>
      <c r="P102" s="10"/>
      <c r="Q102" s="10"/>
      <c r="R102" s="10"/>
      <c r="S102" s="10"/>
      <c r="T102" s="10"/>
      <c r="U102" s="10"/>
    </row>
    <row r="103" spans="4:21">
      <c r="D103" s="10"/>
      <c r="E103" s="10"/>
      <c r="F103" s="10"/>
      <c r="G103" s="3"/>
    </row>
    <row r="104" spans="4:21">
      <c r="D104" s="10"/>
      <c r="E104" s="10"/>
      <c r="F104" s="10"/>
      <c r="G104" s="3"/>
    </row>
    <row r="105" spans="4:21">
      <c r="D105" s="10"/>
      <c r="E105" s="10"/>
      <c r="F105" s="10"/>
      <c r="G105" s="3"/>
    </row>
    <row r="106" spans="4:21">
      <c r="D106" s="10"/>
      <c r="E106" s="10"/>
      <c r="F106" s="10"/>
      <c r="G106" s="3"/>
    </row>
    <row r="107" spans="4:21">
      <c r="D107" s="10"/>
      <c r="E107" s="10"/>
      <c r="F107" s="10"/>
      <c r="G107" s="3"/>
    </row>
    <row r="108" spans="4:21">
      <c r="D108" s="10"/>
      <c r="E108" s="10"/>
      <c r="F108" s="10"/>
      <c r="G108" s="3"/>
    </row>
    <row r="109" spans="4:21">
      <c r="D109" s="10"/>
      <c r="E109" s="10"/>
      <c r="F109" s="10"/>
      <c r="G109" s="3"/>
    </row>
    <row r="110" spans="4:21">
      <c r="D110" s="10"/>
      <c r="E110" s="10"/>
      <c r="F110" s="10"/>
      <c r="G110" s="3"/>
    </row>
    <row r="111" spans="4:21">
      <c r="D111" s="10"/>
      <c r="E111" s="10"/>
      <c r="F111" s="10"/>
      <c r="G111" s="3"/>
    </row>
    <row r="112" spans="4:21">
      <c r="D112" s="10"/>
      <c r="E112" s="10"/>
      <c r="F112" s="10"/>
      <c r="G112" s="3"/>
    </row>
    <row r="113" spans="4:7">
      <c r="D113" s="10"/>
      <c r="E113" s="10"/>
      <c r="F113" s="10"/>
      <c r="G113" s="3"/>
    </row>
    <row r="114" spans="4:7">
      <c r="D114" s="10"/>
      <c r="E114" s="10"/>
      <c r="F114" s="10"/>
      <c r="G114" s="3"/>
    </row>
    <row r="115" spans="4:7">
      <c r="D115" s="10"/>
      <c r="E115" s="10"/>
      <c r="F115" s="10"/>
      <c r="G115" s="3"/>
    </row>
    <row r="116" spans="4:7">
      <c r="D116" s="10"/>
      <c r="E116" s="10"/>
      <c r="F116" s="10"/>
      <c r="G116" s="3"/>
    </row>
  </sheetData>
  <mergeCells count="10">
    <mergeCell ref="I57:K57"/>
    <mergeCell ref="L57:M57"/>
    <mergeCell ref="O57:S57"/>
    <mergeCell ref="T57:U57"/>
    <mergeCell ref="A1:B1"/>
    <mergeCell ref="D1:F1"/>
    <mergeCell ref="K4:K5"/>
    <mergeCell ref="D56:G56"/>
    <mergeCell ref="I56:M56"/>
    <mergeCell ref="O56:U56"/>
  </mergeCells>
  <dataValidations count="12">
    <dataValidation type="list" allowBlank="1" showInputMessage="1" showErrorMessage="1" sqref="D4:D9 F8:F18 D11:D21 F20:F24">
      <formula1>$A$3:$A$35</formula1>
    </dataValidation>
    <dataValidation type="list" allowBlank="1" showInputMessage="1" showErrorMessage="1" sqref="F56:G56 D22:D54 F25:F54 F19">
      <formula1>$A$3:$A$27</formula1>
    </dataValidation>
    <dataValidation type="list" allowBlank="1" showInputMessage="1" showErrorMessage="1" sqref="C3:C55 B4:B55">
      <formula1>$Y$3:$Y$57</formula1>
    </dataValidation>
    <dataValidation type="list" allowBlank="1" showInputMessage="1" showErrorMessage="1" sqref="H3:H62 G3:G55">
      <formula1>$A$3:$A$22</formula1>
    </dataValidation>
    <dataValidation type="list" allowBlank="1" showInputMessage="1" showErrorMessage="1" sqref="B58:B74">
      <formula1>$AE$2:$AE$12</formula1>
    </dataValidation>
    <dataValidation type="list" allowBlank="1" showInputMessage="1" showErrorMessage="1" sqref="F55 D55">
      <formula1>$A$3:$A$28</formula1>
    </dataValidation>
    <dataValidation type="list" allowBlank="1" showInputMessage="1" showErrorMessage="1" sqref="E55">
      <formula1>$A$58:$A$66</formula1>
    </dataValidation>
    <dataValidation type="list" allowBlank="1" showInputMessage="1" showErrorMessage="1" sqref="B3">
      <formula1>$Y$3:$Y$31</formula1>
    </dataValidation>
    <dataValidation type="list" allowBlank="1" showInputMessage="1" showErrorMessage="1" sqref="E4:E14 E16:E54">
      <formula1>$A$58:$A$71</formula1>
    </dataValidation>
    <dataValidation type="list" allowBlank="1" showInputMessage="1" showErrorMessage="1" sqref="E15">
      <formula1>$A$58:$A$66</formula1>
    </dataValidation>
    <dataValidation type="list" allowBlank="1" showInputMessage="1" showErrorMessage="1" sqref="D3 F3:F7 D10">
      <formula1>$A$3:$A$25</formula1>
    </dataValidation>
    <dataValidation type="list" allowBlank="1" showInputMessage="1" showErrorMessage="1" sqref="E3">
      <formula1>$A$58:$A$65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PARTICIPANTES</vt:lpstr>
      <vt:lpstr>CONSOLIDADO</vt:lpstr>
      <vt:lpstr>GRAFO</vt:lpstr>
      <vt:lpstr>MODELAGEM_1</vt:lpstr>
      <vt:lpstr>MODELAGEM_2</vt:lpstr>
      <vt:lpstr>MODELAGEM_3</vt:lpstr>
      <vt:lpstr>MODELAGEM_4</vt:lpstr>
      <vt:lpstr>MODELAGEM_5</vt:lpstr>
      <vt:lpstr>MODELAGEM_6</vt:lpstr>
      <vt:lpstr>MODELAGEM_7</vt:lpstr>
      <vt:lpstr>MODELAGEM_8</vt:lpstr>
      <vt:lpstr>MODELAGEM_9</vt:lpstr>
      <vt:lpstr>MODELAGEM_11</vt:lpstr>
      <vt:lpstr>MODELAGEM_12</vt:lpstr>
      <vt:lpstr>MODELAGEM_13</vt:lpstr>
      <vt:lpstr>MODELAGEM_15</vt:lpstr>
      <vt:lpstr>MODELAGEM_16</vt:lpstr>
      <vt:lpstr>MODELAGEM_17</vt:lpstr>
      <vt:lpstr>MODELAGEM_18</vt:lpstr>
      <vt:lpstr>MODELAGEM_19</vt:lpstr>
      <vt:lpstr>MODELAGEM_20</vt:lpstr>
      <vt:lpstr>MODELAGEM_21</vt:lpstr>
      <vt:lpstr>MODELAGEM_22</vt:lpstr>
      <vt:lpstr>MODELAGEM_23</vt:lpstr>
      <vt:lpstr>MODELAGEM_24</vt:lpstr>
      <vt:lpstr>MODELAGEM_25</vt:lpstr>
      <vt:lpstr>MODELAGEM_26</vt:lpstr>
      <vt:lpstr>MODELAGEM_27</vt:lpstr>
      <vt:lpstr>MODELAGEM_28</vt:lpstr>
      <vt:lpstr>MODELAGEM_29</vt:lpstr>
      <vt:lpstr>MODELAGEM_30</vt:lpstr>
      <vt:lpstr>MODELAGEM_31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 Oliveira</dc:creator>
  <cp:lastModifiedBy>Jones Oliveira</cp:lastModifiedBy>
  <dcterms:created xsi:type="dcterms:W3CDTF">2024-10-25T11:56:04Z</dcterms:created>
  <dcterms:modified xsi:type="dcterms:W3CDTF">2025-11-26T22:01:26Z</dcterms:modified>
</cp:coreProperties>
</file>