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11" yWindow="-111" windowWidth="16611" windowHeight="8709" tabRatio="958" activeTab="2"/>
  </bookViews>
  <sheets>
    <sheet name="CONSOLIDADO" sheetId="7" r:id="rId1"/>
    <sheet name="GRAFO" sheetId="1" r:id="rId2"/>
    <sheet name="MODELAGEM_1" sheetId="2" r:id="rId3"/>
  </sheets>
  <definedNames>
    <definedName name="_xlnm._FilterDatabase" localSheetId="2" hidden="1">MODELAGEM_1!$A$2:$F$29</definedName>
  </definedName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8" i="2"/>
  <c r="D47"/>
  <c r="D46"/>
  <c r="D45"/>
  <c r="D44"/>
  <c r="Y20" l="1"/>
  <c r="Y19"/>
  <c r="Y18"/>
  <c r="Y17"/>
  <c r="Y16"/>
  <c r="Y15"/>
  <c r="Y14"/>
  <c r="Y13"/>
  <c r="Y12"/>
  <c r="Y11"/>
  <c r="Y10"/>
  <c r="Y9"/>
  <c r="Y8"/>
  <c r="Y7"/>
  <c r="Y6"/>
  <c r="Y5"/>
  <c r="Y4"/>
  <c r="Y3"/>
  <c r="J2" i="1"/>
  <c r="M41" l="1"/>
  <c r="M40"/>
  <c r="M39"/>
  <c r="M38"/>
  <c r="M37"/>
  <c r="M36"/>
  <c r="M35"/>
  <c r="M34"/>
  <c r="M33"/>
  <c r="M32"/>
  <c r="M31"/>
  <c r="M30"/>
  <c r="M29"/>
  <c r="M28"/>
  <c r="M27"/>
  <c r="M26"/>
  <c r="M25"/>
  <c r="M24"/>
  <c r="M23"/>
  <c r="M22"/>
  <c r="M21"/>
  <c r="M20"/>
  <c r="M19"/>
  <c r="M18"/>
  <c r="M17"/>
  <c r="M16"/>
  <c r="M15"/>
  <c r="M14"/>
  <c r="M13"/>
  <c r="M12"/>
  <c r="M11"/>
  <c r="M10"/>
  <c r="M9"/>
  <c r="M8"/>
  <c r="M7"/>
  <c r="M6"/>
  <c r="M5"/>
  <c r="M4"/>
  <c r="M3"/>
  <c r="M2"/>
  <c r="L41"/>
  <c r="L40"/>
  <c r="L39"/>
  <c r="L38"/>
  <c r="L37"/>
  <c r="L36"/>
  <c r="L35"/>
  <c r="L34"/>
  <c r="L33"/>
  <c r="L32"/>
  <c r="L31"/>
  <c r="L30"/>
  <c r="L29"/>
  <c r="L28"/>
  <c r="L27"/>
  <c r="L26"/>
  <c r="L25"/>
  <c r="L24"/>
  <c r="L23"/>
  <c r="L22"/>
  <c r="L21"/>
  <c r="L20"/>
  <c r="L19"/>
  <c r="L18"/>
  <c r="L17"/>
  <c r="L16"/>
  <c r="L15"/>
  <c r="L14"/>
  <c r="L13"/>
  <c r="L12"/>
  <c r="L11"/>
  <c r="L10"/>
  <c r="L9"/>
  <c r="L8"/>
  <c r="L7"/>
  <c r="L6"/>
  <c r="L5"/>
  <c r="L4"/>
  <c r="L3"/>
  <c r="L2"/>
  <c r="H35" i="2"/>
  <c r="G50"/>
  <c r="F50"/>
  <c r="G49"/>
  <c r="F49"/>
  <c r="G48"/>
  <c r="F48"/>
  <c r="G47"/>
  <c r="F47"/>
  <c r="G46"/>
  <c r="F46"/>
  <c r="G45"/>
  <c r="F45"/>
  <c r="G44"/>
  <c r="F44"/>
  <c r="G43"/>
  <c r="F43"/>
  <c r="G42"/>
  <c r="F42"/>
  <c r="G41"/>
  <c r="F41"/>
  <c r="G40"/>
  <c r="F40"/>
  <c r="G39"/>
  <c r="F39"/>
  <c r="G38"/>
  <c r="F38"/>
  <c r="G37"/>
  <c r="F37"/>
  <c r="G36"/>
  <c r="F36"/>
  <c r="G35"/>
  <c r="F35"/>
  <c r="D50"/>
  <c r="D49"/>
  <c r="D43"/>
  <c r="D42"/>
  <c r="D41"/>
  <c r="D40"/>
  <c r="D39"/>
  <c r="D38"/>
  <c r="D37"/>
  <c r="D36"/>
  <c r="C50"/>
  <c r="C49"/>
  <c r="C48"/>
  <c r="C47"/>
  <c r="C46"/>
  <c r="C45"/>
  <c r="C44"/>
  <c r="C43"/>
  <c r="C42"/>
  <c r="C41"/>
  <c r="C40"/>
  <c r="C39"/>
  <c r="C38"/>
  <c r="C37"/>
  <c r="C36"/>
  <c r="C35"/>
  <c r="D35"/>
  <c r="O4"/>
  <c r="D3" i="7" s="1"/>
  <c r="N4" i="2"/>
  <c r="C3" i="7" s="1"/>
  <c r="J3" i="1"/>
  <c r="I35" i="2" l="1"/>
  <c r="B3" i="7"/>
  <c r="F3" s="1"/>
  <c r="K3" s="1"/>
  <c r="N10" i="2"/>
  <c r="E50"/>
  <c r="O50" s="1"/>
  <c r="T50" s="1"/>
  <c r="U50" s="1"/>
  <c r="E49"/>
  <c r="O49" s="1"/>
  <c r="T49" s="1"/>
  <c r="U49" s="1"/>
  <c r="E48"/>
  <c r="E47"/>
  <c r="O47" s="1"/>
  <c r="T47" s="1"/>
  <c r="U47" s="1"/>
  <c r="E46"/>
  <c r="O46" s="1"/>
  <c r="T46" s="1"/>
  <c r="U46" s="1"/>
  <c r="E45"/>
  <c r="O45" s="1"/>
  <c r="T45" s="1"/>
  <c r="U45" s="1"/>
  <c r="E44"/>
  <c r="O44" s="1"/>
  <c r="T44" s="1"/>
  <c r="U44" s="1"/>
  <c r="E43"/>
  <c r="O43" s="1"/>
  <c r="T43" s="1"/>
  <c r="U43" s="1"/>
  <c r="E42"/>
  <c r="O42" s="1"/>
  <c r="T42" s="1"/>
  <c r="U42" s="1"/>
  <c r="E41"/>
  <c r="O41" s="1"/>
  <c r="T41" s="1"/>
  <c r="U41" s="1"/>
  <c r="E40"/>
  <c r="O40" s="1"/>
  <c r="T40" s="1"/>
  <c r="U40" s="1"/>
  <c r="E39"/>
  <c r="O39" s="1"/>
  <c r="T39" s="1"/>
  <c r="U39" s="1"/>
  <c r="E38"/>
  <c r="O38" s="1"/>
  <c r="T38" s="1"/>
  <c r="U38" s="1"/>
  <c r="E37"/>
  <c r="O37" s="1"/>
  <c r="T37" s="1"/>
  <c r="U37" s="1"/>
  <c r="E36"/>
  <c r="O36" s="1"/>
  <c r="T36" s="1"/>
  <c r="U36" s="1"/>
  <c r="E35"/>
  <c r="O35" s="1"/>
  <c r="T35" s="1"/>
  <c r="U35" s="1"/>
  <c r="I36"/>
  <c r="L36" s="1"/>
  <c r="M36" s="1"/>
  <c r="I37"/>
  <c r="L37" s="1"/>
  <c r="M37" s="1"/>
  <c r="I38"/>
  <c r="L38" s="1"/>
  <c r="M38" s="1"/>
  <c r="I39"/>
  <c r="L39" s="1"/>
  <c r="M39" s="1"/>
  <c r="I40"/>
  <c r="L40" s="1"/>
  <c r="M40" s="1"/>
  <c r="I41"/>
  <c r="L41" s="1"/>
  <c r="M41" s="1"/>
  <c r="I42"/>
  <c r="L42" s="1"/>
  <c r="M42" s="1"/>
  <c r="I43"/>
  <c r="L43" s="1"/>
  <c r="M43" s="1"/>
  <c r="I44"/>
  <c r="L44" s="1"/>
  <c r="M44" s="1"/>
  <c r="I45"/>
  <c r="L45" s="1"/>
  <c r="M45" s="1"/>
  <c r="I46"/>
  <c r="L46" s="1"/>
  <c r="M46" s="1"/>
  <c r="I47"/>
  <c r="L47" s="1"/>
  <c r="M47" s="1"/>
  <c r="O48"/>
  <c r="T48" s="1"/>
  <c r="U48" s="1"/>
  <c r="I48"/>
  <c r="L48" s="1"/>
  <c r="M48" s="1"/>
  <c r="I49"/>
  <c r="L49" s="1"/>
  <c r="M49" s="1"/>
  <c r="I50"/>
  <c r="L50" s="1"/>
  <c r="M50" s="1"/>
  <c r="B5" i="7"/>
  <c r="B4"/>
  <c r="M5" i="2"/>
  <c r="G3" i="7"/>
  <c r="J3" s="1"/>
  <c r="N6" i="2"/>
  <c r="C5" i="7" s="1"/>
  <c r="N5" i="2"/>
  <c r="C4" i="7" s="1"/>
  <c r="N9" i="2"/>
  <c r="N12" s="1"/>
  <c r="M4"/>
  <c r="Q4" s="1"/>
  <c r="V4" s="1"/>
  <c r="R4"/>
  <c r="P4" s="1"/>
  <c r="L35" l="1"/>
  <c r="M35" s="1"/>
  <c r="O5" s="1"/>
  <c r="D4" i="7" s="1"/>
  <c r="S4" i="2"/>
  <c r="E3" i="7"/>
  <c r="O6" i="2"/>
  <c r="I3" i="7"/>
  <c r="L3"/>
  <c r="U4" i="2"/>
  <c r="W4"/>
  <c r="T4"/>
  <c r="Q6" l="1"/>
  <c r="V6" s="1"/>
  <c r="D5" i="7"/>
  <c r="X4" i="2"/>
  <c r="R6"/>
  <c r="P6" s="1"/>
  <c r="R5"/>
  <c r="P5" s="1"/>
  <c r="Q5"/>
  <c r="V5" s="1"/>
  <c r="H3" i="7"/>
  <c r="S6" i="2" l="1"/>
  <c r="E5" i="7"/>
  <c r="S5" i="2"/>
  <c r="E4" i="7"/>
  <c r="W6" i="2"/>
  <c r="U6"/>
  <c r="T6"/>
  <c r="T5"/>
  <c r="W5"/>
  <c r="U5"/>
  <c r="G5" i="7"/>
  <c r="F5"/>
  <c r="F4"/>
  <c r="K4" s="1"/>
  <c r="G4"/>
  <c r="H4" l="1"/>
  <c r="H5"/>
  <c r="X6" i="2"/>
  <c r="X5"/>
  <c r="L5" i="7"/>
  <c r="J5"/>
  <c r="I5"/>
  <c r="K5"/>
  <c r="I4"/>
  <c r="L4"/>
  <c r="J4"/>
  <c r="X7" i="2" l="1"/>
</calcChain>
</file>

<file path=xl/sharedStrings.xml><?xml version="1.0" encoding="utf-8"?>
<sst xmlns="http://schemas.openxmlformats.org/spreadsheetml/2006/main" count="251" uniqueCount="112">
  <si>
    <t>ENTIDADES</t>
  </si>
  <si>
    <t>TRIPLAS</t>
  </si>
  <si>
    <t>RELAÇÕES</t>
  </si>
  <si>
    <t>rdfs:subClassOf</t>
  </si>
  <si>
    <t>rdfs:seeAlso</t>
  </si>
  <si>
    <t>c2rm:applied_to</t>
  </si>
  <si>
    <t>rdfs:comment</t>
  </si>
  <si>
    <t>c2rm:responsible_for</t>
  </si>
  <si>
    <t>owl:equivalentClass</t>
  </si>
  <si>
    <t>rdf:type</t>
  </si>
  <si>
    <t>rdfs:Class</t>
  </si>
  <si>
    <t>RESULTADOS</t>
  </si>
  <si>
    <t>N. ENTIDADES:</t>
  </si>
  <si>
    <t>N. RELAÇÕES:</t>
  </si>
  <si>
    <t>ENTIDADES_GRAFO</t>
  </si>
  <si>
    <t>TP</t>
  </si>
  <si>
    <t>FP</t>
  </si>
  <si>
    <t>FN</t>
  </si>
  <si>
    <t>PRECISÃO</t>
  </si>
  <si>
    <t>COBERTURA</t>
  </si>
  <si>
    <t>ACURÁCIA</t>
  </si>
  <si>
    <t>A</t>
  </si>
  <si>
    <t>A_E (GRAFO)</t>
  </si>
  <si>
    <t>B_E (M1)</t>
  </si>
  <si>
    <t>(A INT B)</t>
  </si>
  <si>
    <t>A-(A INT B)</t>
  </si>
  <si>
    <t>B-(A INT B)</t>
  </si>
  <si>
    <t>B</t>
  </si>
  <si>
    <t>N. ELEM {A}</t>
  </si>
  <si>
    <t>N. ELEM {B}</t>
  </si>
  <si>
    <t>TN</t>
  </si>
  <si>
    <t>ACERTOS</t>
  </si>
  <si>
    <t>ERROS</t>
  </si>
  <si>
    <t>A-TP</t>
  </si>
  <si>
    <t>B-TP</t>
  </si>
  <si>
    <t>B-FP</t>
  </si>
  <si>
    <t>P</t>
  </si>
  <si>
    <t>R</t>
  </si>
  <si>
    <t>F1</t>
  </si>
  <si>
    <t>VP/(VP+FP)</t>
  </si>
  <si>
    <t>VP/(VP+FN)</t>
  </si>
  <si>
    <t xml:space="preserve">(2 X P X C) / (P+C) </t>
  </si>
  <si>
    <t>VP+VN</t>
  </si>
  <si>
    <t>FP+FN</t>
  </si>
  <si>
    <t>ACURACIA</t>
  </si>
  <si>
    <t>(VP+VN)/(VP+FN+VN+FP)</t>
  </si>
  <si>
    <t>RELAÇÕES (CR)</t>
  </si>
  <si>
    <t>RELAÇÕES (SR)</t>
  </si>
  <si>
    <t>rdfs:Bag</t>
  </si>
  <si>
    <t>entity+entity</t>
  </si>
  <si>
    <t>entity+relation+entity</t>
  </si>
  <si>
    <t>ENTIDADES IDENTIFICADAS NO GRAFO (ETAPA 1)</t>
  </si>
  <si>
    <t>ATIVIDADE 1: Mapear entidades</t>
  </si>
  <si>
    <t>ATIVIDADE 2: Mapear relações</t>
  </si>
  <si>
    <t>ATIVIDADE 3: Mapear triplas (ME x MR)</t>
  </si>
  <si>
    <t>Entidades de MC(Ei)</t>
  </si>
  <si>
    <t>Entidades de KG(Ek)</t>
  </si>
  <si>
    <t>Relação de MC(Ri)</t>
  </si>
  <si>
    <t>Relação de KG(Rj)</t>
  </si>
  <si>
    <t>Predicado KG (Rj)</t>
  </si>
  <si>
    <t>Sujeito MC (Ei_1)</t>
  </si>
  <si>
    <t>Objeto MC (Ei_2)</t>
  </si>
  <si>
    <t>ATIVIDADE 4: Relacionar triplas (MC x KG)</t>
  </si>
  <si>
    <t>Achou?</t>
  </si>
  <si>
    <t>ATIVIDADE 5: Validar pares de entidades nas triplas</t>
  </si>
  <si>
    <t>Pares de entidades (Ei_1, Ei_2)</t>
  </si>
  <si>
    <t>Se o par (Ei_1 e Ei_2) Existe no Par_de_ Lista_Entidades_do_KG</t>
  </si>
  <si>
    <t>Tripla (Ei_1, Rj, Ei_2)</t>
  </si>
  <si>
    <t>Se Tripla Existe nas Triplas do KG</t>
  </si>
  <si>
    <t>ATIVIDADE 6: Validar triplas completas (Ei_1, Rj x Ei_2)</t>
  </si>
  <si>
    <t>N. ELEM {KG}</t>
  </si>
  <si>
    <t>N. ELEM {MC}</t>
  </si>
  <si>
    <t>COMPATÍVEIS</t>
  </si>
  <si>
    <t>INCOMPATÍVEIS</t>
  </si>
  <si>
    <t>operacao_militar</t>
  </si>
  <si>
    <t>operational_element</t>
  </si>
  <si>
    <t>enemy_operational_element</t>
  </si>
  <si>
    <t>cognitive_radio</t>
  </si>
  <si>
    <t>operational_location</t>
  </si>
  <si>
    <t>tactical_operation_scenario</t>
  </si>
  <si>
    <t>offensive_operation</t>
  </si>
  <si>
    <t>assembly_area_meeting_operation</t>
  </si>
  <si>
    <t>movement_contact_operation</t>
  </si>
  <si>
    <t>organized_offensive_operation</t>
  </si>
  <si>
    <t>explotation_follow_up_operation</t>
  </si>
  <si>
    <t>military_operation</t>
  </si>
  <si>
    <t>basic_operation</t>
  </si>
  <si>
    <t>complementary_operation</t>
  </si>
  <si>
    <t>defensive_operation</t>
  </si>
  <si>
    <t>traffic_control_operation</t>
  </si>
  <si>
    <t>initial_reconmaissance_operation</t>
  </si>
  <si>
    <t>ataque_oportunidade</t>
  </si>
  <si>
    <t>ataque_secundario</t>
  </si>
  <si>
    <t>ataque_coordenado</t>
  </si>
  <si>
    <t>acao_de_choque</t>
  </si>
  <si>
    <t>blindados</t>
  </si>
  <si>
    <t>inimigo</t>
  </si>
  <si>
    <t>comandante</t>
  </si>
  <si>
    <t>operacao_ofensiva</t>
  </si>
  <si>
    <t>movimento</t>
  </si>
  <si>
    <t>fogo</t>
  </si>
  <si>
    <t>poder_de_combate</t>
  </si>
  <si>
    <t>ataque</t>
  </si>
  <si>
    <t>marcha_combate</t>
  </si>
  <si>
    <t>perseguicao</t>
  </si>
  <si>
    <t>reconhecimento_em_forca</t>
  </si>
  <si>
    <t>aproveitamento_do_exito</t>
  </si>
  <si>
    <t>radio_cognitivo</t>
  </si>
  <si>
    <t>composicao</t>
  </si>
  <si>
    <t>associação</t>
  </si>
  <si>
    <t>especialização</t>
  </si>
  <si>
    <t>MATCH DE CLASSES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</si>
</sst>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10" fontId="0" fillId="0" borderId="1" xfId="0" applyNumberFormat="1" applyBorder="1" applyAlignment="1">
      <alignment horizontal="center"/>
    </xf>
    <xf numFmtId="0" fontId="2" fillId="5" borderId="1" xfId="0" applyFont="1" applyFill="1" applyBorder="1" applyAlignment="1">
      <alignment horizontal="center" vertical="center"/>
    </xf>
    <xf numFmtId="0" fontId="1" fillId="4" borderId="1" xfId="0" applyFont="1" applyFill="1" applyBorder="1"/>
    <xf numFmtId="0" fontId="0" fillId="0" borderId="1" xfId="0" applyBorder="1"/>
    <xf numFmtId="0" fontId="3" fillId="9" borderId="1" xfId="0" applyFont="1" applyFill="1" applyBorder="1"/>
    <xf numFmtId="0" fontId="3" fillId="0" borderId="0" xfId="0" applyFont="1"/>
    <xf numFmtId="0" fontId="4" fillId="0" borderId="0" xfId="0" applyFont="1"/>
    <xf numFmtId="0" fontId="3" fillId="0" borderId="1" xfId="0" applyFont="1" applyBorder="1"/>
    <xf numFmtId="0" fontId="3" fillId="2" borderId="1" xfId="0" applyFont="1" applyFill="1" applyBorder="1"/>
    <xf numFmtId="0" fontId="0" fillId="10" borderId="0" xfId="0" applyFill="1"/>
    <xf numFmtId="0" fontId="2" fillId="11" borderId="1" xfId="0" applyFont="1" applyFill="1" applyBorder="1" applyAlignment="1">
      <alignment horizontal="center" vertical="center"/>
    </xf>
    <xf numFmtId="0" fontId="2" fillId="11" borderId="1" xfId="0" applyFont="1" applyFill="1" applyBorder="1"/>
    <xf numFmtId="0" fontId="2" fillId="11" borderId="2" xfId="0" applyFont="1" applyFill="1" applyBorder="1"/>
    <xf numFmtId="0" fontId="2" fillId="3" borderId="1" xfId="0" applyFont="1" applyFill="1" applyBorder="1" applyAlignment="1">
      <alignment horizontal="center" vertical="center"/>
    </xf>
    <xf numFmtId="0" fontId="0" fillId="10" borderId="1" xfId="0" applyFill="1" applyBorder="1" applyAlignment="1">
      <alignment horizontal="center"/>
    </xf>
    <xf numFmtId="0" fontId="0" fillId="10" borderId="1" xfId="0" applyFill="1" applyBorder="1" applyAlignment="1">
      <alignment horizontal="center" vertical="center"/>
    </xf>
    <xf numFmtId="0" fontId="1" fillId="9" borderId="1" xfId="0" applyFont="1" applyFill="1" applyBorder="1"/>
    <xf numFmtId="0" fontId="1" fillId="12" borderId="1" xfId="0" applyFont="1" applyFill="1" applyBorder="1"/>
    <xf numFmtId="0" fontId="2" fillId="13" borderId="1" xfId="0" applyFont="1" applyFill="1" applyBorder="1"/>
    <xf numFmtId="1" fontId="0" fillId="10" borderId="1" xfId="0" applyNumberFormat="1" applyFill="1" applyBorder="1" applyAlignment="1">
      <alignment horizontal="center"/>
    </xf>
    <xf numFmtId="9" fontId="0" fillId="10" borderId="1" xfId="0" applyNumberFormat="1" applyFill="1" applyBorder="1" applyAlignment="1">
      <alignment horizontal="center"/>
    </xf>
    <xf numFmtId="1" fontId="0" fillId="7" borderId="1" xfId="0" applyNumberFormat="1" applyFill="1" applyBorder="1" applyAlignment="1">
      <alignment horizontal="center"/>
    </xf>
    <xf numFmtId="10" fontId="0" fillId="0" borderId="0" xfId="0" applyNumberFormat="1"/>
    <xf numFmtId="0" fontId="3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1" fillId="9" borderId="3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 vertical="center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pt-BR"/>
  <c:chart>
    <c:title>
      <c:tx>
        <c:rich>
          <a:bodyPr/>
          <a:lstStyle/>
          <a:p>
            <a:pPr>
              <a:defRPr/>
            </a:pPr>
            <a:r>
              <a:rPr lang="pt-BR"/>
              <a:t>Resultados</a:t>
            </a:r>
            <a:r>
              <a:rPr lang="pt-BR" baseline="0"/>
              <a:t> da comparação entre objetos de (KG x MC)</a:t>
            </a:r>
            <a:endParaRPr lang="pt-BR"/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CONSOLIDADO!$A$3</c:f>
              <c:strCache>
                <c:ptCount val="1"/>
                <c:pt idx="0">
                  <c:v>ENTIDADES</c:v>
                </c:pt>
              </c:strCache>
            </c:strRef>
          </c:tx>
          <c:cat>
            <c:strRef>
              <c:f>CONSOLIDADO!$B$2:$G$2</c:f>
              <c:strCache>
                <c:ptCount val="6"/>
                <c:pt idx="0">
                  <c:v>N. ELEM {KG}</c:v>
                </c:pt>
                <c:pt idx="1">
                  <c:v>N. ELEM {MC}</c:v>
                </c:pt>
                <c:pt idx="2">
                  <c:v>TP</c:v>
                </c:pt>
                <c:pt idx="3">
                  <c:v>TN</c:v>
                </c:pt>
                <c:pt idx="4">
                  <c:v>FN</c:v>
                </c:pt>
                <c:pt idx="5">
                  <c:v>FP</c:v>
                </c:pt>
              </c:strCache>
            </c:strRef>
          </c:cat>
          <c:val>
            <c:numRef>
              <c:f>CONSOLIDADO!$B$3:$G$3</c:f>
              <c:numCache>
                <c:formatCode>0</c:formatCode>
                <c:ptCount val="6"/>
                <c:pt idx="0" formatCode="General">
                  <c:v>18</c:v>
                </c:pt>
                <c:pt idx="1">
                  <c:v>16</c:v>
                </c:pt>
                <c:pt idx="2">
                  <c:v>7</c:v>
                </c:pt>
                <c:pt idx="3">
                  <c:v>7</c:v>
                </c:pt>
                <c:pt idx="4">
                  <c:v>11</c:v>
                </c:pt>
                <c:pt idx="5">
                  <c:v>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A6B-4D7E-AE9E-69C837EB5729}"/>
            </c:ext>
          </c:extLst>
        </c:ser>
        <c:ser>
          <c:idx val="1"/>
          <c:order val="1"/>
          <c:tx>
            <c:strRef>
              <c:f>CONSOLIDADO!$A$4</c:f>
              <c:strCache>
                <c:ptCount val="1"/>
                <c:pt idx="0">
                  <c:v>RELAÇÕES (SR)</c:v>
                </c:pt>
              </c:strCache>
            </c:strRef>
          </c:tx>
          <c:cat>
            <c:strRef>
              <c:f>CONSOLIDADO!$B$2:$G$2</c:f>
              <c:strCache>
                <c:ptCount val="6"/>
                <c:pt idx="0">
                  <c:v>N. ELEM {KG}</c:v>
                </c:pt>
                <c:pt idx="1">
                  <c:v>N. ELEM {MC}</c:v>
                </c:pt>
                <c:pt idx="2">
                  <c:v>TP</c:v>
                </c:pt>
                <c:pt idx="3">
                  <c:v>TN</c:v>
                </c:pt>
                <c:pt idx="4">
                  <c:v>FN</c:v>
                </c:pt>
                <c:pt idx="5">
                  <c:v>FP</c:v>
                </c:pt>
              </c:strCache>
            </c:strRef>
          </c:cat>
          <c:val>
            <c:numRef>
              <c:f>CONSOLIDADO!$B$4:$G$4</c:f>
              <c:numCache>
                <c:formatCode>0</c:formatCode>
                <c:ptCount val="6"/>
                <c:pt idx="0" formatCode="General">
                  <c:v>20</c:v>
                </c:pt>
                <c:pt idx="1">
                  <c:v>16</c:v>
                </c:pt>
                <c:pt idx="2">
                  <c:v>3</c:v>
                </c:pt>
                <c:pt idx="3">
                  <c:v>3</c:v>
                </c:pt>
                <c:pt idx="4">
                  <c:v>17</c:v>
                </c:pt>
                <c:pt idx="5">
                  <c:v>13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0A6B-4D7E-AE9E-69C837EB5729}"/>
            </c:ext>
          </c:extLst>
        </c:ser>
        <c:ser>
          <c:idx val="2"/>
          <c:order val="2"/>
          <c:tx>
            <c:strRef>
              <c:f>CONSOLIDADO!$A$5</c:f>
              <c:strCache>
                <c:ptCount val="1"/>
                <c:pt idx="0">
                  <c:v>RELAÇÕES (CR)</c:v>
                </c:pt>
              </c:strCache>
            </c:strRef>
          </c:tx>
          <c:cat>
            <c:strRef>
              <c:f>CONSOLIDADO!$B$2:$G$2</c:f>
              <c:strCache>
                <c:ptCount val="6"/>
                <c:pt idx="0">
                  <c:v>N. ELEM {KG}</c:v>
                </c:pt>
                <c:pt idx="1">
                  <c:v>N. ELEM {MC}</c:v>
                </c:pt>
                <c:pt idx="2">
                  <c:v>TP</c:v>
                </c:pt>
                <c:pt idx="3">
                  <c:v>TN</c:v>
                </c:pt>
                <c:pt idx="4">
                  <c:v>FN</c:v>
                </c:pt>
                <c:pt idx="5">
                  <c:v>FP</c:v>
                </c:pt>
              </c:strCache>
            </c:strRef>
          </c:cat>
          <c:val>
            <c:numRef>
              <c:f>CONSOLIDADO!$B$5:$G$5</c:f>
              <c:numCache>
                <c:formatCode>0</c:formatCode>
                <c:ptCount val="6"/>
                <c:pt idx="0" formatCode="General">
                  <c:v>20</c:v>
                </c:pt>
                <c:pt idx="1">
                  <c:v>16</c:v>
                </c:pt>
                <c:pt idx="2">
                  <c:v>0</c:v>
                </c:pt>
                <c:pt idx="3">
                  <c:v>0</c:v>
                </c:pt>
                <c:pt idx="4">
                  <c:v>20</c:v>
                </c:pt>
                <c:pt idx="5">
                  <c:v>16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0A6B-4D7E-AE9E-69C837EB5729}"/>
            </c:ext>
          </c:extLst>
        </c:ser>
        <c:axId val="149352448"/>
        <c:axId val="149353984"/>
      </c:barChart>
      <c:catAx>
        <c:axId val="149352448"/>
        <c:scaling>
          <c:orientation val="minMax"/>
        </c:scaling>
        <c:axPos val="b"/>
        <c:numFmt formatCode="General" sourceLinked="0"/>
        <c:majorTickMark val="none"/>
        <c:tickLblPos val="nextTo"/>
        <c:crossAx val="149353984"/>
        <c:crosses val="autoZero"/>
        <c:auto val="1"/>
        <c:lblAlgn val="ctr"/>
        <c:lblOffset val="100"/>
      </c:catAx>
      <c:valAx>
        <c:axId val="149353984"/>
        <c:scaling>
          <c:orientation val="minMax"/>
        </c:scaling>
        <c:axPos val="l"/>
        <c:majorGridlines/>
        <c:numFmt formatCode="General" sourceLinked="1"/>
        <c:majorTickMark val="none"/>
        <c:tickLblPos val="nextTo"/>
        <c:crossAx val="149352448"/>
        <c:crosses val="autoZero"/>
        <c:crossBetween val="between"/>
      </c:valAx>
      <c:dTable>
        <c:showHorzBorder val="1"/>
        <c:showVertBorder val="1"/>
        <c:showOutline val="1"/>
        <c:showKeys val="1"/>
      </c:dTable>
    </c:plotArea>
    <c:plotVisOnly val="1"/>
    <c:dispBlanksAs val="gap"/>
  </c:chart>
  <c:printSettings>
    <c:headerFooter/>
    <c:pageMargins b="0.78740157499999996" l="0.511811024" r="0.511811024" t="0.78740157499999996" header="0.31496062000000091" footer="0.3149606200000009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pt-BR"/>
  <c:chart>
    <c:title>
      <c:tx>
        <c:rich>
          <a:bodyPr/>
          <a:lstStyle/>
          <a:p>
            <a:pPr>
              <a:defRPr/>
            </a:pPr>
            <a:r>
              <a:rPr lang="pt-BR" baseline="0"/>
              <a:t>Níveis de compatibilidade e incompatibilidade</a:t>
            </a:r>
          </a:p>
          <a:p>
            <a:pPr>
              <a:defRPr/>
            </a:pPr>
            <a:r>
              <a:rPr lang="pt-BR" baseline="0"/>
              <a:t>(KG x MC)</a:t>
            </a:r>
            <a:endParaRPr lang="pt-BR"/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CONSOLIDADO!$H$2</c:f>
              <c:strCache>
                <c:ptCount val="1"/>
                <c:pt idx="0">
                  <c:v>COMPATÍVEIS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CONSOLIDADO!$A$3:$A$5</c:f>
              <c:strCache>
                <c:ptCount val="3"/>
                <c:pt idx="0">
                  <c:v>ENTIDADES</c:v>
                </c:pt>
                <c:pt idx="1">
                  <c:v>RELAÇÕES (SR)</c:v>
                </c:pt>
                <c:pt idx="2">
                  <c:v>RELAÇÕES (CR)</c:v>
                </c:pt>
              </c:strCache>
            </c:strRef>
          </c:cat>
          <c:val>
            <c:numRef>
              <c:f>CONSOLIDADO!$H$3:$H$5</c:f>
              <c:numCache>
                <c:formatCode>0</c:formatCode>
                <c:ptCount val="3"/>
                <c:pt idx="0">
                  <c:v>14</c:v>
                </c:pt>
                <c:pt idx="1">
                  <c:v>6</c:v>
                </c:pt>
                <c:pt idx="2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641-4323-9B64-D0F6B1AE444C}"/>
            </c:ext>
          </c:extLst>
        </c:ser>
        <c:ser>
          <c:idx val="1"/>
          <c:order val="1"/>
          <c:tx>
            <c:strRef>
              <c:f>CONSOLIDADO!$I$2</c:f>
              <c:strCache>
                <c:ptCount val="1"/>
                <c:pt idx="0">
                  <c:v>INCOMPATÍVEIS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CONSOLIDADO!$A$3:$A$5</c:f>
              <c:strCache>
                <c:ptCount val="3"/>
                <c:pt idx="0">
                  <c:v>ENTIDADES</c:v>
                </c:pt>
                <c:pt idx="1">
                  <c:v>RELAÇÕES (SR)</c:v>
                </c:pt>
                <c:pt idx="2">
                  <c:v>RELAÇÕES (CR)</c:v>
                </c:pt>
              </c:strCache>
            </c:strRef>
          </c:cat>
          <c:val>
            <c:numRef>
              <c:f>CONSOLIDADO!$I$3:$I$5</c:f>
              <c:numCache>
                <c:formatCode>0</c:formatCode>
                <c:ptCount val="3"/>
                <c:pt idx="0">
                  <c:v>20</c:v>
                </c:pt>
                <c:pt idx="1">
                  <c:v>30</c:v>
                </c:pt>
                <c:pt idx="2">
                  <c:v>36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641-4323-9B64-D0F6B1AE444C}"/>
            </c:ext>
          </c:extLst>
        </c:ser>
        <c:axId val="149844736"/>
        <c:axId val="149846272"/>
      </c:barChart>
      <c:catAx>
        <c:axId val="149844736"/>
        <c:scaling>
          <c:orientation val="minMax"/>
        </c:scaling>
        <c:axPos val="l"/>
        <c:numFmt formatCode="General" sourceLinked="0"/>
        <c:majorTickMark val="none"/>
        <c:tickLblPos val="nextTo"/>
        <c:crossAx val="149846272"/>
        <c:crosses val="autoZero"/>
        <c:auto val="1"/>
        <c:lblAlgn val="ctr"/>
        <c:lblOffset val="100"/>
      </c:catAx>
      <c:valAx>
        <c:axId val="149846272"/>
        <c:scaling>
          <c:orientation val="minMax"/>
        </c:scaling>
        <c:axPos val="b"/>
        <c:majorGridlines/>
        <c:numFmt formatCode="0" sourceLinked="1"/>
        <c:majorTickMark val="none"/>
        <c:tickLblPos val="nextTo"/>
        <c:crossAx val="149844736"/>
        <c:crosses val="autoZero"/>
        <c:crossBetween val="between"/>
      </c:valAx>
      <c:dTable>
        <c:showHorzBorder val="1"/>
        <c:showVertBorder val="1"/>
        <c:showOutline val="1"/>
        <c:showKeys val="1"/>
      </c:dTable>
    </c:plotArea>
    <c:plotVisOnly val="1"/>
    <c:dispBlanksAs val="gap"/>
  </c:chart>
  <c:printSettings>
    <c:headerFooter/>
    <c:pageMargins b="0.78740157499999996" l="0.511811024" r="0.511811024" t="0.78740157499999996" header="0.31496062000000091" footer="0.3149606200000009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pt-BR"/>
  <c:chart>
    <c:title>
      <c:tx>
        <c:rich>
          <a:bodyPr/>
          <a:lstStyle/>
          <a:p>
            <a:pPr>
              <a:defRPr/>
            </a:pPr>
            <a:r>
              <a:rPr lang="pt-BR"/>
              <a:t>Precisão, Cobertura e Acurácia</a:t>
            </a:r>
          </a:p>
          <a:p>
            <a:pPr>
              <a:defRPr/>
            </a:pPr>
            <a:r>
              <a:rPr lang="pt-BR"/>
              <a:t>(KG</a:t>
            </a:r>
            <a:r>
              <a:rPr lang="pt-BR" baseline="0"/>
              <a:t> x MC)</a:t>
            </a:r>
            <a:endParaRPr lang="pt-BR"/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CONSOLIDADO!$A$3</c:f>
              <c:strCache>
                <c:ptCount val="1"/>
                <c:pt idx="0">
                  <c:v>ENTIDADES</c:v>
                </c:pt>
              </c:strCache>
            </c:strRef>
          </c:tx>
          <c:cat>
            <c:strRef>
              <c:f>CONSOLIDADO!$J$2:$L$2</c:f>
              <c:strCache>
                <c:ptCount val="3"/>
                <c:pt idx="0">
                  <c:v>PRECISÃO</c:v>
                </c:pt>
                <c:pt idx="1">
                  <c:v>COBERTURA</c:v>
                </c:pt>
                <c:pt idx="2">
                  <c:v>ACURÁCIA</c:v>
                </c:pt>
              </c:strCache>
            </c:strRef>
          </c:cat>
          <c:val>
            <c:numRef>
              <c:f>CONSOLIDADO!$J$3:$L$3</c:f>
              <c:numCache>
                <c:formatCode>0%</c:formatCode>
                <c:ptCount val="3"/>
                <c:pt idx="0">
                  <c:v>0.4375</c:v>
                </c:pt>
                <c:pt idx="1">
                  <c:v>0.3888888888888889</c:v>
                </c:pt>
                <c:pt idx="2">
                  <c:v>0.41176470588235292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374-411F-809A-9885FF738B90}"/>
            </c:ext>
          </c:extLst>
        </c:ser>
        <c:ser>
          <c:idx val="1"/>
          <c:order val="1"/>
          <c:tx>
            <c:strRef>
              <c:f>CONSOLIDADO!$A$4</c:f>
              <c:strCache>
                <c:ptCount val="1"/>
                <c:pt idx="0">
                  <c:v>RELAÇÕES (SR)</c:v>
                </c:pt>
              </c:strCache>
            </c:strRef>
          </c:tx>
          <c:cat>
            <c:strRef>
              <c:f>CONSOLIDADO!$J$2:$L$2</c:f>
              <c:strCache>
                <c:ptCount val="3"/>
                <c:pt idx="0">
                  <c:v>PRECISÃO</c:v>
                </c:pt>
                <c:pt idx="1">
                  <c:v>COBERTURA</c:v>
                </c:pt>
                <c:pt idx="2">
                  <c:v>ACURÁCIA</c:v>
                </c:pt>
              </c:strCache>
            </c:strRef>
          </c:cat>
          <c:val>
            <c:numRef>
              <c:f>CONSOLIDADO!$J$4:$L$4</c:f>
              <c:numCache>
                <c:formatCode>0%</c:formatCode>
                <c:ptCount val="3"/>
                <c:pt idx="0">
                  <c:v>0.1875</c:v>
                </c:pt>
                <c:pt idx="1">
                  <c:v>0.15</c:v>
                </c:pt>
                <c:pt idx="2">
                  <c:v>0.16666666666666666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6374-411F-809A-9885FF738B90}"/>
            </c:ext>
          </c:extLst>
        </c:ser>
        <c:ser>
          <c:idx val="2"/>
          <c:order val="2"/>
          <c:tx>
            <c:strRef>
              <c:f>CONSOLIDADO!$A$5</c:f>
              <c:strCache>
                <c:ptCount val="1"/>
                <c:pt idx="0">
                  <c:v>RELAÇÕES (CR)</c:v>
                </c:pt>
              </c:strCache>
            </c:strRef>
          </c:tx>
          <c:cat>
            <c:strRef>
              <c:f>CONSOLIDADO!$J$2:$L$2</c:f>
              <c:strCache>
                <c:ptCount val="3"/>
                <c:pt idx="0">
                  <c:v>PRECISÃO</c:v>
                </c:pt>
                <c:pt idx="1">
                  <c:v>COBERTURA</c:v>
                </c:pt>
                <c:pt idx="2">
                  <c:v>ACURÁCIA</c:v>
                </c:pt>
              </c:strCache>
            </c:strRef>
          </c:cat>
          <c:val>
            <c:numRef>
              <c:f>CONSOLIDADO!$J$5:$L$5</c:f>
              <c:numCache>
                <c:formatCode>0%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6374-411F-809A-9885FF738B90}"/>
            </c:ext>
          </c:extLst>
        </c:ser>
        <c:axId val="149899136"/>
        <c:axId val="149900672"/>
      </c:barChart>
      <c:catAx>
        <c:axId val="149899136"/>
        <c:scaling>
          <c:orientation val="minMax"/>
        </c:scaling>
        <c:axPos val="b"/>
        <c:numFmt formatCode="General" sourceLinked="0"/>
        <c:majorTickMark val="none"/>
        <c:tickLblPos val="nextTo"/>
        <c:crossAx val="149900672"/>
        <c:crosses val="autoZero"/>
        <c:auto val="1"/>
        <c:lblAlgn val="ctr"/>
        <c:lblOffset val="100"/>
      </c:catAx>
      <c:valAx>
        <c:axId val="149900672"/>
        <c:scaling>
          <c:orientation val="minMax"/>
        </c:scaling>
        <c:axPos val="l"/>
        <c:majorGridlines/>
        <c:title>
          <c:layout/>
        </c:title>
        <c:numFmt formatCode="0%" sourceLinked="1"/>
        <c:majorTickMark val="none"/>
        <c:tickLblPos val="nextTo"/>
        <c:crossAx val="149899136"/>
        <c:crosses val="autoZero"/>
        <c:crossBetween val="between"/>
      </c:valAx>
      <c:dTable>
        <c:showHorzBorder val="1"/>
        <c:showVertBorder val="1"/>
        <c:showOutline val="1"/>
        <c:showKeys val="1"/>
      </c:dTable>
    </c:plotArea>
    <c:plotVisOnly val="1"/>
    <c:dispBlanksAs val="gap"/>
  </c:chart>
  <c:printSettings>
    <c:headerFooter/>
    <c:pageMargins b="0.78740157499999996" l="0.511811024" r="0.511811024" t="0.78740157499999996" header="0.31496062000000091" footer="0.31496062000000091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pt-BR"/>
  <c:chart>
    <c:title>
      <c:tx>
        <c:rich>
          <a:bodyPr/>
          <a:lstStyle/>
          <a:p>
            <a:pPr>
              <a:defRPr/>
            </a:pPr>
            <a:r>
              <a:rPr lang="pt-BR"/>
              <a:t>Análise</a:t>
            </a:r>
            <a:r>
              <a:rPr lang="pt-BR" baseline="0"/>
              <a:t> dos objetos de KG x MC</a:t>
            </a:r>
            <a:endParaRPr lang="pt-BR"/>
          </a:p>
        </c:rich>
      </c:tx>
      <c:layout/>
    </c:title>
    <c:view3D>
      <c:rotX val="30"/>
      <c:perspective val="30"/>
    </c:view3D>
    <c:plotArea>
      <c:layout/>
      <c:pie3D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Percent val="1"/>
            <c:showLeaderLines val="1"/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CONSOLIDADO!$H$2:$I$2</c:f>
              <c:strCache>
                <c:ptCount val="2"/>
                <c:pt idx="0">
                  <c:v>COMPATÍVEIS</c:v>
                </c:pt>
                <c:pt idx="1">
                  <c:v>INCOMPATÍVEIS</c:v>
                </c:pt>
              </c:strCache>
            </c:strRef>
          </c:cat>
          <c:val>
            <c:numRef>
              <c:f>CONSOLIDADO!$H$3:$I$3</c:f>
              <c:numCache>
                <c:formatCode>0</c:formatCode>
                <c:ptCount val="2"/>
                <c:pt idx="0">
                  <c:v>14</c:v>
                </c:pt>
                <c:pt idx="1">
                  <c:v>20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FDB-4B93-9E15-BB94B770D4C2}"/>
            </c:ext>
          </c:extLst>
        </c:ser>
        <c:ser>
          <c:idx val="1"/>
          <c:order val="1"/>
          <c:dLbls>
            <c:spPr>
              <a:noFill/>
              <a:ln>
                <a:noFill/>
              </a:ln>
              <a:effectLst/>
            </c:spPr>
            <c:showPercent val="1"/>
            <c:showLeaderLines val="1"/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CONSOLIDADO!$H$2:$I$2</c:f>
              <c:strCache>
                <c:ptCount val="2"/>
                <c:pt idx="0">
                  <c:v>COMPATÍVEIS</c:v>
                </c:pt>
                <c:pt idx="1">
                  <c:v>INCOMPATÍVEIS</c:v>
                </c:pt>
              </c:strCache>
            </c:strRef>
          </c:cat>
          <c:val>
            <c:numRef>
              <c:f>CONSOLIDADO!$H$4:$I$4</c:f>
              <c:numCache>
                <c:formatCode>0</c:formatCode>
                <c:ptCount val="2"/>
                <c:pt idx="0">
                  <c:v>6</c:v>
                </c:pt>
                <c:pt idx="1">
                  <c:v>30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FDB-4B93-9E15-BB94B770D4C2}"/>
            </c:ext>
          </c:extLst>
        </c:ser>
        <c:ser>
          <c:idx val="2"/>
          <c:order val="2"/>
          <c:dLbls>
            <c:spPr>
              <a:noFill/>
              <a:ln>
                <a:noFill/>
              </a:ln>
              <a:effectLst/>
            </c:spPr>
            <c:showPercent val="1"/>
            <c:showLeaderLines val="1"/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CONSOLIDADO!$H$2:$I$2</c:f>
              <c:strCache>
                <c:ptCount val="2"/>
                <c:pt idx="0">
                  <c:v>COMPATÍVEIS</c:v>
                </c:pt>
                <c:pt idx="1">
                  <c:v>INCOMPATÍVEIS</c:v>
                </c:pt>
              </c:strCache>
            </c:strRef>
          </c:cat>
          <c:val>
            <c:numRef>
              <c:f>CONSOLIDADO!$H$5:$I$5</c:f>
              <c:numCache>
                <c:formatCode>0</c:formatCode>
                <c:ptCount val="2"/>
                <c:pt idx="0">
                  <c:v>0</c:v>
                </c:pt>
                <c:pt idx="1">
                  <c:v>36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DFDB-4B93-9E15-BB94B770D4C2}"/>
            </c:ext>
          </c:extLst>
        </c:ser>
        <c:dLbls>
          <c:showPercent val="1"/>
        </c:dLbls>
      </c:pie3DChart>
    </c:plotArea>
    <c:legend>
      <c:legendPos val="t"/>
      <c:layout/>
      <c:txPr>
        <a:bodyPr/>
        <a:lstStyle/>
        <a:p>
          <a:pPr rtl="0">
            <a:defRPr/>
          </a:pPr>
          <a:endParaRPr lang="pt-BR"/>
        </a:p>
      </c:txPr>
    </c:legend>
    <c:plotVisOnly val="1"/>
    <c:dispBlanksAs val="zero"/>
  </c:chart>
  <c:printSettings>
    <c:headerFooter/>
    <c:pageMargins b="0.78740157499999996" l="0.511811024" r="0.511811024" t="0.78740157499999996" header="0.31496062000000075" footer="0.31496062000000075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32657</xdr:colOff>
      <xdr:row>6</xdr:row>
      <xdr:rowOff>21770</xdr:rowOff>
    </xdr:from>
    <xdr:to>
      <xdr:col>5</xdr:col>
      <xdr:colOff>544286</xdr:colOff>
      <xdr:row>26</xdr:row>
      <xdr:rowOff>87084</xdr:rowOff>
    </xdr:to>
    <xdr:graphicFrame macro="">
      <xdr:nvGraphicFramePr>
        <xdr:cNvPr id="3" name="Gráfico 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604157</xdr:colOff>
      <xdr:row>6</xdr:row>
      <xdr:rowOff>10884</xdr:rowOff>
    </xdr:from>
    <xdr:to>
      <xdr:col>12</xdr:col>
      <xdr:colOff>38100</xdr:colOff>
      <xdr:row>26</xdr:row>
      <xdr:rowOff>87084</xdr:rowOff>
    </xdr:to>
    <xdr:graphicFrame macro="">
      <xdr:nvGraphicFramePr>
        <xdr:cNvPr id="5" name="Gráfico 4">
          <a:extLst>
            <a:ext uri="{FF2B5EF4-FFF2-40B4-BE49-F238E27FC236}">
              <a16:creationId xmlns=""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103414</xdr:colOff>
      <xdr:row>6</xdr:row>
      <xdr:rowOff>16327</xdr:rowOff>
    </xdr:from>
    <xdr:to>
      <xdr:col>19</xdr:col>
      <xdr:colOff>103414</xdr:colOff>
      <xdr:row>26</xdr:row>
      <xdr:rowOff>76199</xdr:rowOff>
    </xdr:to>
    <xdr:graphicFrame macro="">
      <xdr:nvGraphicFramePr>
        <xdr:cNvPr id="6" name="Gráfico 5">
          <a:extLst>
            <a:ext uri="{FF2B5EF4-FFF2-40B4-BE49-F238E27FC236}">
              <a16:creationId xmlns=""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38419</xdr:colOff>
      <xdr:row>27</xdr:row>
      <xdr:rowOff>32016</xdr:rowOff>
    </xdr:from>
    <xdr:to>
      <xdr:col>5</xdr:col>
      <xdr:colOff>550688</xdr:colOff>
      <xdr:row>41</xdr:row>
      <xdr:rowOff>172891</xdr:rowOff>
    </xdr:to>
    <xdr:graphicFrame macro="">
      <xdr:nvGraphicFramePr>
        <xdr:cNvPr id="7" name="Gráfico 6">
          <a:extLst>
            <a:ext uri="{FF2B5EF4-FFF2-40B4-BE49-F238E27FC236}">
              <a16:creationId xmlns="" xmlns:a16="http://schemas.microsoft.com/office/drawing/2014/main" id="{00000000-0008-0000-01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L5"/>
  <sheetViews>
    <sheetView topLeftCell="B25" zoomScaleNormal="100" workbookViewId="0">
      <selection activeCell="H33" sqref="H33"/>
    </sheetView>
  </sheetViews>
  <sheetFormatPr defaultColWidth="9.3046875" defaultRowHeight="14.6"/>
  <cols>
    <col min="1" max="1" width="13.4609375" style="15" bestFit="1" customWidth="1"/>
    <col min="2" max="2" width="13.07421875" style="15" customWidth="1"/>
    <col min="3" max="3" width="12.3046875" style="15" customWidth="1"/>
    <col min="4" max="7" width="9.3046875" style="15"/>
    <col min="8" max="8" width="12.53515625" style="15" bestFit="1" customWidth="1"/>
    <col min="9" max="9" width="14.4609375" style="15" bestFit="1" customWidth="1"/>
    <col min="10" max="10" width="9.3046875" style="15"/>
    <col min="11" max="11" width="11.3046875" style="15" bestFit="1" customWidth="1"/>
    <col min="12" max="12" width="9.69140625" style="15" bestFit="1" customWidth="1"/>
    <col min="13" max="16384" width="9.3046875" style="15"/>
  </cols>
  <sheetData>
    <row r="2" spans="1:12">
      <c r="B2" s="19" t="s">
        <v>70</v>
      </c>
      <c r="C2" s="19" t="s">
        <v>71</v>
      </c>
      <c r="D2" s="19" t="s">
        <v>15</v>
      </c>
      <c r="E2" s="19" t="s">
        <v>30</v>
      </c>
      <c r="F2" s="19" t="s">
        <v>17</v>
      </c>
      <c r="G2" s="19" t="s">
        <v>16</v>
      </c>
      <c r="H2" s="19" t="s">
        <v>72</v>
      </c>
      <c r="I2" s="19" t="s">
        <v>73</v>
      </c>
      <c r="J2" s="19" t="s">
        <v>18</v>
      </c>
      <c r="K2" s="19" t="s">
        <v>19</v>
      </c>
      <c r="L2" s="19" t="s">
        <v>20</v>
      </c>
    </row>
    <row r="3" spans="1:12">
      <c r="A3" s="22" t="s">
        <v>0</v>
      </c>
      <c r="B3" s="20">
        <f>GRAFO!J2</f>
        <v>18</v>
      </c>
      <c r="C3" s="27">
        <f>MODELAGEM_1!N4</f>
        <v>16</v>
      </c>
      <c r="D3" s="27">
        <f>MODELAGEM_1!O4</f>
        <v>7</v>
      </c>
      <c r="E3" s="27">
        <f>MODELAGEM_1!P4</f>
        <v>7</v>
      </c>
      <c r="F3" s="25">
        <f>B3-D3</f>
        <v>11</v>
      </c>
      <c r="G3" s="25">
        <f>C3-D3</f>
        <v>9</v>
      </c>
      <c r="H3" s="25">
        <f>D3+E3</f>
        <v>14</v>
      </c>
      <c r="I3" s="25">
        <f>F3+G3</f>
        <v>20</v>
      </c>
      <c r="J3" s="26">
        <f>D3/(D3+G3)</f>
        <v>0.4375</v>
      </c>
      <c r="K3" s="26">
        <f>D3/(D3+F3)</f>
        <v>0.3888888888888889</v>
      </c>
      <c r="L3" s="26">
        <f>(D3+E3)/(D3+E3+F3+G3)</f>
        <v>0.41176470588235292</v>
      </c>
    </row>
    <row r="4" spans="1:12">
      <c r="A4" s="23" t="s">
        <v>47</v>
      </c>
      <c r="B4" s="21">
        <f>GRAFO!J3</f>
        <v>20</v>
      </c>
      <c r="C4" s="27">
        <f>MODELAGEM_1!N5</f>
        <v>16</v>
      </c>
      <c r="D4" s="27">
        <f>MODELAGEM_1!O5</f>
        <v>3</v>
      </c>
      <c r="E4" s="27">
        <f>MODELAGEM_1!P5</f>
        <v>3</v>
      </c>
      <c r="F4" s="25">
        <f>B4-D4</f>
        <v>17</v>
      </c>
      <c r="G4" s="25">
        <f>C4-D4</f>
        <v>13</v>
      </c>
      <c r="H4" s="25">
        <f>D4+E4</f>
        <v>6</v>
      </c>
      <c r="I4" s="25">
        <f>F4+G4</f>
        <v>30</v>
      </c>
      <c r="J4" s="26">
        <f>D4/(D4+G4)</f>
        <v>0.1875</v>
      </c>
      <c r="K4" s="26">
        <f>D4/(D4+F4)</f>
        <v>0.15</v>
      </c>
      <c r="L4" s="26">
        <f>(D4+E4)/(D4+E4+F4+G4)</f>
        <v>0.16666666666666666</v>
      </c>
    </row>
    <row r="5" spans="1:12">
      <c r="A5" s="24" t="s">
        <v>46</v>
      </c>
      <c r="B5" s="21">
        <f>GRAFO!J3</f>
        <v>20</v>
      </c>
      <c r="C5" s="27">
        <f>MODELAGEM_1!N6</f>
        <v>16</v>
      </c>
      <c r="D5" s="27">
        <f>MODELAGEM_1!O6</f>
        <v>0</v>
      </c>
      <c r="E5" s="27">
        <f>MODELAGEM_1!P6</f>
        <v>0</v>
      </c>
      <c r="F5" s="25">
        <f>B5-D5</f>
        <v>20</v>
      </c>
      <c r="G5" s="25">
        <f>C5-D5</f>
        <v>16</v>
      </c>
      <c r="H5" s="25">
        <f>D5+E5</f>
        <v>0</v>
      </c>
      <c r="I5" s="25">
        <f>F5+G5</f>
        <v>36</v>
      </c>
      <c r="J5" s="26">
        <f>D5/(D5+G5)</f>
        <v>0</v>
      </c>
      <c r="K5" s="26">
        <f>D5/(D5+F5)</f>
        <v>0</v>
      </c>
      <c r="L5" s="26">
        <f>(D5+E5)/(D5+E5+F5+G5)</f>
        <v>0</v>
      </c>
    </row>
  </sheetData>
  <dataValidations count="1">
    <dataValidation type="list" allowBlank="1" showInputMessage="1" showErrorMessage="1" sqref="C15">
      <formula1>#REF!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7"/>
  <sheetViews>
    <sheetView topLeftCell="L1" zoomScale="115" zoomScaleNormal="115" workbookViewId="0">
      <selection activeCell="X21" sqref="X21"/>
    </sheetView>
  </sheetViews>
  <sheetFormatPr defaultColWidth="9.3046875" defaultRowHeight="16.75"/>
  <cols>
    <col min="1" max="1" width="48.3046875" style="11" bestFit="1" customWidth="1"/>
    <col min="2" max="2" width="7.84375" style="11" customWidth="1"/>
    <col min="3" max="3" width="21.4609375" style="11" bestFit="1" customWidth="1"/>
    <col min="4" max="4" width="21.3046875" style="11" customWidth="1"/>
    <col min="5" max="5" width="41.53515625" style="11" bestFit="1" customWidth="1"/>
    <col min="6" max="6" width="3.3046875" style="11" customWidth="1"/>
    <col min="7" max="8" width="9.3046875" style="11"/>
    <col min="9" max="9" width="13.07421875" style="11" bestFit="1" customWidth="1"/>
    <col min="10" max="11" width="9.3046875" style="11"/>
    <col min="12" max="12" width="58.53515625" style="11" bestFit="1" customWidth="1"/>
    <col min="13" max="16384" width="9.3046875" style="11"/>
  </cols>
  <sheetData>
    <row r="1" spans="1:13">
      <c r="A1" s="10" t="s">
        <v>51</v>
      </c>
      <c r="C1" s="29" t="s">
        <v>1</v>
      </c>
      <c r="D1" s="29"/>
      <c r="E1" s="29"/>
      <c r="G1" s="11" t="s">
        <v>2</v>
      </c>
      <c r="I1" s="11" t="s">
        <v>11</v>
      </c>
      <c r="L1" s="12" t="s">
        <v>49</v>
      </c>
      <c r="M1" s="12" t="s">
        <v>50</v>
      </c>
    </row>
    <row r="2" spans="1:13">
      <c r="A2" s="13" t="s">
        <v>91</v>
      </c>
      <c r="C2" s="13" t="s">
        <v>93</v>
      </c>
      <c r="D2" s="13" t="s">
        <v>4</v>
      </c>
      <c r="E2" s="13" t="s">
        <v>91</v>
      </c>
      <c r="G2" s="11" t="s">
        <v>9</v>
      </c>
      <c r="I2" s="11" t="s">
        <v>12</v>
      </c>
      <c r="J2" s="11">
        <f>COUNTA(A2:A30)</f>
        <v>18</v>
      </c>
      <c r="L2" s="11" t="str">
        <f>C2 &amp; "-" &amp; E2</f>
        <v>ataque_coordenado-ataque_oportunidade</v>
      </c>
      <c r="M2" s="11" t="str">
        <f>C2 &amp; "-" &amp; D2 &amp; "-" &amp; E2</f>
        <v>ataque_coordenado-rdfs:seeAlso-ataque_oportunidade</v>
      </c>
    </row>
    <row r="3" spans="1:13">
      <c r="A3" s="13" t="s">
        <v>92</v>
      </c>
      <c r="C3" s="13" t="s">
        <v>93</v>
      </c>
      <c r="D3" s="13" t="s">
        <v>4</v>
      </c>
      <c r="E3" s="13" t="s">
        <v>92</v>
      </c>
      <c r="G3" s="11" t="s">
        <v>10</v>
      </c>
      <c r="I3" s="11" t="s">
        <v>13</v>
      </c>
      <c r="J3" s="11">
        <f>COUNTA(C2:C42)</f>
        <v>20</v>
      </c>
      <c r="L3" s="11" t="str">
        <f t="shared" ref="L3:L41" si="0">C3 &amp; "-" &amp; E3</f>
        <v>ataque_coordenado-ataque_secundario</v>
      </c>
      <c r="M3" s="11" t="str">
        <f t="shared" ref="M3:M41" si="1">C3 &amp; "-" &amp; D3 &amp; "-" &amp; E3</f>
        <v>ataque_coordenado-rdfs:seeAlso-ataque_secundario</v>
      </c>
    </row>
    <row r="4" spans="1:13">
      <c r="A4" s="13" t="s">
        <v>93</v>
      </c>
      <c r="C4" s="13" t="s">
        <v>94</v>
      </c>
      <c r="D4" s="13" t="s">
        <v>4</v>
      </c>
      <c r="E4" s="13" t="s">
        <v>93</v>
      </c>
      <c r="G4" s="11" t="s">
        <v>3</v>
      </c>
      <c r="L4" s="11" t="str">
        <f t="shared" si="0"/>
        <v>acao_de_choque-ataque_coordenado</v>
      </c>
      <c r="M4" s="11" t="str">
        <f t="shared" si="1"/>
        <v>acao_de_choque-rdfs:seeAlso-ataque_coordenado</v>
      </c>
    </row>
    <row r="5" spans="1:13">
      <c r="A5" s="13" t="s">
        <v>94</v>
      </c>
      <c r="C5" s="13" t="s">
        <v>94</v>
      </c>
      <c r="D5" s="13" t="s">
        <v>5</v>
      </c>
      <c r="E5" s="13" t="s">
        <v>95</v>
      </c>
      <c r="G5" s="11" t="s">
        <v>4</v>
      </c>
      <c r="L5" s="11" t="str">
        <f t="shared" si="0"/>
        <v>acao_de_choque-blindados</v>
      </c>
      <c r="M5" s="11" t="str">
        <f t="shared" si="1"/>
        <v>acao_de_choque-c2rm:applied_to-blindados</v>
      </c>
    </row>
    <row r="6" spans="1:13">
      <c r="A6" s="13" t="s">
        <v>95</v>
      </c>
      <c r="C6" s="13" t="s">
        <v>94</v>
      </c>
      <c r="D6" s="13" t="s">
        <v>5</v>
      </c>
      <c r="E6" s="13" t="s">
        <v>96</v>
      </c>
      <c r="G6" s="11" t="s">
        <v>6</v>
      </c>
      <c r="L6" s="11" t="str">
        <f t="shared" si="0"/>
        <v>acao_de_choque-inimigo</v>
      </c>
      <c r="M6" s="11" t="str">
        <f t="shared" si="1"/>
        <v>acao_de_choque-c2rm:applied_to-inimigo</v>
      </c>
    </row>
    <row r="7" spans="1:13">
      <c r="A7" s="13" t="s">
        <v>96</v>
      </c>
      <c r="C7" s="13" t="s">
        <v>97</v>
      </c>
      <c r="D7" s="13" t="s">
        <v>7</v>
      </c>
      <c r="E7" s="13" t="s">
        <v>98</v>
      </c>
      <c r="G7" s="11" t="s">
        <v>8</v>
      </c>
      <c r="L7" s="11" t="str">
        <f t="shared" si="0"/>
        <v>comandante-operacao_ofensiva</v>
      </c>
      <c r="M7" s="11" t="str">
        <f t="shared" si="1"/>
        <v>comandante-c2rm:responsible_for-operacao_ofensiva</v>
      </c>
    </row>
    <row r="8" spans="1:13">
      <c r="A8" s="13" t="s">
        <v>97</v>
      </c>
      <c r="C8" s="13" t="s">
        <v>98</v>
      </c>
      <c r="D8" s="13" t="s">
        <v>5</v>
      </c>
      <c r="E8" s="13" t="s">
        <v>96</v>
      </c>
      <c r="G8" s="11" t="s">
        <v>5</v>
      </c>
      <c r="L8" s="11" t="str">
        <f t="shared" si="0"/>
        <v>operacao_ofensiva-inimigo</v>
      </c>
      <c r="M8" s="11" t="str">
        <f t="shared" si="1"/>
        <v>operacao_ofensiva-c2rm:applied_to-inimigo</v>
      </c>
    </row>
    <row r="9" spans="1:13">
      <c r="A9" s="13" t="s">
        <v>98</v>
      </c>
      <c r="C9" s="13" t="s">
        <v>98</v>
      </c>
      <c r="D9" s="13" t="s">
        <v>3</v>
      </c>
      <c r="E9" s="13" t="s">
        <v>74</v>
      </c>
      <c r="G9" s="11" t="s">
        <v>7</v>
      </c>
      <c r="L9" s="11" t="str">
        <f t="shared" si="0"/>
        <v>operacao_ofensiva-operacao_militar</v>
      </c>
      <c r="M9" s="11" t="str">
        <f t="shared" si="1"/>
        <v>operacao_ofensiva-rdfs:subClassOf-operacao_militar</v>
      </c>
    </row>
    <row r="10" spans="1:13">
      <c r="A10" s="13" t="s">
        <v>99</v>
      </c>
      <c r="C10" s="13" t="s">
        <v>98</v>
      </c>
      <c r="D10" s="13" t="s">
        <v>3</v>
      </c>
      <c r="E10" s="13" t="s">
        <v>102</v>
      </c>
      <c r="L10" s="11" t="str">
        <f t="shared" si="0"/>
        <v>operacao_ofensiva-ataque</v>
      </c>
      <c r="M10" s="11" t="str">
        <f t="shared" si="1"/>
        <v>operacao_ofensiva-rdfs:subClassOf-ataque</v>
      </c>
    </row>
    <row r="11" spans="1:13">
      <c r="A11" s="13" t="s">
        <v>100</v>
      </c>
      <c r="C11" s="13" t="s">
        <v>103</v>
      </c>
      <c r="D11" s="13" t="s">
        <v>3</v>
      </c>
      <c r="E11" s="13" t="s">
        <v>98</v>
      </c>
      <c r="L11" s="11" t="str">
        <f t="shared" si="0"/>
        <v>marcha_combate-operacao_ofensiva</v>
      </c>
      <c r="M11" s="11" t="str">
        <f t="shared" si="1"/>
        <v>marcha_combate-rdfs:subClassOf-operacao_ofensiva</v>
      </c>
    </row>
    <row r="12" spans="1:13">
      <c r="A12" s="13" t="s">
        <v>101</v>
      </c>
      <c r="C12" s="13" t="s">
        <v>104</v>
      </c>
      <c r="D12" s="13" t="s">
        <v>9</v>
      </c>
      <c r="E12" s="13" t="s">
        <v>98</v>
      </c>
      <c r="L12" s="11" t="str">
        <f t="shared" si="0"/>
        <v>perseguicao-operacao_ofensiva</v>
      </c>
      <c r="M12" s="11" t="str">
        <f t="shared" si="1"/>
        <v>perseguicao-rdf:type-operacao_ofensiva</v>
      </c>
    </row>
    <row r="13" spans="1:13">
      <c r="A13" s="13" t="s">
        <v>74</v>
      </c>
      <c r="C13" s="13" t="s">
        <v>105</v>
      </c>
      <c r="D13" s="13" t="s">
        <v>3</v>
      </c>
      <c r="E13" s="13" t="s">
        <v>98</v>
      </c>
      <c r="L13" s="11" t="str">
        <f t="shared" si="0"/>
        <v>reconhecimento_em_forca-operacao_ofensiva</v>
      </c>
      <c r="M13" s="11" t="str">
        <f t="shared" si="1"/>
        <v>reconhecimento_em_forca-rdfs:subClassOf-operacao_ofensiva</v>
      </c>
    </row>
    <row r="14" spans="1:13">
      <c r="A14" s="13" t="s">
        <v>102</v>
      </c>
      <c r="C14" s="13" t="s">
        <v>106</v>
      </c>
      <c r="D14" s="13" t="s">
        <v>3</v>
      </c>
      <c r="E14" s="13" t="s">
        <v>98</v>
      </c>
      <c r="L14" s="11" t="str">
        <f t="shared" si="0"/>
        <v>aproveitamento_do_exito-operacao_ofensiva</v>
      </c>
      <c r="M14" s="11" t="str">
        <f t="shared" si="1"/>
        <v>aproveitamento_do_exito-rdfs:subClassOf-operacao_ofensiva</v>
      </c>
    </row>
    <row r="15" spans="1:13">
      <c r="A15" s="13" t="s">
        <v>103</v>
      </c>
      <c r="C15" s="13" t="s">
        <v>98</v>
      </c>
      <c r="D15" s="13" t="s">
        <v>4</v>
      </c>
      <c r="E15" s="13" t="s">
        <v>101</v>
      </c>
      <c r="L15" s="11" t="str">
        <f t="shared" si="0"/>
        <v>operacao_ofensiva-poder_de_combate</v>
      </c>
      <c r="M15" s="11" t="str">
        <f t="shared" si="1"/>
        <v>operacao_ofensiva-rdfs:seeAlso-poder_de_combate</v>
      </c>
    </row>
    <row r="16" spans="1:13">
      <c r="A16" s="13" t="s">
        <v>104</v>
      </c>
      <c r="C16" s="13" t="s">
        <v>98</v>
      </c>
      <c r="D16" s="13" t="s">
        <v>4</v>
      </c>
      <c r="E16" s="13" t="s">
        <v>99</v>
      </c>
      <c r="L16" s="11" t="str">
        <f t="shared" si="0"/>
        <v>operacao_ofensiva-movimento</v>
      </c>
      <c r="M16" s="11" t="str">
        <f t="shared" si="1"/>
        <v>operacao_ofensiva-rdfs:seeAlso-movimento</v>
      </c>
    </row>
    <row r="17" spans="1:13">
      <c r="A17" s="13" t="s">
        <v>105</v>
      </c>
      <c r="C17" s="13" t="s">
        <v>98</v>
      </c>
      <c r="D17" s="13" t="s">
        <v>4</v>
      </c>
      <c r="E17" s="13" t="s">
        <v>100</v>
      </c>
      <c r="L17" s="11" t="str">
        <f t="shared" si="0"/>
        <v>operacao_ofensiva-fogo</v>
      </c>
      <c r="M17" s="11" t="str">
        <f t="shared" si="1"/>
        <v>operacao_ofensiva-rdfs:seeAlso-fogo</v>
      </c>
    </row>
    <row r="18" spans="1:13">
      <c r="A18" s="13" t="s">
        <v>106</v>
      </c>
      <c r="C18" s="13" t="s">
        <v>93</v>
      </c>
      <c r="D18" s="13" t="s">
        <v>4</v>
      </c>
      <c r="E18" s="13" t="s">
        <v>99</v>
      </c>
      <c r="L18" s="11" t="str">
        <f t="shared" si="0"/>
        <v>ataque_coordenado-movimento</v>
      </c>
      <c r="M18" s="11" t="str">
        <f t="shared" si="1"/>
        <v>ataque_coordenado-rdfs:seeAlso-movimento</v>
      </c>
    </row>
    <row r="19" spans="1:13">
      <c r="A19" s="13" t="s">
        <v>107</v>
      </c>
      <c r="C19" s="13" t="s">
        <v>93</v>
      </c>
      <c r="D19" s="13" t="s">
        <v>4</v>
      </c>
      <c r="E19" s="13" t="s">
        <v>100</v>
      </c>
      <c r="L19" s="11" t="str">
        <f t="shared" si="0"/>
        <v>ataque_coordenado-fogo</v>
      </c>
      <c r="M19" s="11" t="str">
        <f t="shared" si="1"/>
        <v>ataque_coordenado-rdfs:seeAlso-fogo</v>
      </c>
    </row>
    <row r="20" spans="1:13">
      <c r="A20" s="13"/>
      <c r="C20" s="13" t="s">
        <v>93</v>
      </c>
      <c r="D20" s="13" t="s">
        <v>4</v>
      </c>
      <c r="E20" s="13" t="s">
        <v>98</v>
      </c>
      <c r="L20" s="11" t="str">
        <f t="shared" si="0"/>
        <v>ataque_coordenado-operacao_ofensiva</v>
      </c>
      <c r="M20" s="11" t="str">
        <f t="shared" si="1"/>
        <v>ataque_coordenado-rdfs:seeAlso-operacao_ofensiva</v>
      </c>
    </row>
    <row r="21" spans="1:13">
      <c r="A21" s="13"/>
      <c r="C21" s="13" t="s">
        <v>107</v>
      </c>
      <c r="D21" s="13" t="s">
        <v>5</v>
      </c>
      <c r="E21" s="13" t="s">
        <v>98</v>
      </c>
      <c r="L21" s="11" t="str">
        <f t="shared" si="0"/>
        <v>radio_cognitivo-operacao_ofensiva</v>
      </c>
      <c r="M21" s="11" t="str">
        <f t="shared" si="1"/>
        <v>radio_cognitivo-c2rm:applied_to-operacao_ofensiva</v>
      </c>
    </row>
    <row r="22" spans="1:13">
      <c r="A22" s="13"/>
      <c r="C22" s="13"/>
      <c r="D22" s="13"/>
      <c r="E22" s="13"/>
      <c r="L22" s="11" t="str">
        <f t="shared" si="0"/>
        <v>-</v>
      </c>
      <c r="M22" s="11" t="str">
        <f t="shared" si="1"/>
        <v>--</v>
      </c>
    </row>
    <row r="23" spans="1:13">
      <c r="A23" s="13"/>
      <c r="C23" s="13"/>
      <c r="D23" s="13"/>
      <c r="E23" s="13"/>
      <c r="L23" s="11" t="str">
        <f t="shared" si="0"/>
        <v>-</v>
      </c>
      <c r="M23" s="11" t="str">
        <f t="shared" si="1"/>
        <v>--</v>
      </c>
    </row>
    <row r="24" spans="1:13">
      <c r="A24" s="13"/>
      <c r="C24" s="13"/>
      <c r="D24" s="13"/>
      <c r="E24" s="13"/>
      <c r="L24" s="11" t="str">
        <f t="shared" si="0"/>
        <v>-</v>
      </c>
      <c r="M24" s="11" t="str">
        <f t="shared" si="1"/>
        <v>--</v>
      </c>
    </row>
    <row r="25" spans="1:13">
      <c r="A25" s="13"/>
      <c r="C25" s="13"/>
      <c r="D25" s="13"/>
      <c r="E25" s="13"/>
      <c r="L25" s="11" t="str">
        <f t="shared" si="0"/>
        <v>-</v>
      </c>
      <c r="M25" s="11" t="str">
        <f t="shared" si="1"/>
        <v>--</v>
      </c>
    </row>
    <row r="26" spans="1:13">
      <c r="A26" s="13"/>
      <c r="C26" s="13"/>
      <c r="D26" s="13"/>
      <c r="E26" s="13"/>
      <c r="L26" s="11" t="str">
        <f t="shared" si="0"/>
        <v>-</v>
      </c>
      <c r="M26" s="11" t="str">
        <f t="shared" si="1"/>
        <v>--</v>
      </c>
    </row>
    <row r="27" spans="1:13">
      <c r="A27" s="13"/>
      <c r="C27" s="13"/>
      <c r="D27" s="13"/>
      <c r="E27" s="13"/>
      <c r="L27" s="11" t="str">
        <f t="shared" si="0"/>
        <v>-</v>
      </c>
      <c r="M27" s="11" t="str">
        <f t="shared" si="1"/>
        <v>--</v>
      </c>
    </row>
    <row r="28" spans="1:13">
      <c r="A28" s="13"/>
      <c r="C28" s="13"/>
      <c r="D28" s="13"/>
      <c r="E28" s="13"/>
      <c r="L28" s="11" t="str">
        <f t="shared" si="0"/>
        <v>-</v>
      </c>
      <c r="M28" s="11" t="str">
        <f t="shared" si="1"/>
        <v>--</v>
      </c>
    </row>
    <row r="29" spans="1:13">
      <c r="A29" s="13"/>
      <c r="C29" s="13"/>
      <c r="D29" s="13"/>
      <c r="E29" s="13"/>
      <c r="L29" s="11" t="str">
        <f t="shared" si="0"/>
        <v>-</v>
      </c>
      <c r="M29" s="11" t="str">
        <f t="shared" si="1"/>
        <v>--</v>
      </c>
    </row>
    <row r="30" spans="1:13">
      <c r="A30" s="13"/>
      <c r="C30" s="13"/>
      <c r="D30" s="13"/>
      <c r="E30" s="13"/>
      <c r="L30" s="11" t="str">
        <f t="shared" si="0"/>
        <v>-</v>
      </c>
      <c r="M30" s="11" t="str">
        <f t="shared" si="1"/>
        <v>--</v>
      </c>
    </row>
    <row r="31" spans="1:13">
      <c r="C31" s="13"/>
      <c r="D31" s="13"/>
      <c r="E31" s="13"/>
      <c r="L31" s="11" t="str">
        <f t="shared" si="0"/>
        <v>-</v>
      </c>
      <c r="M31" s="11" t="str">
        <f t="shared" si="1"/>
        <v>--</v>
      </c>
    </row>
    <row r="32" spans="1:13">
      <c r="C32" s="13"/>
      <c r="D32" s="13"/>
      <c r="E32" s="13"/>
      <c r="L32" s="11" t="str">
        <f t="shared" si="0"/>
        <v>-</v>
      </c>
      <c r="M32" s="11" t="str">
        <f t="shared" si="1"/>
        <v>--</v>
      </c>
    </row>
    <row r="33" spans="3:13">
      <c r="C33" s="13"/>
      <c r="D33" s="13"/>
      <c r="E33" s="13"/>
      <c r="L33" s="11" t="str">
        <f t="shared" si="0"/>
        <v>-</v>
      </c>
      <c r="M33" s="11" t="str">
        <f t="shared" si="1"/>
        <v>--</v>
      </c>
    </row>
    <row r="34" spans="3:13">
      <c r="C34" s="13"/>
      <c r="D34" s="13"/>
      <c r="E34" s="13"/>
      <c r="L34" s="11" t="str">
        <f t="shared" si="0"/>
        <v>-</v>
      </c>
      <c r="M34" s="11" t="str">
        <f t="shared" si="1"/>
        <v>--</v>
      </c>
    </row>
    <row r="35" spans="3:13">
      <c r="C35" s="13"/>
      <c r="D35" s="14"/>
      <c r="E35" s="13"/>
      <c r="L35" s="11" t="str">
        <f t="shared" si="0"/>
        <v>-</v>
      </c>
      <c r="M35" s="11" t="str">
        <f t="shared" si="1"/>
        <v>--</v>
      </c>
    </row>
    <row r="36" spans="3:13">
      <c r="C36" s="13"/>
      <c r="D36" s="13"/>
      <c r="E36" s="13"/>
      <c r="L36" s="11" t="str">
        <f t="shared" si="0"/>
        <v>-</v>
      </c>
      <c r="M36" s="11" t="str">
        <f t="shared" si="1"/>
        <v>--</v>
      </c>
    </row>
    <row r="37" spans="3:13">
      <c r="C37" s="13"/>
      <c r="D37" s="13"/>
      <c r="E37" s="13"/>
      <c r="L37" s="11" t="str">
        <f t="shared" si="0"/>
        <v>-</v>
      </c>
      <c r="M37" s="11" t="str">
        <f t="shared" si="1"/>
        <v>--</v>
      </c>
    </row>
    <row r="38" spans="3:13">
      <c r="C38" s="13"/>
      <c r="D38" s="13"/>
      <c r="E38" s="13"/>
      <c r="L38" s="11" t="str">
        <f t="shared" si="0"/>
        <v>-</v>
      </c>
      <c r="M38" s="11" t="str">
        <f t="shared" si="1"/>
        <v>--</v>
      </c>
    </row>
    <row r="39" spans="3:13">
      <c r="C39" s="13"/>
      <c r="D39" s="13"/>
      <c r="E39" s="13"/>
      <c r="L39" s="11" t="str">
        <f t="shared" si="0"/>
        <v>-</v>
      </c>
      <c r="M39" s="11" t="str">
        <f t="shared" si="1"/>
        <v>--</v>
      </c>
    </row>
    <row r="40" spans="3:13">
      <c r="C40" s="13"/>
      <c r="D40" s="13"/>
      <c r="E40" s="13"/>
      <c r="L40" s="11" t="str">
        <f t="shared" si="0"/>
        <v>-</v>
      </c>
      <c r="M40" s="11" t="str">
        <f t="shared" si="1"/>
        <v>--</v>
      </c>
    </row>
    <row r="41" spans="3:13">
      <c r="C41" s="13"/>
      <c r="D41" s="13"/>
      <c r="E41" s="13"/>
      <c r="L41" s="11" t="str">
        <f t="shared" si="0"/>
        <v>-</v>
      </c>
      <c r="M41" s="11" t="str">
        <f t="shared" si="1"/>
        <v>--</v>
      </c>
    </row>
    <row r="42" spans="3:13">
      <c r="C42" s="13"/>
      <c r="D42" s="13"/>
      <c r="E42" s="13"/>
    </row>
    <row r="43" spans="3:13">
      <c r="C43" s="13"/>
      <c r="D43" s="13"/>
      <c r="E43" s="13"/>
    </row>
    <row r="44" spans="3:13">
      <c r="C44" s="13"/>
      <c r="D44" s="13"/>
      <c r="E44" s="13"/>
    </row>
    <row r="45" spans="3:13">
      <c r="C45" s="13"/>
      <c r="D45" s="13"/>
      <c r="E45" s="13"/>
    </row>
    <row r="46" spans="3:13">
      <c r="C46" s="13"/>
      <c r="D46" s="13"/>
      <c r="E46" s="13"/>
    </row>
    <row r="47" spans="3:13">
      <c r="C47" s="13"/>
      <c r="D47" s="13"/>
      <c r="E47" s="13"/>
    </row>
  </sheetData>
  <sortState ref="A2:A31">
    <sortCondition ref="A2"/>
  </sortState>
  <mergeCells count="1">
    <mergeCell ref="C1:E1"/>
  </mergeCells>
  <dataValidations count="4">
    <dataValidation type="list" allowBlank="1" showInputMessage="1" showErrorMessage="1" sqref="D2:D47">
      <formula1>$G$2:$G$9</formula1>
    </dataValidation>
    <dataValidation type="list" allowBlank="1" showInputMessage="1" showErrorMessage="1" sqref="E47 C47">
      <formula1>$A$2:$A$30</formula1>
    </dataValidation>
    <dataValidation type="list" allowBlank="1" showInputMessage="1" showErrorMessage="1" sqref="C22:C46 C2:C20 E2:E46">
      <formula1>$A$2:$A$18</formula1>
    </dataValidation>
    <dataValidation type="list" allowBlank="1" showInputMessage="1" showErrorMessage="1" sqref="C21">
      <formula1>$A$2:$A$19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Y50"/>
  <sheetViews>
    <sheetView tabSelected="1" topLeftCell="A4" zoomScale="145" zoomScaleNormal="145" workbookViewId="0">
      <selection activeCell="A8" sqref="A8"/>
    </sheetView>
  </sheetViews>
  <sheetFormatPr defaultRowHeight="14.6"/>
  <cols>
    <col min="1" max="1" width="30.15234375" bestFit="1" customWidth="1"/>
    <col min="2" max="2" width="21.84375" bestFit="1" customWidth="1"/>
    <col min="3" max="3" width="21.84375" customWidth="1"/>
    <col min="4" max="4" width="30.15234375" bestFit="1" customWidth="1"/>
    <col min="5" max="5" width="13.53515625" bestFit="1" customWidth="1"/>
    <col min="6" max="6" width="28.84375" bestFit="1" customWidth="1"/>
    <col min="7" max="8" width="15.69140625" customWidth="1"/>
    <col min="9" max="9" width="46.53515625" bestFit="1" customWidth="1"/>
    <col min="12" max="12" width="13.07421875" bestFit="1" customWidth="1"/>
    <col min="13" max="13" width="13.07421875" customWidth="1"/>
    <col min="14" max="14" width="10.4609375" bestFit="1" customWidth="1"/>
    <col min="15" max="15" width="6.84375" customWidth="1"/>
    <col min="16" max="16" width="6.07421875" customWidth="1"/>
    <col min="17" max="17" width="7.53515625" customWidth="1"/>
    <col min="18" max="18" width="6" customWidth="1"/>
    <col min="21" max="21" width="9.3046875" customWidth="1"/>
    <col min="22" max="22" width="11" bestFit="1" customWidth="1"/>
    <col min="23" max="23" width="9.69140625" customWidth="1"/>
  </cols>
  <sheetData>
    <row r="1" spans="1:25">
      <c r="A1" s="31" t="s">
        <v>52</v>
      </c>
      <c r="B1" s="31"/>
      <c r="D1" s="32" t="s">
        <v>54</v>
      </c>
      <c r="E1" s="32"/>
      <c r="F1" s="32"/>
    </row>
    <row r="2" spans="1:25">
      <c r="A2" s="17" t="s">
        <v>55</v>
      </c>
      <c r="B2" s="17" t="s">
        <v>56</v>
      </c>
      <c r="D2" s="16" t="s">
        <v>60</v>
      </c>
      <c r="E2" s="39" t="s">
        <v>59</v>
      </c>
      <c r="F2" s="16" t="s">
        <v>61</v>
      </c>
      <c r="G2" s="1"/>
      <c r="H2" s="1"/>
      <c r="J2" t="s">
        <v>2</v>
      </c>
      <c r="Y2" t="s">
        <v>14</v>
      </c>
    </row>
    <row r="3" spans="1:25" ht="16.75">
      <c r="A3" t="s">
        <v>75</v>
      </c>
      <c r="D3" t="s">
        <v>78</v>
      </c>
      <c r="E3" s="40" t="s">
        <v>109</v>
      </c>
      <c r="F3" t="s">
        <v>75</v>
      </c>
      <c r="J3" t="s">
        <v>9</v>
      </c>
      <c r="M3" s="7" t="s">
        <v>28</v>
      </c>
      <c r="N3" s="7" t="s">
        <v>29</v>
      </c>
      <c r="O3" s="7" t="s">
        <v>15</v>
      </c>
      <c r="P3" s="7" t="s">
        <v>30</v>
      </c>
      <c r="Q3" s="7" t="s">
        <v>17</v>
      </c>
      <c r="R3" s="7" t="s">
        <v>16</v>
      </c>
      <c r="S3" s="7" t="s">
        <v>31</v>
      </c>
      <c r="T3" s="7" t="s">
        <v>32</v>
      </c>
      <c r="U3" s="7" t="s">
        <v>18</v>
      </c>
      <c r="V3" s="7" t="s">
        <v>19</v>
      </c>
      <c r="W3" s="7" t="s">
        <v>20</v>
      </c>
      <c r="Y3" s="13" t="str">
        <f>GRAFO!A2</f>
        <v>ataque_oportunidade</v>
      </c>
    </row>
    <row r="4" spans="1:25" ht="16.75">
      <c r="A4" t="s">
        <v>76</v>
      </c>
      <c r="D4" t="s">
        <v>76</v>
      </c>
      <c r="E4" s="40" t="s">
        <v>110</v>
      </c>
      <c r="F4" t="s">
        <v>75</v>
      </c>
      <c r="K4" s="30" t="s">
        <v>27</v>
      </c>
      <c r="L4" s="8" t="s">
        <v>0</v>
      </c>
      <c r="M4" s="4">
        <f>GRAFO!J2</f>
        <v>18</v>
      </c>
      <c r="N4" s="2">
        <f>COUNTA(A3:A30)</f>
        <v>16</v>
      </c>
      <c r="O4" s="2">
        <f>COUNTIF(B3:B29,"&lt;&gt;"&amp;"")</f>
        <v>7</v>
      </c>
      <c r="P4" s="2">
        <f>N4-R4</f>
        <v>7</v>
      </c>
      <c r="Q4" s="2">
        <f>M4-O4</f>
        <v>11</v>
      </c>
      <c r="R4" s="2">
        <f>N4-O4</f>
        <v>9</v>
      </c>
      <c r="S4" s="2">
        <f>O4+P4</f>
        <v>14</v>
      </c>
      <c r="T4" s="2">
        <f>Q4+R4</f>
        <v>20</v>
      </c>
      <c r="U4" s="6">
        <f>O4/(O4+R4)</f>
        <v>0.4375</v>
      </c>
      <c r="V4" s="6">
        <f>O4/(O4+Q4)</f>
        <v>0.3888888888888889</v>
      </c>
      <c r="W4" s="6">
        <f>(O4+P4)/(O4+P4+Q4+R4)</f>
        <v>0.41176470588235292</v>
      </c>
      <c r="X4" s="28">
        <f>AVERAGE(U4:W4)</f>
        <v>0.41271786492374724</v>
      </c>
      <c r="Y4" s="13" t="str">
        <f>GRAFO!A3</f>
        <v>ataque_secundario</v>
      </c>
    </row>
    <row r="5" spans="1:25" ht="16.75">
      <c r="A5" t="s">
        <v>77</v>
      </c>
      <c r="B5" t="s">
        <v>107</v>
      </c>
      <c r="D5" t="s">
        <v>77</v>
      </c>
      <c r="E5" s="40" t="s">
        <v>110</v>
      </c>
      <c r="F5" t="s">
        <v>75</v>
      </c>
      <c r="K5" s="30"/>
      <c r="L5" s="8" t="s">
        <v>47</v>
      </c>
      <c r="M5" s="5">
        <f>GRAFO!J3</f>
        <v>20</v>
      </c>
      <c r="N5" s="3">
        <f>COUNTA(D35:D50)</f>
        <v>16</v>
      </c>
      <c r="O5" s="3">
        <f>COUNTIF(M35:M50,"=1")</f>
        <v>3</v>
      </c>
      <c r="P5" s="2">
        <f>N5-R5</f>
        <v>3</v>
      </c>
      <c r="Q5" s="2">
        <f>M5-O5</f>
        <v>17</v>
      </c>
      <c r="R5" s="2">
        <f>N5-O5</f>
        <v>13</v>
      </c>
      <c r="S5" s="2">
        <f>O5+P5</f>
        <v>6</v>
      </c>
      <c r="T5" s="2">
        <f>Q5+R5</f>
        <v>30</v>
      </c>
      <c r="U5" s="6">
        <f>O5/(O5+R5)</f>
        <v>0.1875</v>
      </c>
      <c r="V5" s="6">
        <f>O5/(O5+Q5)</f>
        <v>0.15</v>
      </c>
      <c r="W5" s="6">
        <f>(O5+P5)/(O5+P5+Q5+R5)</f>
        <v>0.16666666666666666</v>
      </c>
      <c r="X5" s="28">
        <f t="shared" ref="X5:X6" si="0">AVERAGE(U5:W5)</f>
        <v>0.16805555555555554</v>
      </c>
      <c r="Y5" s="13" t="str">
        <f>GRAFO!A4</f>
        <v>ataque_coordenado</v>
      </c>
    </row>
    <row r="6" spans="1:25" ht="16.75">
      <c r="A6" t="s">
        <v>78</v>
      </c>
      <c r="D6" t="s">
        <v>75</v>
      </c>
      <c r="E6" s="40" t="s">
        <v>109</v>
      </c>
      <c r="F6" t="s">
        <v>80</v>
      </c>
      <c r="L6" s="8" t="s">
        <v>46</v>
      </c>
      <c r="M6" s="5">
        <v>41</v>
      </c>
      <c r="N6" s="3">
        <f>COUNTA(D35:D50)</f>
        <v>16</v>
      </c>
      <c r="O6" s="3">
        <f>COUNTIF(U35:U50,"=1")</f>
        <v>0</v>
      </c>
      <c r="P6" s="2">
        <f>N6-R6</f>
        <v>0</v>
      </c>
      <c r="Q6" s="2">
        <f>M6-O6</f>
        <v>41</v>
      </c>
      <c r="R6" s="2">
        <f>N6-O6</f>
        <v>16</v>
      </c>
      <c r="S6" s="2">
        <f>O6+P6</f>
        <v>0</v>
      </c>
      <c r="T6" s="2">
        <f>Q6+R6</f>
        <v>57</v>
      </c>
      <c r="U6" s="6">
        <f>O6/(O6+R6)</f>
        <v>0</v>
      </c>
      <c r="V6" s="6">
        <f>O6/(O6+Q6)</f>
        <v>0</v>
      </c>
      <c r="W6" s="6">
        <f>(O6+P6)/(O6+P6+Q6+R6)</f>
        <v>0</v>
      </c>
      <c r="X6" s="28">
        <f t="shared" si="0"/>
        <v>0</v>
      </c>
      <c r="Y6" s="13" t="str">
        <f>GRAFO!A5</f>
        <v>acao_de_choque</v>
      </c>
    </row>
    <row r="7" spans="1:25" ht="16.75">
      <c r="A7" t="s">
        <v>79</v>
      </c>
      <c r="D7" t="s">
        <v>86</v>
      </c>
      <c r="E7" s="40" t="s">
        <v>110</v>
      </c>
      <c r="F7" t="s">
        <v>85</v>
      </c>
      <c r="X7" s="28">
        <f>AVERAGE(X4:X6)</f>
        <v>0.19359114015976761</v>
      </c>
      <c r="Y7" s="13" t="str">
        <f>GRAFO!A6</f>
        <v>blindados</v>
      </c>
    </row>
    <row r="8" spans="1:25" ht="16.75">
      <c r="A8" t="s">
        <v>80</v>
      </c>
      <c r="B8" t="s">
        <v>98</v>
      </c>
      <c r="D8" t="s">
        <v>87</v>
      </c>
      <c r="E8" s="40" t="s">
        <v>110</v>
      </c>
      <c r="F8" t="s">
        <v>85</v>
      </c>
      <c r="Y8" s="13" t="str">
        <f>GRAFO!A7</f>
        <v>inimigo</v>
      </c>
    </row>
    <row r="9" spans="1:25" ht="16.75">
      <c r="A9" t="s">
        <v>81</v>
      </c>
      <c r="D9" t="s">
        <v>88</v>
      </c>
      <c r="E9" s="40" t="s">
        <v>110</v>
      </c>
      <c r="F9" t="s">
        <v>86</v>
      </c>
      <c r="K9" t="s">
        <v>21</v>
      </c>
      <c r="L9" t="s">
        <v>22</v>
      </c>
      <c r="N9">
        <f>GRAFO!J2</f>
        <v>18</v>
      </c>
      <c r="Y9" s="13" t="str">
        <f>GRAFO!A8</f>
        <v>comandante</v>
      </c>
    </row>
    <row r="10" spans="1:25" ht="16.75">
      <c r="A10" t="s">
        <v>82</v>
      </c>
      <c r="B10" t="s">
        <v>103</v>
      </c>
      <c r="D10" t="s">
        <v>85</v>
      </c>
      <c r="E10" s="40" t="s">
        <v>110</v>
      </c>
      <c r="F10" t="s">
        <v>86</v>
      </c>
      <c r="K10" t="s">
        <v>27</v>
      </c>
      <c r="L10" t="s">
        <v>23</v>
      </c>
      <c r="N10">
        <f>N4</f>
        <v>16</v>
      </c>
      <c r="Y10" s="13" t="str">
        <f>GRAFO!A9</f>
        <v>operacao_ofensiva</v>
      </c>
    </row>
    <row r="11" spans="1:25" ht="16.75">
      <c r="A11" t="s">
        <v>83</v>
      </c>
      <c r="B11" t="s">
        <v>93</v>
      </c>
      <c r="D11" t="s">
        <v>86</v>
      </c>
      <c r="E11" s="40" t="s">
        <v>108</v>
      </c>
      <c r="F11" t="s">
        <v>87</v>
      </c>
      <c r="K11" t="s">
        <v>15</v>
      </c>
      <c r="L11" t="s">
        <v>24</v>
      </c>
      <c r="N11">
        <v>16</v>
      </c>
      <c r="Y11" s="13" t="str">
        <f>GRAFO!A10</f>
        <v>movimento</v>
      </c>
    </row>
    <row r="12" spans="1:25" ht="16.75">
      <c r="A12" t="s">
        <v>84</v>
      </c>
      <c r="B12" t="s">
        <v>106</v>
      </c>
      <c r="D12" t="s">
        <v>79</v>
      </c>
      <c r="E12" s="40" t="s">
        <v>109</v>
      </c>
      <c r="F12" t="s">
        <v>80</v>
      </c>
      <c r="K12" t="s">
        <v>17</v>
      </c>
      <c r="L12" t="s">
        <v>25</v>
      </c>
      <c r="M12" t="s">
        <v>33</v>
      </c>
      <c r="N12">
        <f>N9-N11</f>
        <v>2</v>
      </c>
      <c r="Y12" s="13" t="str">
        <f>GRAFO!A11</f>
        <v>fogo</v>
      </c>
    </row>
    <row r="13" spans="1:25" ht="16.75">
      <c r="A13" t="s">
        <v>85</v>
      </c>
      <c r="B13" t="s">
        <v>74</v>
      </c>
      <c r="D13" t="s">
        <v>81</v>
      </c>
      <c r="E13" s="40" t="s">
        <v>108</v>
      </c>
      <c r="F13" t="s">
        <v>80</v>
      </c>
      <c r="K13" t="s">
        <v>16</v>
      </c>
      <c r="L13" t="s">
        <v>26</v>
      </c>
      <c r="M13" t="s">
        <v>34</v>
      </c>
      <c r="Y13" s="13" t="str">
        <f>GRAFO!A12</f>
        <v>poder_de_combate</v>
      </c>
    </row>
    <row r="14" spans="1:25" ht="16.75">
      <c r="A14" t="s">
        <v>86</v>
      </c>
      <c r="D14" t="s">
        <v>82</v>
      </c>
      <c r="E14" s="40" t="s">
        <v>108</v>
      </c>
      <c r="F14" t="s">
        <v>80</v>
      </c>
      <c r="K14" t="s">
        <v>30</v>
      </c>
      <c r="M14" t="s">
        <v>35</v>
      </c>
      <c r="Y14" s="13" t="str">
        <f>GRAFO!A13</f>
        <v>operacao_militar</v>
      </c>
    </row>
    <row r="15" spans="1:25" ht="16.75">
      <c r="A15" t="s">
        <v>87</v>
      </c>
      <c r="D15" t="s">
        <v>83</v>
      </c>
      <c r="E15" s="40" t="s">
        <v>108</v>
      </c>
      <c r="F15" t="s">
        <v>80</v>
      </c>
      <c r="K15" t="s">
        <v>36</v>
      </c>
      <c r="M15" t="s">
        <v>39</v>
      </c>
      <c r="Y15" s="13" t="str">
        <f>GRAFO!A14</f>
        <v>ataque</v>
      </c>
    </row>
    <row r="16" spans="1:25" ht="16.75">
      <c r="A16" t="s">
        <v>88</v>
      </c>
      <c r="D16" t="s">
        <v>84</v>
      </c>
      <c r="E16" s="40" t="s">
        <v>108</v>
      </c>
      <c r="F16" t="s">
        <v>80</v>
      </c>
      <c r="K16" t="s">
        <v>37</v>
      </c>
      <c r="M16" t="s">
        <v>40</v>
      </c>
      <c r="Y16" s="13" t="str">
        <f>GRAFO!A15</f>
        <v>marcha_combate</v>
      </c>
    </row>
    <row r="17" spans="1:25" ht="16.75">
      <c r="A17" t="s">
        <v>89</v>
      </c>
      <c r="D17" t="s">
        <v>82</v>
      </c>
      <c r="E17" s="40" t="s">
        <v>108</v>
      </c>
      <c r="F17" t="s">
        <v>89</v>
      </c>
      <c r="K17" t="s">
        <v>38</v>
      </c>
      <c r="M17" t="s">
        <v>41</v>
      </c>
      <c r="Y17" s="13" t="str">
        <f>GRAFO!A16</f>
        <v>perseguicao</v>
      </c>
    </row>
    <row r="18" spans="1:25" ht="16.75">
      <c r="A18" t="s">
        <v>90</v>
      </c>
      <c r="B18" t="s">
        <v>105</v>
      </c>
      <c r="D18" t="s">
        <v>82</v>
      </c>
      <c r="E18" s="40" t="s">
        <v>108</v>
      </c>
      <c r="F18" t="s">
        <v>90</v>
      </c>
      <c r="K18" t="s">
        <v>31</v>
      </c>
      <c r="M18" t="s">
        <v>42</v>
      </c>
      <c r="Y18" s="13" t="str">
        <f>GRAFO!A17</f>
        <v>reconhecimento_em_forca</v>
      </c>
    </row>
    <row r="19" spans="1:25" ht="16.75">
      <c r="E19" s="40"/>
      <c r="K19" t="s">
        <v>32</v>
      </c>
      <c r="M19" t="s">
        <v>43</v>
      </c>
      <c r="Y19" s="13" t="str">
        <f>GRAFO!A18</f>
        <v>aproveitamento_do_exito</v>
      </c>
    </row>
    <row r="20" spans="1:25" ht="16.75">
      <c r="E20" s="40"/>
      <c r="K20" t="s">
        <v>44</v>
      </c>
      <c r="M20" t="s">
        <v>45</v>
      </c>
      <c r="Y20" s="13" t="str">
        <f>GRAFO!A19</f>
        <v>radio_cognitivo</v>
      </c>
    </row>
    <row r="21" spans="1:25">
      <c r="E21" s="40"/>
    </row>
    <row r="22" spans="1:25">
      <c r="E22" s="40"/>
    </row>
    <row r="23" spans="1:25">
      <c r="E23" s="40"/>
    </row>
    <row r="24" spans="1:25">
      <c r="E24" s="40"/>
    </row>
    <row r="25" spans="1:25">
      <c r="E25" s="40"/>
    </row>
    <row r="26" spans="1:25">
      <c r="E26" s="40"/>
    </row>
    <row r="27" spans="1:25">
      <c r="E27" s="40"/>
    </row>
    <row r="28" spans="1:25">
      <c r="E28" s="40"/>
    </row>
    <row r="29" spans="1:25">
      <c r="E29" s="40"/>
    </row>
    <row r="30" spans="1:25">
      <c r="E30" s="40"/>
    </row>
    <row r="33" spans="1:21">
      <c r="A33" s="33" t="s">
        <v>53</v>
      </c>
      <c r="B33" s="33"/>
      <c r="D33" s="34" t="s">
        <v>62</v>
      </c>
      <c r="E33" s="34"/>
      <c r="F33" s="34"/>
      <c r="G33" s="34"/>
      <c r="I33" s="35" t="s">
        <v>64</v>
      </c>
      <c r="J33" s="35"/>
      <c r="K33" s="35"/>
      <c r="L33" s="35"/>
      <c r="M33" s="35"/>
      <c r="O33" s="37" t="s">
        <v>69</v>
      </c>
      <c r="P33" s="37"/>
      <c r="Q33" s="37"/>
      <c r="R33" s="37"/>
      <c r="S33" s="37"/>
      <c r="T33" s="37"/>
      <c r="U33" s="37"/>
    </row>
    <row r="34" spans="1:21">
      <c r="A34" s="17" t="s">
        <v>57</v>
      </c>
      <c r="B34" s="18" t="s">
        <v>58</v>
      </c>
      <c r="C34" t="s">
        <v>111</v>
      </c>
      <c r="D34" s="19" t="s">
        <v>60</v>
      </c>
      <c r="E34" s="19" t="s">
        <v>59</v>
      </c>
      <c r="F34" s="19" t="s">
        <v>61</v>
      </c>
      <c r="G34" s="19" t="s">
        <v>63</v>
      </c>
      <c r="I34" s="36" t="s">
        <v>65</v>
      </c>
      <c r="J34" s="36"/>
      <c r="K34" s="36"/>
      <c r="L34" s="36" t="s">
        <v>66</v>
      </c>
      <c r="M34" s="36"/>
      <c r="O34" s="38" t="s">
        <v>67</v>
      </c>
      <c r="P34" s="38"/>
      <c r="Q34" s="38"/>
      <c r="R34" s="38"/>
      <c r="S34" s="38"/>
      <c r="T34" s="38" t="s">
        <v>68</v>
      </c>
      <c r="U34" s="38"/>
    </row>
    <row r="35" spans="1:21">
      <c r="A35" t="s">
        <v>110</v>
      </c>
      <c r="B35" t="s">
        <v>3</v>
      </c>
      <c r="C35" t="str">
        <f>IF(INDEX($A$3:$B$30,MATCH(D3,$A$3:$A$30,0),2)&lt;&gt;0,"OK","NOK")</f>
        <v>NOK</v>
      </c>
      <c r="D35" t="str">
        <f>IF(INDEX($A$3:$B$30,MATCH(D3,$A$3:$A$30,0),2)&lt;&gt;0,INDEX($A$3:$B$30,MATCH(D3,$A$3:$A$30,0),2),D3)</f>
        <v>operational_location</v>
      </c>
      <c r="E35" t="str">
        <f>IF(INDEX($A$35:$B$42,MATCH(E3,$A$35:$A$42,0),2)&lt;&gt;0,INDEX($A$35:$B$42,MATCH(E3,$A$35:$A$42,0),2),E3)</f>
        <v>rdfs:seeAlso</v>
      </c>
      <c r="F35" t="str">
        <f>IF(INDEX($A$3:$B$30,MATCH(F3,$A$3:$A$30,0),2)&lt;&gt;0,INDEX($A$3:$B$30,MATCH(F3,$A$3:$A$30,0),2),F3)</f>
        <v>operational_element</v>
      </c>
      <c r="G35" t="str">
        <f>IF(INDEX($A$3:$B$30,MATCH(F3,$A$3:$A$30,0),2)&lt;&gt;0,"OK","NOK")</f>
        <v>NOK</v>
      </c>
      <c r="H35">
        <f>COUNTIFS(GRAFO!C2:C42,"=D34",GRAFO!E2:E42,"=F34")</f>
        <v>0</v>
      </c>
      <c r="I35" s="9" t="str">
        <f>D35 &amp;"-"&amp;F35</f>
        <v>operational_location-operational_element</v>
      </c>
      <c r="J35" s="9"/>
      <c r="K35" s="9"/>
      <c r="L35" s="9" t="e">
        <f>IF(INDEX(GRAFO!$L$2:'GRAFO'!$L$21,MATCH(I35,GRAFO!$L$2:'GRAFO'!$L$21,0),1)&lt;&gt;0,1,0)</f>
        <v>#N/A</v>
      </c>
      <c r="M35" s="9">
        <f>IFERROR(L35,0)</f>
        <v>0</v>
      </c>
      <c r="O35" s="9" t="str">
        <f>D35 &amp; "-" &amp; E35 &amp; "-" &amp; F35</f>
        <v>operational_location-rdfs:seeAlso-operational_element</v>
      </c>
      <c r="P35" s="9"/>
      <c r="Q35" s="9"/>
      <c r="R35" s="9"/>
      <c r="S35" s="9"/>
      <c r="T35" s="9" t="e">
        <f>IF(INDEX(GRAFO!$M$2:'GRAFO'!$M$41,MATCH(O35,GRAFO!$M$2:'GRAFO'!$M$41,0),1)&lt;&gt;0,1,0)</f>
        <v>#N/A</v>
      </c>
      <c r="U35" s="9">
        <f>IFERROR(T35,0)</f>
        <v>0</v>
      </c>
    </row>
    <row r="36" spans="1:21">
      <c r="A36" t="s">
        <v>109</v>
      </c>
      <c r="B36" t="s">
        <v>4</v>
      </c>
      <c r="C36" t="str">
        <f t="shared" ref="C36:C50" si="1">IF(INDEX($A$3:$B$30,MATCH(D4,$A$3:$A$30,0),2)&lt;&gt;0,"OK","NOK")</f>
        <v>NOK</v>
      </c>
      <c r="D36" t="str">
        <f t="shared" ref="D36:D50" si="2">IF(INDEX($A$3:$B$30,MATCH(D4,$A$3:$A$30,0),2)&lt;&gt;0,INDEX($A$3:$B$30,MATCH(D4,$A$3:$A$30,0),2),D4)</f>
        <v>enemy_operational_element</v>
      </c>
      <c r="E36" t="str">
        <f t="shared" ref="E36:E50" si="3">IF(INDEX($A$35:$B$42,MATCH(E4,$A$35:$A$42,0),2)&lt;&gt;0,INDEX($A$35:$B$42,MATCH(E4,$A$35:$A$42,0),2),E4)</f>
        <v>rdfs:subClassOf</v>
      </c>
      <c r="F36" t="str">
        <f t="shared" ref="D36:F50" si="4">IF(INDEX($A$3:$B$30,MATCH(F4,$A$3:$A$30,0),2)&lt;&gt;0,INDEX($A$3:$B$30,MATCH(F4,$A$3:$A$30,0),2),F4)</f>
        <v>operational_element</v>
      </c>
      <c r="G36" t="str">
        <f t="shared" ref="G36:G50" si="5">IF(INDEX($A$3:$B$30,MATCH(F4,$A$3:$A$30,0),2)&lt;&gt;0,"OK","NOK")</f>
        <v>NOK</v>
      </c>
      <c r="I36" s="9" t="str">
        <f t="shared" ref="I36:I50" si="6">D36 &amp;"-"&amp;F36</f>
        <v>enemy_operational_element-operational_element</v>
      </c>
      <c r="J36" s="9"/>
      <c r="K36" s="9"/>
      <c r="L36" s="9" t="e">
        <f>IF(INDEX(GRAFO!$L$2:'GRAFO'!$L$41,MATCH(I36,GRAFO!$L$2:'GRAFO'!$L$41,0),1)&lt;&gt;0,1,0)</f>
        <v>#N/A</v>
      </c>
      <c r="M36" s="9">
        <f t="shared" ref="M36:M50" si="7">IFERROR(L36,0)</f>
        <v>0</v>
      </c>
      <c r="O36" s="9" t="str">
        <f t="shared" ref="O36:O50" si="8">D36 &amp; "-" &amp; E36 &amp; "-" &amp; F36</f>
        <v>enemy_operational_element-rdfs:subClassOf-operational_element</v>
      </c>
      <c r="P36" s="9"/>
      <c r="Q36" s="9"/>
      <c r="R36" s="9"/>
      <c r="S36" s="9"/>
      <c r="T36" s="9" t="e">
        <f>IF(INDEX(GRAFO!$M$2:'GRAFO'!$M$41,MATCH(O36,GRAFO!$M$2:'GRAFO'!$M$41,0),1)&lt;&gt;0,1,0)</f>
        <v>#N/A</v>
      </c>
      <c r="U36" s="9">
        <f t="shared" ref="U36:U50" si="9">IFERROR(T36,0)</f>
        <v>0</v>
      </c>
    </row>
    <row r="37" spans="1:21">
      <c r="A37" t="s">
        <v>108</v>
      </c>
      <c r="B37" t="s">
        <v>48</v>
      </c>
      <c r="C37" t="str">
        <f t="shared" si="1"/>
        <v>OK</v>
      </c>
      <c r="D37" t="str">
        <f t="shared" si="2"/>
        <v>radio_cognitivo</v>
      </c>
      <c r="E37" t="str">
        <f t="shared" si="3"/>
        <v>rdfs:subClassOf</v>
      </c>
      <c r="F37" t="str">
        <f t="shared" si="4"/>
        <v>operational_element</v>
      </c>
      <c r="G37" t="str">
        <f t="shared" si="5"/>
        <v>NOK</v>
      </c>
      <c r="I37" s="9" t="str">
        <f t="shared" si="6"/>
        <v>radio_cognitivo-operational_element</v>
      </c>
      <c r="J37" s="9"/>
      <c r="K37" s="9"/>
      <c r="L37" s="9" t="e">
        <f>IF(INDEX(GRAFO!$L$2:'GRAFO'!$L$41,MATCH(I37,GRAFO!$L$2:'GRAFO'!$L$41,0),1)&lt;&gt;0,1,0)</f>
        <v>#N/A</v>
      </c>
      <c r="M37" s="9">
        <f t="shared" si="7"/>
        <v>0</v>
      </c>
      <c r="O37" s="9" t="str">
        <f t="shared" si="8"/>
        <v>radio_cognitivo-rdfs:subClassOf-operational_element</v>
      </c>
      <c r="P37" s="9"/>
      <c r="Q37" s="9"/>
      <c r="R37" s="9"/>
      <c r="S37" s="9"/>
      <c r="T37" s="9" t="e">
        <f>IF(INDEX(GRAFO!$M$2:'GRAFO'!$M$41,MATCH(O37,GRAFO!$M$2:'GRAFO'!$M$41,0),1)&lt;&gt;0,1,0)</f>
        <v>#N/A</v>
      </c>
      <c r="U37" s="9">
        <f t="shared" si="9"/>
        <v>0</v>
      </c>
    </row>
    <row r="38" spans="1:21">
      <c r="C38" t="str">
        <f t="shared" si="1"/>
        <v>NOK</v>
      </c>
      <c r="D38" t="str">
        <f t="shared" si="2"/>
        <v>operational_element</v>
      </c>
      <c r="E38" t="str">
        <f t="shared" si="3"/>
        <v>rdfs:seeAlso</v>
      </c>
      <c r="F38" t="str">
        <f t="shared" si="4"/>
        <v>operacao_ofensiva</v>
      </c>
      <c r="G38" t="str">
        <f t="shared" si="5"/>
        <v>OK</v>
      </c>
      <c r="I38" s="9" t="str">
        <f t="shared" si="6"/>
        <v>operational_element-operacao_ofensiva</v>
      </c>
      <c r="J38" s="9"/>
      <c r="K38" s="9"/>
      <c r="L38" s="9" t="e">
        <f>IF(INDEX(GRAFO!$L$2:'GRAFO'!$L$41,MATCH(I38,GRAFO!$L$2:'GRAFO'!$L$41,0),1)&lt;&gt;0,1,0)</f>
        <v>#N/A</v>
      </c>
      <c r="M38" s="9">
        <f t="shared" si="7"/>
        <v>0</v>
      </c>
      <c r="O38" s="9" t="str">
        <f t="shared" si="8"/>
        <v>operational_element-rdfs:seeAlso-operacao_ofensiva</v>
      </c>
      <c r="P38" s="9"/>
      <c r="Q38" s="9"/>
      <c r="R38" s="9"/>
      <c r="S38" s="9"/>
      <c r="T38" s="9" t="e">
        <f>IF(INDEX(GRAFO!$M$2:'GRAFO'!$M$41,MATCH(O38,GRAFO!$M$2:'GRAFO'!$M$41,0),1)&lt;&gt;0,1,0)</f>
        <v>#N/A</v>
      </c>
      <c r="U38" s="9">
        <f t="shared" si="9"/>
        <v>0</v>
      </c>
    </row>
    <row r="39" spans="1:21">
      <c r="C39" t="str">
        <f t="shared" si="1"/>
        <v>NOK</v>
      </c>
      <c r="D39" t="str">
        <f t="shared" si="2"/>
        <v>basic_operation</v>
      </c>
      <c r="E39" t="str">
        <f t="shared" si="3"/>
        <v>rdfs:subClassOf</v>
      </c>
      <c r="F39" t="str">
        <f t="shared" si="4"/>
        <v>operacao_militar</v>
      </c>
      <c r="G39" t="str">
        <f t="shared" si="5"/>
        <v>OK</v>
      </c>
      <c r="I39" s="9" t="str">
        <f t="shared" si="6"/>
        <v>basic_operation-operacao_militar</v>
      </c>
      <c r="J39" s="9"/>
      <c r="K39" s="9"/>
      <c r="L39" s="9" t="e">
        <f>IF(INDEX(GRAFO!$L$2:'GRAFO'!$L$41,MATCH(I39,GRAFO!$L$2:'GRAFO'!$L$41,0),1)&lt;&gt;0,1,0)</f>
        <v>#N/A</v>
      </c>
      <c r="M39" s="9">
        <f t="shared" si="7"/>
        <v>0</v>
      </c>
      <c r="O39" s="9" t="str">
        <f t="shared" si="8"/>
        <v>basic_operation-rdfs:subClassOf-operacao_militar</v>
      </c>
      <c r="P39" s="9"/>
      <c r="Q39" s="9"/>
      <c r="R39" s="9"/>
      <c r="S39" s="9"/>
      <c r="T39" s="9" t="e">
        <f>IF(INDEX(GRAFO!$M$2:'GRAFO'!$M$41,MATCH(O39,GRAFO!$M$2:'GRAFO'!$M$41,0),1)&lt;&gt;0,1,0)</f>
        <v>#N/A</v>
      </c>
      <c r="U39" s="9">
        <f t="shared" si="9"/>
        <v>0</v>
      </c>
    </row>
    <row r="40" spans="1:21">
      <c r="C40" t="str">
        <f t="shared" si="1"/>
        <v>NOK</v>
      </c>
      <c r="D40" t="str">
        <f t="shared" si="2"/>
        <v>complementary_operation</v>
      </c>
      <c r="E40" t="str">
        <f t="shared" si="3"/>
        <v>rdfs:subClassOf</v>
      </c>
      <c r="F40" t="str">
        <f t="shared" si="4"/>
        <v>operacao_militar</v>
      </c>
      <c r="G40" t="str">
        <f t="shared" si="5"/>
        <v>OK</v>
      </c>
      <c r="I40" s="9" t="str">
        <f t="shared" si="6"/>
        <v>complementary_operation-operacao_militar</v>
      </c>
      <c r="J40" s="9"/>
      <c r="K40" s="9"/>
      <c r="L40" s="9" t="e">
        <f>IF(INDEX(GRAFO!$L$2:'GRAFO'!$L$41,MATCH(I40,GRAFO!$L$2:'GRAFO'!$L$41,0),1)&lt;&gt;0,1,0)</f>
        <v>#N/A</v>
      </c>
      <c r="M40" s="9">
        <f t="shared" si="7"/>
        <v>0</v>
      </c>
      <c r="O40" s="9" t="str">
        <f t="shared" si="8"/>
        <v>complementary_operation-rdfs:subClassOf-operacao_militar</v>
      </c>
      <c r="P40" s="9"/>
      <c r="Q40" s="9"/>
      <c r="R40" s="9"/>
      <c r="S40" s="9"/>
      <c r="T40" s="9" t="e">
        <f>IF(INDEX(GRAFO!$M$2:'GRAFO'!$M$41,MATCH(O40,GRAFO!$M$2:'GRAFO'!$M$41,0),1)&lt;&gt;0,1,0)</f>
        <v>#N/A</v>
      </c>
      <c r="U40" s="9">
        <f t="shared" si="9"/>
        <v>0</v>
      </c>
    </row>
    <row r="41" spans="1:21">
      <c r="C41" t="str">
        <f t="shared" si="1"/>
        <v>NOK</v>
      </c>
      <c r="D41" t="str">
        <f t="shared" si="2"/>
        <v>defensive_operation</v>
      </c>
      <c r="E41" t="str">
        <f t="shared" si="3"/>
        <v>rdfs:subClassOf</v>
      </c>
      <c r="F41" t="str">
        <f t="shared" si="4"/>
        <v>basic_operation</v>
      </c>
      <c r="G41" t="str">
        <f t="shared" si="5"/>
        <v>NOK</v>
      </c>
      <c r="I41" s="9" t="str">
        <f t="shared" si="6"/>
        <v>defensive_operation-basic_operation</v>
      </c>
      <c r="J41" s="9"/>
      <c r="K41" s="9"/>
      <c r="L41" s="9" t="e">
        <f>IF(INDEX(GRAFO!$L$2:'GRAFO'!$L$41,MATCH(I41,GRAFO!$L$2:'GRAFO'!$L$41,0),1)&lt;&gt;0,1,0)</f>
        <v>#N/A</v>
      </c>
      <c r="M41" s="9">
        <f t="shared" si="7"/>
        <v>0</v>
      </c>
      <c r="O41" s="9" t="str">
        <f t="shared" si="8"/>
        <v>defensive_operation-rdfs:subClassOf-basic_operation</v>
      </c>
      <c r="P41" s="9"/>
      <c r="Q41" s="9"/>
      <c r="R41" s="9"/>
      <c r="S41" s="9"/>
      <c r="T41" s="9" t="e">
        <f>IF(INDEX(GRAFO!$M$2:'GRAFO'!$M$41,MATCH(O41,GRAFO!$M$2:'GRAFO'!$M$41,0),1)&lt;&gt;0,1,0)</f>
        <v>#N/A</v>
      </c>
      <c r="U41" s="9">
        <f t="shared" si="9"/>
        <v>0</v>
      </c>
    </row>
    <row r="42" spans="1:21">
      <c r="C42" t="str">
        <f t="shared" si="1"/>
        <v>OK</v>
      </c>
      <c r="D42" t="str">
        <f t="shared" si="2"/>
        <v>operacao_militar</v>
      </c>
      <c r="E42" t="str">
        <f t="shared" si="3"/>
        <v>rdfs:subClassOf</v>
      </c>
      <c r="F42" t="str">
        <f t="shared" si="4"/>
        <v>basic_operation</v>
      </c>
      <c r="G42" t="str">
        <f t="shared" si="5"/>
        <v>NOK</v>
      </c>
      <c r="I42" s="9" t="str">
        <f t="shared" si="6"/>
        <v>operacao_militar-basic_operation</v>
      </c>
      <c r="J42" s="9"/>
      <c r="K42" s="9"/>
      <c r="L42" s="9" t="e">
        <f>IF(INDEX(GRAFO!$L$2:'GRAFO'!$L$41,MATCH(I42,GRAFO!$L$2:'GRAFO'!$L$41,0),1)&lt;&gt;0,1,0)</f>
        <v>#N/A</v>
      </c>
      <c r="M42" s="9">
        <f t="shared" si="7"/>
        <v>0</v>
      </c>
      <c r="O42" s="9" t="str">
        <f t="shared" si="8"/>
        <v>operacao_militar-rdfs:subClassOf-basic_operation</v>
      </c>
      <c r="P42" s="9"/>
      <c r="Q42" s="9"/>
      <c r="R42" s="9"/>
      <c r="S42" s="9"/>
      <c r="T42" s="9" t="e">
        <f>IF(INDEX(GRAFO!$M$2:'GRAFO'!$M$41,MATCH(O42,GRAFO!$M$2:'GRAFO'!$M$41,0),1)&lt;&gt;0,1,0)</f>
        <v>#N/A</v>
      </c>
      <c r="U42" s="9">
        <f t="shared" si="9"/>
        <v>0</v>
      </c>
    </row>
    <row r="43" spans="1:21">
      <c r="C43" t="str">
        <f t="shared" si="1"/>
        <v>NOK</v>
      </c>
      <c r="D43" t="str">
        <f t="shared" si="2"/>
        <v>basic_operation</v>
      </c>
      <c r="E43" t="str">
        <f t="shared" si="3"/>
        <v>rdfs:Bag</v>
      </c>
      <c r="F43" t="str">
        <f t="shared" si="4"/>
        <v>complementary_operation</v>
      </c>
      <c r="G43" t="str">
        <f t="shared" si="5"/>
        <v>NOK</v>
      </c>
      <c r="I43" s="9" t="str">
        <f t="shared" si="6"/>
        <v>basic_operation-complementary_operation</v>
      </c>
      <c r="J43" s="9"/>
      <c r="K43" s="9"/>
      <c r="L43" s="9" t="e">
        <f>IF(INDEX(GRAFO!$L$2:'GRAFO'!$L$41,MATCH(I43,GRAFO!$L$2:'GRAFO'!$L$41,0),1)&lt;&gt;0,1,0)</f>
        <v>#N/A</v>
      </c>
      <c r="M43" s="9">
        <f t="shared" si="7"/>
        <v>0</v>
      </c>
      <c r="O43" s="9" t="str">
        <f t="shared" si="8"/>
        <v>basic_operation-rdfs:Bag-complementary_operation</v>
      </c>
      <c r="P43" s="9"/>
      <c r="Q43" s="9"/>
      <c r="R43" s="9"/>
      <c r="S43" s="9"/>
      <c r="T43" s="9" t="e">
        <f>IF(INDEX(GRAFO!$M$2:'GRAFO'!$M$41,MATCH(O43,GRAFO!$M$2:'GRAFO'!$M$41,0),1)&lt;&gt;0,1,0)</f>
        <v>#N/A</v>
      </c>
      <c r="U43" s="9">
        <f t="shared" si="9"/>
        <v>0</v>
      </c>
    </row>
    <row r="44" spans="1:21">
      <c r="C44" t="str">
        <f t="shared" si="1"/>
        <v>NOK</v>
      </c>
      <c r="D44" t="str">
        <f t="shared" si="4"/>
        <v>tactical_operation_scenario</v>
      </c>
      <c r="E44" t="str">
        <f t="shared" si="3"/>
        <v>rdfs:seeAlso</v>
      </c>
      <c r="F44" t="str">
        <f t="shared" si="4"/>
        <v>operacao_ofensiva</v>
      </c>
      <c r="G44" t="str">
        <f t="shared" si="5"/>
        <v>OK</v>
      </c>
      <c r="I44" s="9" t="str">
        <f t="shared" si="6"/>
        <v>tactical_operation_scenario-operacao_ofensiva</v>
      </c>
      <c r="J44" s="9"/>
      <c r="K44" s="9"/>
      <c r="L44" s="9" t="e">
        <f>IF(INDEX(GRAFO!$L$2:'GRAFO'!$L$41,MATCH(I44,GRAFO!$L$2:'GRAFO'!$L$41,0),1)&lt;&gt;0,1,0)</f>
        <v>#N/A</v>
      </c>
      <c r="M44" s="9">
        <f t="shared" si="7"/>
        <v>0</v>
      </c>
      <c r="O44" s="9" t="str">
        <f t="shared" si="8"/>
        <v>tactical_operation_scenario-rdfs:seeAlso-operacao_ofensiva</v>
      </c>
      <c r="P44" s="9"/>
      <c r="Q44" s="9"/>
      <c r="R44" s="9"/>
      <c r="S44" s="9"/>
      <c r="T44" s="9" t="e">
        <f>IF(INDEX(GRAFO!$M$2:'GRAFO'!$M$41,MATCH(O44,GRAFO!$M$2:'GRAFO'!$M$41,0),1)&lt;&gt;0,1,0)</f>
        <v>#N/A</v>
      </c>
      <c r="U44" s="9">
        <f t="shared" si="9"/>
        <v>0</v>
      </c>
    </row>
    <row r="45" spans="1:21">
      <c r="C45" t="str">
        <f t="shared" si="1"/>
        <v>NOK</v>
      </c>
      <c r="D45" t="str">
        <f t="shared" ref="D45" si="10">IF(INDEX($A$3:$B$30,MATCH(D13,$A$3:$A$30,0),2)&lt;&gt;0,INDEX($A$3:$B$30,MATCH(D13,$A$3:$A$30,0),2),D13)</f>
        <v>assembly_area_meeting_operation</v>
      </c>
      <c r="E45" t="str">
        <f t="shared" si="3"/>
        <v>rdfs:Bag</v>
      </c>
      <c r="F45" t="str">
        <f t="shared" si="4"/>
        <v>operacao_ofensiva</v>
      </c>
      <c r="G45" t="str">
        <f t="shared" si="5"/>
        <v>OK</v>
      </c>
      <c r="I45" s="9" t="str">
        <f t="shared" si="6"/>
        <v>assembly_area_meeting_operation-operacao_ofensiva</v>
      </c>
      <c r="J45" s="9"/>
      <c r="K45" s="9"/>
      <c r="L45" s="9" t="e">
        <f>IF(INDEX(GRAFO!$L$2:'GRAFO'!$L$41,MATCH(I45,GRAFO!$L$2:'GRAFO'!$L$41,0),1)&lt;&gt;0,1,0)</f>
        <v>#N/A</v>
      </c>
      <c r="M45" s="9">
        <f t="shared" si="7"/>
        <v>0</v>
      </c>
      <c r="O45" s="9" t="str">
        <f t="shared" si="8"/>
        <v>assembly_area_meeting_operation-rdfs:Bag-operacao_ofensiva</v>
      </c>
      <c r="P45" s="9"/>
      <c r="Q45" s="9"/>
      <c r="R45" s="9"/>
      <c r="S45" s="9"/>
      <c r="T45" s="9" t="e">
        <f>IF(INDEX(GRAFO!$M$2:'GRAFO'!$M$41,MATCH(O45,GRAFO!$M$2:'GRAFO'!$M$41,0),1)&lt;&gt;0,1,0)</f>
        <v>#N/A</v>
      </c>
      <c r="U45" s="9">
        <f t="shared" si="9"/>
        <v>0</v>
      </c>
    </row>
    <row r="46" spans="1:21">
      <c r="C46" t="str">
        <f t="shared" si="1"/>
        <v>OK</v>
      </c>
      <c r="D46" t="str">
        <f t="shared" ref="D46" si="11">IF(INDEX($A$3:$B$30,MATCH(D14,$A$3:$A$30,0),2)&lt;&gt;0,INDEX($A$3:$B$30,MATCH(D14,$A$3:$A$30,0),2),D14)</f>
        <v>marcha_combate</v>
      </c>
      <c r="E46" t="str">
        <f t="shared" si="3"/>
        <v>rdfs:Bag</v>
      </c>
      <c r="F46" t="str">
        <f t="shared" si="4"/>
        <v>operacao_ofensiva</v>
      </c>
      <c r="G46" t="str">
        <f t="shared" si="5"/>
        <v>OK</v>
      </c>
      <c r="I46" s="9" t="str">
        <f t="shared" si="6"/>
        <v>marcha_combate-operacao_ofensiva</v>
      </c>
      <c r="J46" s="9"/>
      <c r="K46" s="9"/>
      <c r="L46" s="9">
        <f>IF(INDEX(GRAFO!$L$2:'GRAFO'!$L$41,MATCH(I46,GRAFO!$L$2:'GRAFO'!$L$41,0),1)&lt;&gt;0,1,0)</f>
        <v>1</v>
      </c>
      <c r="M46" s="9">
        <f t="shared" si="7"/>
        <v>1</v>
      </c>
      <c r="O46" s="9" t="str">
        <f t="shared" si="8"/>
        <v>marcha_combate-rdfs:Bag-operacao_ofensiva</v>
      </c>
      <c r="P46" s="9"/>
      <c r="Q46" s="9"/>
      <c r="R46" s="9"/>
      <c r="S46" s="9"/>
      <c r="T46" s="9" t="e">
        <f>IF(INDEX(GRAFO!$M$2:'GRAFO'!$M$41,MATCH(O46,GRAFO!$M$2:'GRAFO'!$M$41,0),1)&lt;&gt;0,1,0)</f>
        <v>#N/A</v>
      </c>
      <c r="U46" s="9">
        <f t="shared" si="9"/>
        <v>0</v>
      </c>
    </row>
    <row r="47" spans="1:21">
      <c r="C47" t="str">
        <f t="shared" si="1"/>
        <v>OK</v>
      </c>
      <c r="D47" t="str">
        <f t="shared" ref="D47" si="12">IF(INDEX($A$3:$B$30,MATCH(D15,$A$3:$A$30,0),2)&lt;&gt;0,INDEX($A$3:$B$30,MATCH(D15,$A$3:$A$30,0),2),D15)</f>
        <v>ataque_coordenado</v>
      </c>
      <c r="E47" t="str">
        <f t="shared" si="3"/>
        <v>rdfs:Bag</v>
      </c>
      <c r="F47" t="str">
        <f t="shared" si="4"/>
        <v>operacao_ofensiva</v>
      </c>
      <c r="G47" t="str">
        <f t="shared" si="5"/>
        <v>OK</v>
      </c>
      <c r="I47" s="9" t="str">
        <f t="shared" si="6"/>
        <v>ataque_coordenado-operacao_ofensiva</v>
      </c>
      <c r="J47" s="9"/>
      <c r="K47" s="9"/>
      <c r="L47" s="9">
        <f>IF(INDEX(GRAFO!$L$2:'GRAFO'!$L$41,MATCH(I47,GRAFO!$L$2:'GRAFO'!$L$41,0),1)&lt;&gt;0,1,0)</f>
        <v>1</v>
      </c>
      <c r="M47" s="9">
        <f t="shared" si="7"/>
        <v>1</v>
      </c>
      <c r="O47" s="9" t="str">
        <f t="shared" si="8"/>
        <v>ataque_coordenado-rdfs:Bag-operacao_ofensiva</v>
      </c>
      <c r="P47" s="9"/>
      <c r="Q47" s="9"/>
      <c r="R47" s="9"/>
      <c r="S47" s="9"/>
      <c r="T47" s="9" t="e">
        <f>IF(INDEX(GRAFO!$M$2:'GRAFO'!$M$41,MATCH(O47,GRAFO!$M$2:'GRAFO'!$M$41,0),1)&lt;&gt;0,1,0)</f>
        <v>#N/A</v>
      </c>
      <c r="U47" s="9">
        <f t="shared" si="9"/>
        <v>0</v>
      </c>
    </row>
    <row r="48" spans="1:21">
      <c r="C48" t="str">
        <f t="shared" si="1"/>
        <v>OK</v>
      </c>
      <c r="D48" t="str">
        <f t="shared" ref="D48" si="13">IF(INDEX($A$3:$B$30,MATCH(D16,$A$3:$A$30,0),2)&lt;&gt;0,INDEX($A$3:$B$30,MATCH(D16,$A$3:$A$30,0),2),D16)</f>
        <v>aproveitamento_do_exito</v>
      </c>
      <c r="E48" t="str">
        <f t="shared" si="3"/>
        <v>rdfs:Bag</v>
      </c>
      <c r="F48" t="str">
        <f t="shared" si="4"/>
        <v>operacao_ofensiva</v>
      </c>
      <c r="G48" t="str">
        <f t="shared" si="5"/>
        <v>OK</v>
      </c>
      <c r="I48" s="9" t="str">
        <f t="shared" si="6"/>
        <v>aproveitamento_do_exito-operacao_ofensiva</v>
      </c>
      <c r="J48" s="9"/>
      <c r="K48" s="9"/>
      <c r="L48" s="9">
        <f>IF(INDEX(GRAFO!$L$2:'GRAFO'!$L$41,MATCH(I48,GRAFO!$L$2:'GRAFO'!$L$41,0),1)&lt;&gt;0,1,0)</f>
        <v>1</v>
      </c>
      <c r="M48" s="9">
        <f t="shared" si="7"/>
        <v>1</v>
      </c>
      <c r="O48" s="9" t="str">
        <f t="shared" si="8"/>
        <v>aproveitamento_do_exito-rdfs:Bag-operacao_ofensiva</v>
      </c>
      <c r="P48" s="9"/>
      <c r="Q48" s="9"/>
      <c r="R48" s="9"/>
      <c r="S48" s="9"/>
      <c r="T48" s="9" t="e">
        <f>IF(INDEX(GRAFO!$M$2:'GRAFO'!$M$41,MATCH(O48,GRAFO!$M$2:'GRAFO'!$M$41,0),1)&lt;&gt;0,1,0)</f>
        <v>#N/A</v>
      </c>
      <c r="U48" s="9">
        <f t="shared" si="9"/>
        <v>0</v>
      </c>
    </row>
    <row r="49" spans="3:21">
      <c r="C49" t="str">
        <f t="shared" si="1"/>
        <v>OK</v>
      </c>
      <c r="D49" t="str">
        <f t="shared" si="2"/>
        <v>marcha_combate</v>
      </c>
      <c r="E49" t="str">
        <f t="shared" si="3"/>
        <v>rdfs:Bag</v>
      </c>
      <c r="F49" t="str">
        <f t="shared" si="4"/>
        <v>traffic_control_operation</v>
      </c>
      <c r="G49" t="str">
        <f t="shared" si="5"/>
        <v>NOK</v>
      </c>
      <c r="I49" s="9" t="str">
        <f t="shared" si="6"/>
        <v>marcha_combate-traffic_control_operation</v>
      </c>
      <c r="J49" s="9"/>
      <c r="K49" s="9"/>
      <c r="L49" s="9" t="e">
        <f>IF(INDEX(GRAFO!$L$2:'GRAFO'!$L$41,MATCH(I49,GRAFO!$L$2:'GRAFO'!$L$41,0),1)&lt;&gt;0,1,0)</f>
        <v>#N/A</v>
      </c>
      <c r="M49" s="9">
        <f t="shared" si="7"/>
        <v>0</v>
      </c>
      <c r="O49" s="9" t="str">
        <f t="shared" si="8"/>
        <v>marcha_combate-rdfs:Bag-traffic_control_operation</v>
      </c>
      <c r="P49" s="9"/>
      <c r="Q49" s="9"/>
      <c r="R49" s="9"/>
      <c r="S49" s="9"/>
      <c r="T49" s="9" t="e">
        <f>IF(INDEX(GRAFO!$M$2:'GRAFO'!$M$41,MATCH(O49,GRAFO!$M$2:'GRAFO'!$M$41,0),1)&lt;&gt;0,1,0)</f>
        <v>#N/A</v>
      </c>
      <c r="U49" s="9">
        <f t="shared" si="9"/>
        <v>0</v>
      </c>
    </row>
    <row r="50" spans="3:21">
      <c r="C50" t="str">
        <f t="shared" si="1"/>
        <v>OK</v>
      </c>
      <c r="D50" t="str">
        <f t="shared" si="2"/>
        <v>marcha_combate</v>
      </c>
      <c r="E50" t="str">
        <f t="shared" si="3"/>
        <v>rdfs:Bag</v>
      </c>
      <c r="F50" t="str">
        <f t="shared" si="4"/>
        <v>reconhecimento_em_forca</v>
      </c>
      <c r="G50" t="str">
        <f t="shared" si="5"/>
        <v>OK</v>
      </c>
      <c r="I50" s="9" t="str">
        <f t="shared" si="6"/>
        <v>marcha_combate-reconhecimento_em_forca</v>
      </c>
      <c r="J50" s="9"/>
      <c r="K50" s="9"/>
      <c r="L50" s="9" t="e">
        <f>IF(INDEX(GRAFO!$L$2:'GRAFO'!$L$41,MATCH(I50,GRAFO!$L$2:'GRAFO'!$L$41,0),1)&lt;&gt;0,1,0)</f>
        <v>#N/A</v>
      </c>
      <c r="M50" s="9">
        <f t="shared" si="7"/>
        <v>0</v>
      </c>
      <c r="O50" s="9" t="str">
        <f t="shared" si="8"/>
        <v>marcha_combate-rdfs:Bag-reconhecimento_em_forca</v>
      </c>
      <c r="P50" s="9"/>
      <c r="Q50" s="9"/>
      <c r="R50" s="9"/>
      <c r="S50" s="9"/>
      <c r="T50" s="9" t="e">
        <f>IF(INDEX(GRAFO!$M$2:'GRAFO'!$M$41,MATCH(O50,GRAFO!$M$2:'GRAFO'!$M$41,0),1)&lt;&gt;0,1,0)</f>
        <v>#N/A</v>
      </c>
      <c r="U50" s="9">
        <f t="shared" si="9"/>
        <v>0</v>
      </c>
    </row>
  </sheetData>
  <sortState ref="A33:B39">
    <sortCondition ref="A34"/>
  </sortState>
  <mergeCells count="11">
    <mergeCell ref="I34:K34"/>
    <mergeCell ref="L34:M34"/>
    <mergeCell ref="O33:U33"/>
    <mergeCell ref="O34:S34"/>
    <mergeCell ref="T34:U34"/>
    <mergeCell ref="K4:K5"/>
    <mergeCell ref="A1:B1"/>
    <mergeCell ref="D1:F1"/>
    <mergeCell ref="A33:B33"/>
    <mergeCell ref="D33:G33"/>
    <mergeCell ref="I33:M33"/>
  </mergeCells>
  <dataValidations count="5">
    <dataValidation type="list" allowBlank="1" showInputMessage="1" showErrorMessage="1" sqref="H3:H34 F3:G33 D3:D32">
      <formula1>$A$3:$A$30</formula1>
    </dataValidation>
    <dataValidation type="list" allowBlank="1" showInputMessage="1" showErrorMessage="1" sqref="C3:C29 B24:B25 B28:B30">
      <formula1>$Y$3:$Y$31</formula1>
    </dataValidation>
    <dataValidation type="list" allowBlank="1" showInputMessage="1" showErrorMessage="1" sqref="B8:B23">
      <formula1>$Y$3:$Y$19</formula1>
    </dataValidation>
    <dataValidation type="list" allowBlank="1" showInputMessage="1" showErrorMessage="1" sqref="B3:B7">
      <formula1>$Y$3:$Y$20</formula1>
    </dataValidation>
    <dataValidation type="list" allowBlank="1" showInputMessage="1" showErrorMessage="1" sqref="E3:E30">
      <formula1>$A$35:$A$37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CONSOLIDADO</vt:lpstr>
      <vt:lpstr>GRAFO</vt:lpstr>
      <vt:lpstr>MODELAGEM_1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Jones Oliveira</dc:creator>
  <cp:lastModifiedBy>Jones Oliveira</cp:lastModifiedBy>
  <dcterms:created xsi:type="dcterms:W3CDTF">2024-10-25T11:56:04Z</dcterms:created>
  <dcterms:modified xsi:type="dcterms:W3CDTF">2025-11-26T22:57:58Z</dcterms:modified>
</cp:coreProperties>
</file>